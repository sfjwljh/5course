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王润东的xps15\Desktop\金工二叉树实验报告\"/>
    </mc:Choice>
  </mc:AlternateContent>
  <xr:revisionPtr revIDLastSave="0" documentId="13_ncr:1_{5E11F7B7-E082-446C-95A0-7DC2235CC80B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BS公式" sheetId="1" r:id="rId1"/>
    <sheet name="(欧美式)期权二叉树定价" sheetId="2" r:id="rId2"/>
    <sheet name="Sheet1" sheetId="5" r:id="rId3"/>
  </sheets>
  <functionGroups builtInGroupCount="19"/>
  <definedNames>
    <definedName name="bs_q">BS公式!$B$6</definedName>
    <definedName name="bs_rf">BS公式!$B$5</definedName>
    <definedName name="bs_s">BS公式!$B$3</definedName>
    <definedName name="bs_sigma">BS公式!$B$4</definedName>
    <definedName name="bs_T">BS公式!$B$7</definedName>
    <definedName name="bs_X">BS公式!$B$8</definedName>
    <definedName name="N">'(欧美式)期权二叉树定价'!$B$9</definedName>
    <definedName name="q">'(欧美式)期权二叉树定价'!$B$6</definedName>
    <definedName name="rf">'(欧美式)期权二叉树定价'!$B$5</definedName>
    <definedName name="S0">'(欧美式)期权二叉树定价'!$B$3</definedName>
    <definedName name="Sigma">'(欧美式)期权二叉树定价'!$B$4</definedName>
    <definedName name="T">'(欧美式)期权二叉树定价'!$B$7</definedName>
    <definedName name="X">'(欧美式)期权二叉树定价'!$B$8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5" i="5" l="1" a="1"/>
  <c r="J15" i="5"/>
  <c r="N8" i="5" a="1"/>
  <c r="N14" i="5" a="1"/>
  <c r="N20" i="5" a="1"/>
  <c r="N26" i="5" a="1"/>
  <c r="N17" i="5" a="1"/>
  <c r="N6" i="5" a="1"/>
  <c r="N24" i="5" a="1"/>
  <c r="N19" i="5" a="1"/>
  <c r="N9" i="5" a="1"/>
  <c r="N15" i="5" a="1"/>
  <c r="N21" i="5" a="1"/>
  <c r="N27" i="5" a="1"/>
  <c r="N11" i="5" a="1"/>
  <c r="N12" i="5" a="1"/>
  <c r="N7" i="5" a="1"/>
  <c r="N10" i="5" a="1"/>
  <c r="N16" i="5" a="1"/>
  <c r="N22" i="5" a="1"/>
  <c r="N28" i="5" a="1"/>
  <c r="N5" i="5" a="1"/>
  <c r="N23" i="5" a="1"/>
  <c r="N18" i="5" a="1"/>
  <c r="N13" i="5" a="1"/>
  <c r="N25" i="5" a="1"/>
  <c r="K23" i="5" a="1"/>
  <c r="K6" i="5" a="1"/>
  <c r="K12" i="5" a="1"/>
  <c r="K18" i="5" a="1"/>
  <c r="K24" i="5" a="1"/>
  <c r="K25" i="5" a="1"/>
  <c r="K21" i="5" a="1"/>
  <c r="K28" i="5" a="1"/>
  <c r="K13" i="5" a="1"/>
  <c r="K7" i="5" a="1"/>
  <c r="K19" i="5" a="1"/>
  <c r="K15" i="5" a="1"/>
  <c r="K22" i="5" a="1"/>
  <c r="K14" i="5" a="1"/>
  <c r="K20" i="5" a="1"/>
  <c r="K9" i="5" a="1"/>
  <c r="K16" i="5" a="1"/>
  <c r="K8" i="5" a="1"/>
  <c r="K26" i="5" a="1"/>
  <c r="K27" i="5" a="1"/>
  <c r="K10" i="5" a="1"/>
  <c r="K5" i="5" a="1"/>
  <c r="K11" i="5" a="1"/>
  <c r="K17" i="5" a="1"/>
  <c r="N4" i="5" a="1"/>
  <c r="K4" i="5" a="1"/>
  <c r="N25" i="5" l="1"/>
  <c r="N13" i="5"/>
  <c r="N18" i="5"/>
  <c r="N23" i="5"/>
  <c r="N5" i="5"/>
  <c r="N28" i="5"/>
  <c r="N22" i="5"/>
  <c r="N16" i="5"/>
  <c r="N10" i="5"/>
  <c r="N7" i="5"/>
  <c r="N12" i="5"/>
  <c r="N11" i="5"/>
  <c r="N27" i="5"/>
  <c r="N21" i="5"/>
  <c r="N15" i="5"/>
  <c r="N9" i="5"/>
  <c r="N19" i="5"/>
  <c r="N24" i="5"/>
  <c r="N6" i="5"/>
  <c r="N17" i="5"/>
  <c r="N26" i="5"/>
  <c r="N20" i="5"/>
  <c r="N14" i="5"/>
  <c r="N8" i="5"/>
  <c r="K17" i="5"/>
  <c r="K11" i="5"/>
  <c r="K5" i="5"/>
  <c r="K10" i="5"/>
  <c r="K27" i="5"/>
  <c r="K26" i="5"/>
  <c r="K8" i="5"/>
  <c r="K16" i="5"/>
  <c r="K9" i="5"/>
  <c r="K20" i="5"/>
  <c r="K14" i="5"/>
  <c r="K22" i="5"/>
  <c r="K15" i="5"/>
  <c r="K19" i="5"/>
  <c r="K7" i="5"/>
  <c r="K13" i="5"/>
  <c r="K28" i="5"/>
  <c r="K21" i="5"/>
  <c r="K25" i="5"/>
  <c r="K24" i="5"/>
  <c r="K18" i="5"/>
  <c r="K12" i="5"/>
  <c r="K6" i="5"/>
  <c r="K23" i="5"/>
  <c r="N4" i="5"/>
  <c r="K4" i="5"/>
  <c r="H20" i="5"/>
  <c r="H19" i="5"/>
  <c r="H20" i="2"/>
  <c r="H19" i="2"/>
  <c r="G23" i="2"/>
  <c r="G24" i="2"/>
  <c r="G25" i="2"/>
  <c r="G26" i="2"/>
  <c r="G27" i="2"/>
  <c r="G28" i="2"/>
  <c r="K23" i="2"/>
  <c r="L23" i="2"/>
  <c r="O23" i="2"/>
  <c r="P23" i="2"/>
  <c r="K24" i="2"/>
  <c r="L24" i="2"/>
  <c r="O24" i="2"/>
  <c r="P24" i="2"/>
  <c r="K25" i="2"/>
  <c r="L25" i="2"/>
  <c r="O25" i="2"/>
  <c r="P25" i="2"/>
  <c r="K26" i="2"/>
  <c r="L26" i="2"/>
  <c r="O26" i="2"/>
  <c r="P26" i="2"/>
  <c r="K27" i="2"/>
  <c r="L27" i="2"/>
  <c r="O27" i="2"/>
  <c r="P27" i="2"/>
  <c r="K28" i="2"/>
  <c r="L28" i="2"/>
  <c r="O28" i="2"/>
  <c r="P28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4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4" i="2"/>
  <c r="Q15" i="1"/>
  <c r="Q16" i="1"/>
  <c r="Q17" i="1"/>
  <c r="Q18" i="1"/>
  <c r="Q19" i="1"/>
  <c r="Q20" i="1"/>
  <c r="Q21" i="1"/>
  <c r="Q22" i="1"/>
  <c r="M15" i="1"/>
  <c r="M16" i="1"/>
  <c r="M17" i="1"/>
  <c r="M18" i="1"/>
  <c r="M19" i="1"/>
  <c r="M20" i="1"/>
  <c r="M21" i="1"/>
  <c r="M22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K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P4" i="1"/>
  <c r="O4" i="1"/>
  <c r="B7" i="2"/>
  <c r="M24" i="5" a="1"/>
  <c r="J17" i="5" a="1"/>
  <c r="M10" i="5" a="1"/>
  <c r="J5" i="5" a="1"/>
  <c r="M25" i="5" a="1"/>
  <c r="J20" i="5" a="1"/>
  <c r="J19" i="5" a="1"/>
  <c r="J18" i="5" a="1"/>
  <c r="M11" i="5" a="1"/>
  <c r="J6" i="5" a="1"/>
  <c r="M26" i="5" a="1"/>
  <c r="J21" i="5" a="1"/>
  <c r="M12" i="5" a="1"/>
  <c r="J7" i="5" a="1"/>
  <c r="M27" i="5" a="1"/>
  <c r="J22" i="5" a="1"/>
  <c r="M13" i="5" a="1"/>
  <c r="J8" i="5" a="1"/>
  <c r="M22" i="5" a="1"/>
  <c r="M28" i="5" a="1"/>
  <c r="J23" i="5" a="1"/>
  <c r="M14" i="5" a="1"/>
  <c r="J9" i="5" a="1"/>
  <c r="J24" i="5" a="1"/>
  <c r="M15" i="5" a="1"/>
  <c r="J10" i="5" a="1"/>
  <c r="J25" i="5" a="1"/>
  <c r="M16" i="5" a="1"/>
  <c r="J11" i="5" a="1"/>
  <c r="M4" i="5" a="1"/>
  <c r="J26" i="5" a="1"/>
  <c r="M17" i="5" a="1"/>
  <c r="J12" i="5" a="1"/>
  <c r="M5" i="5" a="1"/>
  <c r="J27" i="5" a="1"/>
  <c r="M20" i="5" a="1"/>
  <c r="M19" i="5" a="1"/>
  <c r="M18" i="5" a="1"/>
  <c r="J13" i="5" a="1"/>
  <c r="M6" i="5" a="1"/>
  <c r="J28" i="5" a="1"/>
  <c r="M21" i="5" a="1"/>
  <c r="J14" i="5" a="1"/>
  <c r="M7" i="5" a="1"/>
  <c r="M23" i="5" a="1"/>
  <c r="J16" i="5" a="1"/>
  <c r="M9" i="5" a="1"/>
  <c r="J4" i="5" a="1"/>
  <c r="M8" i="5" a="1"/>
  <c r="N23" i="2" a="1"/>
  <c r="N26" i="2" a="1"/>
  <c r="N25" i="2" a="1"/>
  <c r="N28" i="2" a="1"/>
  <c r="N24" i="2" a="1"/>
  <c r="N27" i="2" a="1"/>
  <c r="J23" i="2" a="1"/>
  <c r="J24" i="2" a="1"/>
  <c r="J25" i="2" a="1"/>
  <c r="J26" i="2" a="1"/>
  <c r="J27" i="2" a="1"/>
  <c r="J28" i="2" a="1"/>
  <c r="N18" i="2" a="1"/>
  <c r="N6" i="2" a="1"/>
  <c r="N12" i="2" a="1"/>
  <c r="N7" i="2" a="1"/>
  <c r="N19" i="2" a="1"/>
  <c r="N13" i="2" a="1"/>
  <c r="N9" i="2" a="1"/>
  <c r="N8" i="2" a="1"/>
  <c r="N14" i="2" a="1"/>
  <c r="N20" i="2" a="1"/>
  <c r="N21" i="2" a="1"/>
  <c r="N15" i="2" a="1"/>
  <c r="N10" i="2" a="1"/>
  <c r="N16" i="2" a="1"/>
  <c r="N22" i="2" a="1"/>
  <c r="N5" i="2" a="1"/>
  <c r="N11" i="2" a="1"/>
  <c r="N17" i="2" a="1"/>
  <c r="J11" i="2" a="1"/>
  <c r="J18" i="2" a="1"/>
  <c r="J6" i="2" a="1"/>
  <c r="J12" i="2" a="1"/>
  <c r="J22" i="2" a="1"/>
  <c r="J7" i="2" a="1"/>
  <c r="J13" i="2" a="1"/>
  <c r="J19" i="2" a="1"/>
  <c r="J14" i="2" a="1"/>
  <c r="J16" i="2" a="1"/>
  <c r="J8" i="2" a="1"/>
  <c r="J20" i="2" a="1"/>
  <c r="J21" i="2" a="1"/>
  <c r="J9" i="2" a="1"/>
  <c r="J15" i="2" a="1"/>
  <c r="J5" i="2" a="1"/>
  <c r="J17" i="2" a="1"/>
  <c r="J10" i="2" a="1"/>
  <c r="N4" i="2" a="1"/>
  <c r="J4" i="2" a="1"/>
  <c r="B11" i="2"/>
  <c r="N9" i="1" a="1"/>
  <c r="N15" i="1" a="1"/>
  <c r="N21" i="1" a="1"/>
  <c r="N10" i="1" a="1"/>
  <c r="N16" i="1" a="1"/>
  <c r="N22" i="1" a="1"/>
  <c r="N19" i="1" a="1"/>
  <c r="N11" i="1" a="1"/>
  <c r="N17" i="1" a="1"/>
  <c r="N12" i="1" a="1"/>
  <c r="N18" i="1" a="1"/>
  <c r="N13" i="1" a="1"/>
  <c r="N14" i="1" a="1"/>
  <c r="N20" i="1" a="1"/>
  <c r="J9" i="1" a="1"/>
  <c r="J21" i="1" a="1"/>
  <c r="J22" i="1" a="1"/>
  <c r="J10" i="1" a="1"/>
  <c r="J16" i="1" a="1"/>
  <c r="J11" i="1" a="1"/>
  <c r="J17" i="1" a="1"/>
  <c r="J18" i="1" a="1"/>
  <c r="J12" i="1" a="1"/>
  <c r="J13" i="1" a="1"/>
  <c r="J20" i="1" a="1"/>
  <c r="J19" i="1" a="1"/>
  <c r="J14" i="1" a="1"/>
  <c r="J15" i="1" a="1"/>
  <c r="N5" i="1" a="1"/>
  <c r="N6" i="1" a="1"/>
  <c r="N7" i="1" a="1"/>
  <c r="N8" i="1" a="1"/>
  <c r="J5" i="1" a="1"/>
  <c r="J6" i="1" a="1"/>
  <c r="J7" i="1" a="1"/>
  <c r="J8" i="1" a="1"/>
  <c r="N4" i="1" a="1"/>
  <c r="J4" i="1" a="1"/>
  <c r="B12" i="2"/>
  <c r="B14" i="2"/>
  <c r="B15" i="2"/>
  <c r="B10" i="1"/>
  <c r="B11" i="1"/>
  <c r="M8" i="5" l="1"/>
  <c r="O8" i="5" s="1"/>
  <c r="J4" i="5"/>
  <c r="L4" i="5" s="1"/>
  <c r="M9" i="5"/>
  <c r="O9" i="5" s="1"/>
  <c r="J16" i="5"/>
  <c r="L16" i="5" s="1"/>
  <c r="M23" i="5"/>
  <c r="O23" i="5" s="1"/>
  <c r="M7" i="5"/>
  <c r="O7" i="5" s="1"/>
  <c r="J14" i="5"/>
  <c r="L14" i="5" s="1"/>
  <c r="M21" i="5"/>
  <c r="O21" i="5" s="1"/>
  <c r="J28" i="5"/>
  <c r="L28" i="5" s="1"/>
  <c r="L15" i="5"/>
  <c r="M6" i="5"/>
  <c r="O6" i="5" s="1"/>
  <c r="J13" i="5"/>
  <c r="L13" i="5" s="1"/>
  <c r="M18" i="5"/>
  <c r="O18" i="5" s="1"/>
  <c r="M19" i="5"/>
  <c r="O19" i="5" s="1"/>
  <c r="M20" i="5"/>
  <c r="O20" i="5" s="1"/>
  <c r="J27" i="5"/>
  <c r="L27" i="5" s="1"/>
  <c r="M5" i="5"/>
  <c r="O5" i="5" s="1"/>
  <c r="J12" i="5"/>
  <c r="L12" i="5" s="1"/>
  <c r="M17" i="5"/>
  <c r="O17" i="5" s="1"/>
  <c r="J26" i="5"/>
  <c r="L26" i="5" s="1"/>
  <c r="M4" i="5"/>
  <c r="O4" i="5" s="1"/>
  <c r="J11" i="5"/>
  <c r="L11" i="5" s="1"/>
  <c r="M16" i="5"/>
  <c r="O16" i="5" s="1"/>
  <c r="J25" i="5"/>
  <c r="L25" i="5" s="1"/>
  <c r="J10" i="5"/>
  <c r="L10" i="5" s="1"/>
  <c r="M15" i="5"/>
  <c r="O15" i="5" s="1"/>
  <c r="J24" i="5"/>
  <c r="L24" i="5" s="1"/>
  <c r="J9" i="5"/>
  <c r="L9" i="5" s="1"/>
  <c r="M14" i="5"/>
  <c r="O14" i="5" s="1"/>
  <c r="J23" i="5"/>
  <c r="L23" i="5" s="1"/>
  <c r="M28" i="5"/>
  <c r="O28" i="5" s="1"/>
  <c r="M22" i="5"/>
  <c r="O22" i="5" s="1"/>
  <c r="J8" i="5"/>
  <c r="L8" i="5" s="1"/>
  <c r="M13" i="5"/>
  <c r="O13" i="5" s="1"/>
  <c r="J22" i="5"/>
  <c r="L22" i="5" s="1"/>
  <c r="M27" i="5"/>
  <c r="O27" i="5" s="1"/>
  <c r="J7" i="5"/>
  <c r="L7" i="5" s="1"/>
  <c r="M12" i="5"/>
  <c r="O12" i="5" s="1"/>
  <c r="J21" i="5"/>
  <c r="L21" i="5" s="1"/>
  <c r="M26" i="5"/>
  <c r="O26" i="5" s="1"/>
  <c r="J6" i="5"/>
  <c r="L6" i="5" s="1"/>
  <c r="M11" i="5"/>
  <c r="O11" i="5" s="1"/>
  <c r="J18" i="5"/>
  <c r="L18" i="5" s="1"/>
  <c r="J19" i="5"/>
  <c r="L19" i="5" s="1"/>
  <c r="J20" i="5"/>
  <c r="L20" i="5" s="1"/>
  <c r="M25" i="5"/>
  <c r="O25" i="5" s="1"/>
  <c r="J5" i="5"/>
  <c r="L5" i="5" s="1"/>
  <c r="M10" i="5"/>
  <c r="O10" i="5" s="1"/>
  <c r="J17" i="5"/>
  <c r="L17" i="5" s="1"/>
  <c r="M24" i="5"/>
  <c r="O24" i="5" s="1"/>
  <c r="N27" i="2"/>
  <c r="Q27" i="2" s="1"/>
  <c r="N24" i="2"/>
  <c r="Q24" i="2" s="1"/>
  <c r="N28" i="2"/>
  <c r="Q28" i="2" s="1"/>
  <c r="N25" i="2"/>
  <c r="Q25" i="2" s="1"/>
  <c r="N26" i="2"/>
  <c r="Q26" i="2" s="1"/>
  <c r="N23" i="2"/>
  <c r="Q23" i="2" s="1"/>
  <c r="J28" i="2"/>
  <c r="M28" i="2" s="1"/>
  <c r="J27" i="2"/>
  <c r="M27" i="2" s="1"/>
  <c r="J26" i="2"/>
  <c r="M26" i="2" s="1"/>
  <c r="J25" i="2"/>
  <c r="M25" i="2" s="1"/>
  <c r="J24" i="2"/>
  <c r="M24" i="2" s="1"/>
  <c r="J23" i="2"/>
  <c r="M23" i="2" s="1"/>
  <c r="N17" i="2"/>
  <c r="N11" i="2"/>
  <c r="N5" i="2"/>
  <c r="N22" i="2"/>
  <c r="Q22" i="2" s="1"/>
  <c r="N16" i="2"/>
  <c r="Q16" i="2" s="1"/>
  <c r="N10" i="2"/>
  <c r="N15" i="2"/>
  <c r="Q15" i="2" s="1"/>
  <c r="N21" i="2"/>
  <c r="Q21" i="2" s="1"/>
  <c r="N20" i="2"/>
  <c r="Q20" i="2" s="1"/>
  <c r="N14" i="2"/>
  <c r="Q14" i="2" s="1"/>
  <c r="N8" i="2"/>
  <c r="N9" i="2"/>
  <c r="N13" i="2"/>
  <c r="N19" i="2"/>
  <c r="Q19" i="2" s="1"/>
  <c r="N7" i="2"/>
  <c r="Q7" i="2" s="1"/>
  <c r="N12" i="2"/>
  <c r="Q12" i="2" s="1"/>
  <c r="N6" i="2"/>
  <c r="N18" i="2"/>
  <c r="Q18" i="2" s="1"/>
  <c r="J10" i="2"/>
  <c r="J17" i="2"/>
  <c r="J5" i="2"/>
  <c r="J15" i="2"/>
  <c r="J9" i="2"/>
  <c r="M9" i="2" s="1"/>
  <c r="J21" i="2"/>
  <c r="M21" i="2" s="1"/>
  <c r="J20" i="2"/>
  <c r="M20" i="2" s="1"/>
  <c r="J8" i="2"/>
  <c r="J16" i="2"/>
  <c r="M16" i="2" s="1"/>
  <c r="J14" i="2"/>
  <c r="M14" i="2" s="1"/>
  <c r="J19" i="2"/>
  <c r="M19" i="2" s="1"/>
  <c r="J13" i="2"/>
  <c r="J7" i="2"/>
  <c r="J22" i="2"/>
  <c r="M22" i="2" s="1"/>
  <c r="J12" i="2"/>
  <c r="J6" i="2"/>
  <c r="J18" i="2"/>
  <c r="M18" i="2" s="1"/>
  <c r="J11" i="2"/>
  <c r="N4" i="2"/>
  <c r="J4" i="2"/>
  <c r="M12" i="2"/>
  <c r="M8" i="2"/>
  <c r="M6" i="2"/>
  <c r="M17" i="2"/>
  <c r="M5" i="2"/>
  <c r="M15" i="2"/>
  <c r="Q10" i="2"/>
  <c r="Q17" i="2"/>
  <c r="Q11" i="2"/>
  <c r="Q9" i="2"/>
  <c r="Q13" i="2"/>
  <c r="Q6" i="2"/>
  <c r="N20" i="1"/>
  <c r="N14" i="1"/>
  <c r="Q14" i="1" s="1"/>
  <c r="N13" i="1"/>
  <c r="Q13" i="1" s="1"/>
  <c r="N18" i="1"/>
  <c r="N12" i="1"/>
  <c r="Q12" i="1" s="1"/>
  <c r="N17" i="1"/>
  <c r="N11" i="1"/>
  <c r="Q11" i="1" s="1"/>
  <c r="N19" i="1"/>
  <c r="N22" i="1"/>
  <c r="N16" i="1"/>
  <c r="N10" i="1"/>
  <c r="Q10" i="1" s="1"/>
  <c r="N21" i="1"/>
  <c r="N15" i="1"/>
  <c r="N9" i="1"/>
  <c r="Q9" i="1" s="1"/>
  <c r="J15" i="1"/>
  <c r="J14" i="1"/>
  <c r="M14" i="1" s="1"/>
  <c r="J19" i="1"/>
  <c r="J20" i="1"/>
  <c r="J13" i="1"/>
  <c r="M13" i="1" s="1"/>
  <c r="J12" i="1"/>
  <c r="M12" i="1" s="1"/>
  <c r="J18" i="1"/>
  <c r="J17" i="1"/>
  <c r="J11" i="1"/>
  <c r="M11" i="1" s="1"/>
  <c r="J16" i="1"/>
  <c r="J10" i="1"/>
  <c r="M10" i="1" s="1"/>
  <c r="J22" i="1"/>
  <c r="J21" i="1"/>
  <c r="J9" i="1"/>
  <c r="M9" i="1" s="1"/>
  <c r="N8" i="1"/>
  <c r="Q8" i="1" s="1"/>
  <c r="N7" i="1"/>
  <c r="Q7" i="1" s="1"/>
  <c r="N6" i="1"/>
  <c r="Q6" i="1" s="1"/>
  <c r="N5" i="1"/>
  <c r="Q5" i="1" s="1"/>
  <c r="J8" i="1"/>
  <c r="M8" i="1" s="1"/>
  <c r="J7" i="1"/>
  <c r="M7" i="1" s="1"/>
  <c r="J6" i="1"/>
  <c r="M6" i="1" s="1"/>
  <c r="J5" i="1"/>
  <c r="M5" i="1" s="1"/>
  <c r="N4" i="1"/>
  <c r="Q4" i="1" s="1"/>
  <c r="J4" i="1"/>
  <c r="M4" i="1" s="1"/>
  <c r="M7" i="2" l="1"/>
  <c r="M10" i="2"/>
  <c r="M11" i="2"/>
  <c r="M4" i="2"/>
  <c r="M13" i="2"/>
  <c r="Q8" i="2"/>
  <c r="Q5" i="2"/>
  <c r="Q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<sst xmlns="http://schemas.openxmlformats.org/spreadsheetml/2006/main" count="63" uniqueCount="33">
  <si>
    <t>Function BS_call(S, sigma, rf, q, T, X)</t>
  </si>
  <si>
    <t>Function BS_put(S, sigma, rf, q, T, X)</t>
  </si>
  <si>
    <t>资产价格(S)</t>
  </si>
  <si>
    <t>资产波动率(sigma)</t>
  </si>
  <si>
    <t>无风险利率(rf)</t>
  </si>
  <si>
    <t>红利率(q)</t>
  </si>
  <si>
    <t>到期期限(T)</t>
  </si>
  <si>
    <t>执行价格(X)</t>
  </si>
  <si>
    <t>资产价格(S0)</t>
    <phoneticPr fontId="1" type="noConversion"/>
  </si>
  <si>
    <t>期数(N)</t>
    <phoneticPr fontId="1" type="noConversion"/>
  </si>
  <si>
    <t>无风险利率(r)</t>
    <phoneticPr fontId="1" type="noConversion"/>
  </si>
  <si>
    <t>到期期限(maturity)</t>
    <phoneticPr fontId="1" type="noConversion"/>
  </si>
  <si>
    <t>执行价格(x)</t>
    <phoneticPr fontId="1" type="noConversion"/>
  </si>
  <si>
    <t>Function BinaryTree_call(AmeEurFlag As String, S0, sigma, r, q, maturity, x, N)</t>
    <phoneticPr fontId="1" type="noConversion"/>
  </si>
  <si>
    <t>Function BinaryTree_put(AmeEurFlag As String, S0, sigma, r, q, maturity, x, N)</t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</si>
  <si>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color theme="1"/>
        <rFont val="宋体"/>
        <family val="2"/>
        <charset val="134"/>
        <scheme val="minor"/>
      </rPr>
      <t>期权B-S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</si>
  <si>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color theme="1"/>
        <rFont val="宋体"/>
        <family val="2"/>
        <charset val="134"/>
        <scheme val="minor"/>
      </rPr>
      <t>期权B-S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</si>
  <si>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</si>
  <si>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美式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</si>
  <si>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</si>
  <si>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美式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</si>
  <si>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t>看涨期权上限</t>
    <phoneticPr fontId="1" type="noConversion"/>
  </si>
  <si>
    <t>看涨期权下限</t>
    <phoneticPr fontId="1" type="noConversion"/>
  </si>
  <si>
    <t>看跌期权上限</t>
    <phoneticPr fontId="1" type="noConversion"/>
  </si>
  <si>
    <t>看跌期权下限</t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</si>
  <si>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欧式</t>
    </r>
    <r>
      <rPr>
        <b/>
        <sz val="11"/>
        <color rgb="FF0070C0"/>
        <rFont val="宋体"/>
        <family val="3"/>
        <charset val="134"/>
        <scheme val="minor"/>
      </rPr>
      <t>看涨</t>
    </r>
    <r>
      <rPr>
        <b/>
        <sz val="11"/>
        <color theme="1"/>
        <rFont val="宋体"/>
        <family val="3"/>
        <charset val="134"/>
        <scheme val="minor"/>
      </rPr>
      <t>期权B-S</t>
    </r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</si>
  <si>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欧式</t>
    </r>
    <r>
      <rPr>
        <b/>
        <sz val="11"/>
        <color rgb="FF0070C0"/>
        <rFont val="宋体"/>
        <family val="3"/>
        <charset val="134"/>
        <scheme val="minor"/>
      </rPr>
      <t>看跌</t>
    </r>
    <r>
      <rPr>
        <b/>
        <sz val="11"/>
        <color theme="1"/>
        <rFont val="宋体"/>
        <family val="3"/>
        <charset val="134"/>
        <scheme val="minor"/>
      </rPr>
      <t>期权B-S</t>
    </r>
    <phoneticPr fontId="1" type="noConversion"/>
  </si>
  <si>
    <t>是否满足平价关系</t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</si>
  <si>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美式</t>
    </r>
    <r>
      <rPr>
        <b/>
        <sz val="11"/>
        <color rgb="FF0070C0"/>
        <rFont val="宋体"/>
        <family val="3"/>
        <charset val="134"/>
        <scheme val="minor"/>
      </rPr>
      <t>看跌</t>
    </r>
    <r>
      <rPr>
        <b/>
        <sz val="11"/>
        <color theme="1"/>
        <rFont val="宋体"/>
        <family val="3"/>
        <charset val="134"/>
        <scheme val="minor"/>
      </rPr>
      <t>期权</t>
    </r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</si>
  <si>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美式</t>
    </r>
    <r>
      <rPr>
        <b/>
        <sz val="11"/>
        <color rgb="FF0070C0"/>
        <rFont val="宋体"/>
        <family val="3"/>
        <charset val="134"/>
        <scheme val="minor"/>
      </rPr>
      <t>看涨</t>
    </r>
    <r>
      <rPr>
        <b/>
        <sz val="11"/>
        <color theme="1"/>
        <rFont val="宋体"/>
        <family val="3"/>
        <charset val="134"/>
        <scheme val="minor"/>
      </rPr>
      <t>期权</t>
    </r>
    <phoneticPr fontId="1" type="noConversion"/>
  </si>
  <si>
    <t>是否提前行权</t>
    <phoneticPr fontId="1" type="noConversion"/>
  </si>
  <si>
    <t>欧式看涨期权</t>
    <phoneticPr fontId="1" type="noConversion"/>
  </si>
  <si>
    <t>欧式看跌期权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</si>
</sst>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Geneva"/>
      <family val="2"/>
    </font>
    <font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25">
    <xf numFmtId="0" fontId="0" fillId="0" borderId="0" xfId="0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176" fontId="0" fillId="5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</cellXfs>
  <cellStyles count="2">
    <cellStyle name="Normal_Sheet1" xfId="1" xr:uid="{00000000-0005-0000-0000-000000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7"/>
  <sheetViews>
    <sheetView topLeftCell="F1" zoomScaleNormal="100" workbookViewId="0">
      <selection activeCell="N4" sqref="N4"/>
    </sheetView>
  </sheetViews>
  <sheetFormatPr defaultColWidth="9" defaultRowHeight="14.4"/>
  <cols>
    <col min="1" max="1" width="18.77734375" style="2" bestFit="1" customWidth="1"/>
    <col min="2" max="3" width="9" style="2"/>
    <col min="4" max="9" width="19.21875" style="2" customWidth="1"/>
    <col min="10" max="10" width="17" style="12" customWidth="1"/>
    <col min="11" max="11" width="13.44140625" style="2" customWidth="1"/>
    <col min="12" max="12" width="12.5546875" style="2" customWidth="1"/>
    <col min="13" max="13" width="17.77734375" style="2" customWidth="1"/>
    <col min="14" max="14" width="19.21875" style="10" customWidth="1"/>
    <col min="15" max="15" width="13.44140625" style="2" customWidth="1"/>
    <col min="16" max="16" width="13.33203125" style="2" customWidth="1"/>
    <col min="17" max="17" width="17.21875" style="2" customWidth="1"/>
    <col min="18" max="16384" width="9" style="2"/>
  </cols>
  <sheetData>
    <row r="1" spans="1:17">
      <c r="A1" s="8" t="s">
        <v>0</v>
      </c>
      <c r="B1" s="8"/>
      <c r="C1" s="8"/>
      <c r="D1" s="8"/>
      <c r="E1" s="8"/>
      <c r="J1" s="2"/>
      <c r="N1" s="2"/>
    </row>
    <row r="2" spans="1:17">
      <c r="A2" s="8" t="s">
        <v>1</v>
      </c>
      <c r="B2" s="8"/>
      <c r="C2" s="8"/>
      <c r="D2" s="8"/>
      <c r="E2" s="8"/>
      <c r="J2" s="2"/>
      <c r="N2" s="2"/>
    </row>
    <row r="3" spans="1:17">
      <c r="A3" s="3" t="s">
        <v>2</v>
      </c>
      <c r="B3" s="3">
        <v>74.625</v>
      </c>
      <c r="C3" s="1"/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14" t="s">
        <v>25</v>
      </c>
      <c r="K3" s="13" t="s">
        <v>21</v>
      </c>
      <c r="L3" s="13" t="s">
        <v>22</v>
      </c>
      <c r="M3" s="13" t="s">
        <v>27</v>
      </c>
      <c r="N3" s="15" t="s">
        <v>26</v>
      </c>
      <c r="O3" s="13" t="s">
        <v>23</v>
      </c>
      <c r="P3" s="13" t="s">
        <v>24</v>
      </c>
      <c r="Q3" s="13" t="s">
        <v>27</v>
      </c>
    </row>
    <row r="4" spans="1:17">
      <c r="A4" s="3" t="s">
        <v>3</v>
      </c>
      <c r="B4" s="3">
        <v>0.375</v>
      </c>
      <c r="C4" s="1"/>
      <c r="D4" s="3">
        <v>50</v>
      </c>
      <c r="E4" s="3">
        <v>0.375</v>
      </c>
      <c r="F4" s="3">
        <v>0.05</v>
      </c>
      <c r="G4" s="3">
        <v>0.02</v>
      </c>
      <c r="H4" s="3">
        <v>1.6459999999999999</v>
      </c>
      <c r="I4" s="3">
        <v>100</v>
      </c>
      <c r="J4" s="11" cm="1">
        <f t="array" ref="J4">BS_call($D4,$E4,$F4,$G4,$H4,$I4)</f>
        <v>1.3207682614641758</v>
      </c>
      <c r="K4" s="2">
        <f>$D4</f>
        <v>50</v>
      </c>
      <c r="L4" s="2">
        <f>MAX($D4*EXP(-$G4*$H4)-$I4*EXP(-$F4*$H4),0)</f>
        <v>0</v>
      </c>
      <c r="M4" s="2" t="str">
        <f>IF(J4&gt;K4,"No",IF(J4&lt;L4,"No","Yes"))</f>
        <v>Yes</v>
      </c>
      <c r="N4" s="9" cm="1">
        <f t="array" ref="N4">BS_put($D4,$E4,$F4,$G4,$H4,$I4)</f>
        <v>45.039531829147165</v>
      </c>
      <c r="O4" s="2">
        <f>I4*EXP(-F4*H4)</f>
        <v>92.099561856183243</v>
      </c>
      <c r="P4" s="2">
        <f>MAX(I4*EXP(-F4*H4)-D4*EXP(-G4*H4),0)</f>
        <v>43.718763567682991</v>
      </c>
      <c r="Q4" s="2" t="str">
        <f>IF(N4&gt;O4,"No",IF(N4&lt;P4,"No","Yes"))</f>
        <v>Yes</v>
      </c>
    </row>
    <row r="5" spans="1:17">
      <c r="A5" s="3" t="s">
        <v>4</v>
      </c>
      <c r="B5" s="3">
        <v>0.05</v>
      </c>
      <c r="C5" s="1"/>
      <c r="D5" s="7">
        <v>60</v>
      </c>
      <c r="E5" s="7"/>
      <c r="F5" s="7"/>
      <c r="G5" s="7"/>
      <c r="H5" s="7"/>
      <c r="I5" s="7"/>
      <c r="J5" s="11" t="e" cm="1">
        <f t="array" ref="J5">BS_call($D5,$E5,$F5,$G5,$H5,$I5)</f>
        <v>#VALUE!</v>
      </c>
      <c r="K5" s="2">
        <f t="shared" ref="K5:K22" si="0">$D5</f>
        <v>60</v>
      </c>
      <c r="L5" s="2">
        <f t="shared" ref="L5:L22" si="1">MAX($D5*EXP(-$G5*$H5)-$I5*EXP(-$F5*$H5),0)</f>
        <v>60</v>
      </c>
      <c r="M5" s="2" t="e">
        <f t="shared" ref="M5:M22" si="2">IF(J5&gt;K5,"No",IF(J5&lt;L5,"No","Yes"))</f>
        <v>#VALUE!</v>
      </c>
      <c r="N5" s="9" t="e" cm="1">
        <f t="array" ref="N5">BS_put($D5,$E5,$F5,$G5,$H5,$I5)</f>
        <v>#VALUE!</v>
      </c>
      <c r="O5" s="2">
        <f t="shared" ref="O5:O22" si="3">I5*EXP(-F5*H5)</f>
        <v>0</v>
      </c>
      <c r="P5" s="2">
        <f t="shared" ref="P5:P22" si="4">MAX(I5*EXP(-F5*H5)-D5*EXP(-G5*H5),0)</f>
        <v>0</v>
      </c>
      <c r="Q5" s="2" t="e">
        <f t="shared" ref="Q5:Q22" si="5">IF(N5&gt;O5,"No",IF(N5&lt;P5,"No","Yes"))</f>
        <v>#VALUE!</v>
      </c>
    </row>
    <row r="6" spans="1:17">
      <c r="A6" s="3" t="s">
        <v>5</v>
      </c>
      <c r="B6" s="3">
        <v>0.02</v>
      </c>
      <c r="C6" s="1"/>
      <c r="D6" s="7">
        <v>70</v>
      </c>
      <c r="E6" s="7"/>
      <c r="F6" s="7"/>
      <c r="G6" s="7"/>
      <c r="H6" s="7"/>
      <c r="I6" s="7"/>
      <c r="J6" s="11" t="e" cm="1">
        <f t="array" ref="J6">BS_call($D6,$E6,$F6,$G6,$H6,$I6)</f>
        <v>#VALUE!</v>
      </c>
      <c r="K6" s="2">
        <f t="shared" si="0"/>
        <v>70</v>
      </c>
      <c r="L6" s="2">
        <f t="shared" si="1"/>
        <v>70</v>
      </c>
      <c r="M6" s="2" t="e">
        <f t="shared" si="2"/>
        <v>#VALUE!</v>
      </c>
      <c r="N6" s="9" t="e" cm="1">
        <f t="array" ref="N6">BS_put($D6,$E6,$F6,$G6,$H6,$I6)</f>
        <v>#VALUE!</v>
      </c>
      <c r="O6" s="2">
        <f t="shared" si="3"/>
        <v>0</v>
      </c>
      <c r="P6" s="2">
        <f t="shared" si="4"/>
        <v>0</v>
      </c>
      <c r="Q6" s="2" t="e">
        <f t="shared" si="5"/>
        <v>#VALUE!</v>
      </c>
    </row>
    <row r="7" spans="1:17">
      <c r="A7" s="3" t="s">
        <v>6</v>
      </c>
      <c r="B7" s="3">
        <v>1.6459999999999999</v>
      </c>
      <c r="C7" s="1"/>
      <c r="D7" s="7">
        <v>80</v>
      </c>
      <c r="E7" s="7"/>
      <c r="F7" s="7"/>
      <c r="G7" s="7"/>
      <c r="H7" s="7"/>
      <c r="I7" s="7"/>
      <c r="J7" s="11" t="e" cm="1">
        <f t="array" ref="J7">BS_call($D7,$E7,$F7,$G7,$H7,$I7)</f>
        <v>#VALUE!</v>
      </c>
      <c r="K7" s="2">
        <f t="shared" si="0"/>
        <v>80</v>
      </c>
      <c r="L7" s="2">
        <f t="shared" si="1"/>
        <v>80</v>
      </c>
      <c r="M7" s="2" t="e">
        <f t="shared" si="2"/>
        <v>#VALUE!</v>
      </c>
      <c r="N7" s="9" t="e" cm="1">
        <f t="array" ref="N7">BS_put($D7,$E7,$F7,$G7,$H7,$I7)</f>
        <v>#VALUE!</v>
      </c>
      <c r="O7" s="2">
        <f t="shared" si="3"/>
        <v>0</v>
      </c>
      <c r="P7" s="2">
        <f t="shared" si="4"/>
        <v>0</v>
      </c>
      <c r="Q7" s="2" t="e">
        <f t="shared" si="5"/>
        <v>#VALUE!</v>
      </c>
    </row>
    <row r="8" spans="1:17">
      <c r="A8" s="3" t="s">
        <v>7</v>
      </c>
      <c r="B8" s="3">
        <v>100</v>
      </c>
      <c r="C8" s="1"/>
      <c r="D8" s="7">
        <v>90</v>
      </c>
      <c r="E8" s="7"/>
      <c r="F8" s="7"/>
      <c r="G8" s="7"/>
      <c r="H8" s="7"/>
      <c r="I8" s="7"/>
      <c r="J8" s="11" t="e" cm="1">
        <f t="array" ref="J8">BS_call($D8,$E8,$F8,$G8,$H8,$I8)</f>
        <v>#VALUE!</v>
      </c>
      <c r="K8" s="2">
        <f t="shared" si="0"/>
        <v>90</v>
      </c>
      <c r="L8" s="2">
        <f t="shared" si="1"/>
        <v>90</v>
      </c>
      <c r="M8" s="2" t="e">
        <f t="shared" si="2"/>
        <v>#VALUE!</v>
      </c>
      <c r="N8" s="9" t="e" cm="1">
        <f t="array" ref="N8">BS_put($D8,$E8,$F8,$G8,$H8,$I8)</f>
        <v>#VALUE!</v>
      </c>
      <c r="O8" s="2">
        <f t="shared" si="3"/>
        <v>0</v>
      </c>
      <c r="P8" s="2">
        <f t="shared" si="4"/>
        <v>0</v>
      </c>
      <c r="Q8" s="2" t="e">
        <f t="shared" si="5"/>
        <v>#VALUE!</v>
      </c>
    </row>
    <row r="9" spans="1:17">
      <c r="D9" s="7">
        <v>100</v>
      </c>
      <c r="E9" s="7"/>
      <c r="F9" s="7"/>
      <c r="G9" s="7"/>
      <c r="H9" s="7"/>
      <c r="I9" s="7"/>
      <c r="J9" s="11" t="e" cm="1">
        <f t="array" ref="J9">BS_call($D9,$E9,$F9,$G9,$H9,$I9)</f>
        <v>#VALUE!</v>
      </c>
      <c r="K9" s="2">
        <f t="shared" si="0"/>
        <v>100</v>
      </c>
      <c r="L9" s="2">
        <f t="shared" si="1"/>
        <v>100</v>
      </c>
      <c r="M9" s="2" t="e">
        <f t="shared" si="2"/>
        <v>#VALUE!</v>
      </c>
      <c r="N9" s="9" t="e" cm="1">
        <f t="array" ref="N9">BS_put($D9,$E9,$F9,$G9,$H9,$I9)</f>
        <v>#VALUE!</v>
      </c>
      <c r="O9" s="2">
        <f t="shared" si="3"/>
        <v>0</v>
      </c>
      <c r="P9" s="2">
        <f t="shared" si="4"/>
        <v>0</v>
      </c>
      <c r="Q9" s="2" t="e">
        <f t="shared" si="5"/>
        <v>#VALUE!</v>
      </c>
    </row>
    <row r="10" spans="1:17">
      <c r="A10" s="5" t="s">
        <v>15</v>
      </c>
      <c r="B10" s="4">
        <f>BS_put(bs_s,bs_sigma,bs_rf,bs_q,bs_T,bs_X)</f>
        <v>27.46969190298752</v>
      </c>
      <c r="D10" s="7">
        <v>110</v>
      </c>
      <c r="E10" s="7"/>
      <c r="F10" s="7"/>
      <c r="G10" s="7"/>
      <c r="H10" s="7"/>
      <c r="I10" s="7"/>
      <c r="J10" s="11" t="e" cm="1">
        <f t="array" ref="J10">BS_call($D10,$E10,$F10,$G10,$H10,$I10)</f>
        <v>#VALUE!</v>
      </c>
      <c r="K10" s="2">
        <f t="shared" si="0"/>
        <v>110</v>
      </c>
      <c r="L10" s="2">
        <f t="shared" si="1"/>
        <v>110</v>
      </c>
      <c r="M10" s="2" t="e">
        <f t="shared" si="2"/>
        <v>#VALUE!</v>
      </c>
      <c r="N10" s="9" t="e" cm="1">
        <f t="array" ref="N10">BS_put($D10,$E10,$F10,$G10,$H10,$I10)</f>
        <v>#VALUE!</v>
      </c>
      <c r="O10" s="2">
        <f t="shared" si="3"/>
        <v>0</v>
      </c>
      <c r="P10" s="2">
        <f t="shared" si="4"/>
        <v>0</v>
      </c>
      <c r="Q10" s="2" t="e">
        <f t="shared" si="5"/>
        <v>#VALUE!</v>
      </c>
    </row>
    <row r="11" spans="1:17">
      <c r="A11" s="5" t="s">
        <v>16</v>
      </c>
      <c r="B11" s="4">
        <f>BS_call(bs_s,bs_sigma,bs_rf,bs_q,bs_T,bs_X)</f>
        <v>7.5784714923909107</v>
      </c>
      <c r="D11" s="7">
        <v>120</v>
      </c>
      <c r="E11" s="7"/>
      <c r="F11" s="7"/>
      <c r="G11" s="7"/>
      <c r="H11" s="7"/>
      <c r="I11" s="7"/>
      <c r="J11" s="11" t="e" cm="1">
        <f t="array" ref="J11">BS_call($D11,$E11,$F11,$G11,$H11,$I11)</f>
        <v>#VALUE!</v>
      </c>
      <c r="K11" s="2">
        <f t="shared" si="0"/>
        <v>120</v>
      </c>
      <c r="L11" s="2">
        <f t="shared" si="1"/>
        <v>120</v>
      </c>
      <c r="M11" s="2" t="e">
        <f t="shared" si="2"/>
        <v>#VALUE!</v>
      </c>
      <c r="N11" s="9" t="e" cm="1">
        <f t="array" ref="N11">BS_put($D11,$E11,$F11,$G11,$H11,$I11)</f>
        <v>#VALUE!</v>
      </c>
      <c r="O11" s="2">
        <f t="shared" si="3"/>
        <v>0</v>
      </c>
      <c r="P11" s="2">
        <f t="shared" si="4"/>
        <v>0</v>
      </c>
      <c r="Q11" s="2" t="e">
        <f t="shared" si="5"/>
        <v>#VALUE!</v>
      </c>
    </row>
    <row r="12" spans="1:17">
      <c r="D12" s="7">
        <v>130</v>
      </c>
      <c r="E12" s="7"/>
      <c r="F12" s="7"/>
      <c r="G12" s="7"/>
      <c r="H12" s="7"/>
      <c r="I12" s="7"/>
      <c r="J12" s="11" t="e" cm="1">
        <f t="array" ref="J12">BS_call($D12,$E12,$F12,$G12,$H12,$I12)</f>
        <v>#VALUE!</v>
      </c>
      <c r="K12" s="2">
        <f t="shared" si="0"/>
        <v>130</v>
      </c>
      <c r="L12" s="2">
        <f t="shared" si="1"/>
        <v>130</v>
      </c>
      <c r="M12" s="2" t="e">
        <f t="shared" si="2"/>
        <v>#VALUE!</v>
      </c>
      <c r="N12" s="9" t="e" cm="1">
        <f t="array" ref="N12">BS_put($D12,$E12,$F12,$G12,$H12,$I12)</f>
        <v>#VALUE!</v>
      </c>
      <c r="O12" s="2">
        <f t="shared" si="3"/>
        <v>0</v>
      </c>
      <c r="P12" s="2">
        <f t="shared" si="4"/>
        <v>0</v>
      </c>
      <c r="Q12" s="2" t="e">
        <f t="shared" si="5"/>
        <v>#VALUE!</v>
      </c>
    </row>
    <row r="13" spans="1:17">
      <c r="D13" s="7">
        <v>150</v>
      </c>
      <c r="E13" s="7"/>
      <c r="F13" s="7"/>
      <c r="G13" s="7"/>
      <c r="H13" s="7"/>
      <c r="I13" s="7"/>
      <c r="J13" s="11" t="e" cm="1">
        <f t="array" ref="J13">BS_call($D13,$E13,$F13,$G13,$H13,$I13)</f>
        <v>#VALUE!</v>
      </c>
      <c r="K13" s="2">
        <f t="shared" si="0"/>
        <v>150</v>
      </c>
      <c r="L13" s="2">
        <f t="shared" si="1"/>
        <v>150</v>
      </c>
      <c r="M13" s="2" t="e">
        <f t="shared" si="2"/>
        <v>#VALUE!</v>
      </c>
      <c r="N13" s="9" t="e" cm="1">
        <f t="array" ref="N13">BS_put($D13,$E13,$F13,$G13,$H13,$I13)</f>
        <v>#VALUE!</v>
      </c>
      <c r="O13" s="2">
        <f t="shared" si="3"/>
        <v>0</v>
      </c>
      <c r="P13" s="2">
        <f t="shared" si="4"/>
        <v>0</v>
      </c>
      <c r="Q13" s="2" t="e">
        <f t="shared" si="5"/>
        <v>#VALUE!</v>
      </c>
    </row>
    <row r="14" spans="1:17">
      <c r="D14" s="7">
        <v>200</v>
      </c>
      <c r="E14" s="7"/>
      <c r="F14" s="7"/>
      <c r="G14" s="7"/>
      <c r="H14" s="7"/>
      <c r="I14" s="7"/>
      <c r="J14" s="11" t="e" cm="1">
        <f t="array" ref="J14">BS_call($D14,$E14,$F14,$G14,$H14,$I14)</f>
        <v>#VALUE!</v>
      </c>
      <c r="K14" s="2">
        <f t="shared" si="0"/>
        <v>200</v>
      </c>
      <c r="L14" s="2">
        <f t="shared" si="1"/>
        <v>200</v>
      </c>
      <c r="M14" s="2" t="e">
        <f t="shared" si="2"/>
        <v>#VALUE!</v>
      </c>
      <c r="N14" s="9" t="e" cm="1">
        <f t="array" ref="N14">BS_put($D14,$E14,$F14,$G14,$H14,$I14)</f>
        <v>#VALUE!</v>
      </c>
      <c r="O14" s="2">
        <f t="shared" si="3"/>
        <v>0</v>
      </c>
      <c r="P14" s="2">
        <f t="shared" si="4"/>
        <v>0</v>
      </c>
      <c r="Q14" s="2" t="e">
        <f t="shared" si="5"/>
        <v>#VALUE!</v>
      </c>
    </row>
    <row r="15" spans="1:17">
      <c r="D15" s="7"/>
      <c r="E15" s="7"/>
      <c r="F15" s="7"/>
      <c r="G15" s="7"/>
      <c r="H15" s="7"/>
      <c r="I15" s="7"/>
      <c r="J15" s="11" t="e" cm="1">
        <f t="array" ref="J15">BS_call($D15,$E15,$F15,$G15,$H15,$I15)</f>
        <v>#VALUE!</v>
      </c>
      <c r="K15" s="2">
        <f t="shared" si="0"/>
        <v>0</v>
      </c>
      <c r="L15" s="2">
        <f t="shared" si="1"/>
        <v>0</v>
      </c>
      <c r="M15" s="2" t="e">
        <f t="shared" si="2"/>
        <v>#VALUE!</v>
      </c>
      <c r="N15" s="9" t="e" cm="1">
        <f t="array" ref="N15">BS_put($D15,$E15,$F15,$G15,$H15,$I15)</f>
        <v>#VALUE!</v>
      </c>
      <c r="O15" s="2">
        <f t="shared" si="3"/>
        <v>0</v>
      </c>
      <c r="P15" s="2">
        <f t="shared" si="4"/>
        <v>0</v>
      </c>
      <c r="Q15" s="2" t="e">
        <f t="shared" si="5"/>
        <v>#VALUE!</v>
      </c>
    </row>
    <row r="16" spans="1:17">
      <c r="D16" s="7"/>
      <c r="E16" s="7"/>
      <c r="F16" s="7"/>
      <c r="G16" s="7"/>
      <c r="H16" s="7"/>
      <c r="I16" s="7"/>
      <c r="J16" s="11" t="e" cm="1">
        <f t="array" ref="J16">BS_call($D16,$E16,$F16,$G16,$H16,$I16)</f>
        <v>#VALUE!</v>
      </c>
      <c r="K16" s="2">
        <f t="shared" si="0"/>
        <v>0</v>
      </c>
      <c r="L16" s="2">
        <f t="shared" si="1"/>
        <v>0</v>
      </c>
      <c r="M16" s="2" t="e">
        <f t="shared" si="2"/>
        <v>#VALUE!</v>
      </c>
      <c r="N16" s="9" t="e" cm="1">
        <f t="array" ref="N16">BS_put($D16,$E16,$F16,$G16,$H16,$I16)</f>
        <v>#VALUE!</v>
      </c>
      <c r="O16" s="2">
        <f t="shared" si="3"/>
        <v>0</v>
      </c>
      <c r="P16" s="2">
        <f t="shared" si="4"/>
        <v>0</v>
      </c>
      <c r="Q16" s="2" t="e">
        <f t="shared" si="5"/>
        <v>#VALUE!</v>
      </c>
    </row>
    <row r="17" spans="4:17">
      <c r="D17" s="7"/>
      <c r="E17" s="7"/>
      <c r="F17" s="7"/>
      <c r="G17" s="7"/>
      <c r="H17" s="7"/>
      <c r="I17" s="7"/>
      <c r="J17" s="11" t="e" cm="1">
        <f t="array" ref="J17">BS_call($D17,$E17,$F17,$G17,$H17,$I17)</f>
        <v>#VALUE!</v>
      </c>
      <c r="K17" s="2">
        <f t="shared" si="0"/>
        <v>0</v>
      </c>
      <c r="L17" s="2">
        <f t="shared" si="1"/>
        <v>0</v>
      </c>
      <c r="M17" s="2" t="e">
        <f t="shared" si="2"/>
        <v>#VALUE!</v>
      </c>
      <c r="N17" s="9" t="e" cm="1">
        <f t="array" ref="N17">BS_put($D17,$E17,$F17,$G17,$H17,$I17)</f>
        <v>#VALUE!</v>
      </c>
      <c r="O17" s="2">
        <f t="shared" si="3"/>
        <v>0</v>
      </c>
      <c r="P17" s="2">
        <f t="shared" si="4"/>
        <v>0</v>
      </c>
      <c r="Q17" s="2" t="e">
        <f t="shared" si="5"/>
        <v>#VALUE!</v>
      </c>
    </row>
    <row r="18" spans="4:17">
      <c r="D18" s="7"/>
      <c r="E18" s="7"/>
      <c r="F18" s="7"/>
      <c r="G18" s="7"/>
      <c r="H18" s="7"/>
      <c r="I18" s="7"/>
      <c r="J18" s="11" t="e" cm="1">
        <f t="array" ref="J18">BS_call($D18,$E18,$F18,$G18,$H18,$I18)</f>
        <v>#VALUE!</v>
      </c>
      <c r="K18" s="2">
        <f t="shared" si="0"/>
        <v>0</v>
      </c>
      <c r="L18" s="2">
        <f t="shared" si="1"/>
        <v>0</v>
      </c>
      <c r="M18" s="2" t="e">
        <f t="shared" si="2"/>
        <v>#VALUE!</v>
      </c>
      <c r="N18" s="9" t="e" cm="1">
        <f t="array" ref="N18">BS_put($D18,$E18,$F18,$G18,$H18,$I18)</f>
        <v>#VALUE!</v>
      </c>
      <c r="O18" s="2">
        <f t="shared" si="3"/>
        <v>0</v>
      </c>
      <c r="P18" s="2">
        <f t="shared" si="4"/>
        <v>0</v>
      </c>
      <c r="Q18" s="2" t="e">
        <f t="shared" si="5"/>
        <v>#VALUE!</v>
      </c>
    </row>
    <row r="19" spans="4:17">
      <c r="D19" s="7"/>
      <c r="E19" s="7"/>
      <c r="F19" s="7"/>
      <c r="G19" s="7"/>
      <c r="H19" s="7"/>
      <c r="I19" s="7"/>
      <c r="J19" s="11" t="e" cm="1">
        <f t="array" ref="J19">BS_call($D19,$E19,$F19,$G19,$H19,$I19)</f>
        <v>#VALUE!</v>
      </c>
      <c r="K19" s="2">
        <f t="shared" si="0"/>
        <v>0</v>
      </c>
      <c r="L19" s="2">
        <f t="shared" si="1"/>
        <v>0</v>
      </c>
      <c r="M19" s="2" t="e">
        <f t="shared" si="2"/>
        <v>#VALUE!</v>
      </c>
      <c r="N19" s="9" t="e" cm="1">
        <f t="array" ref="N19">BS_put($D19,$E19,$F19,$G19,$H19,$I19)</f>
        <v>#VALUE!</v>
      </c>
      <c r="O19" s="2">
        <f t="shared" si="3"/>
        <v>0</v>
      </c>
      <c r="P19" s="2">
        <f t="shared" si="4"/>
        <v>0</v>
      </c>
      <c r="Q19" s="2" t="e">
        <f t="shared" si="5"/>
        <v>#VALUE!</v>
      </c>
    </row>
    <row r="20" spans="4:17">
      <c r="D20" s="7"/>
      <c r="E20" s="7"/>
      <c r="F20" s="7"/>
      <c r="G20" s="7"/>
      <c r="H20" s="7"/>
      <c r="I20" s="7"/>
      <c r="J20" s="11" t="e" cm="1">
        <f t="array" ref="J20">BS_call($D20,$E20,$F20,$G20,$H20,$I20)</f>
        <v>#VALUE!</v>
      </c>
      <c r="K20" s="2">
        <f t="shared" si="0"/>
        <v>0</v>
      </c>
      <c r="L20" s="2">
        <f t="shared" si="1"/>
        <v>0</v>
      </c>
      <c r="M20" s="2" t="e">
        <f t="shared" si="2"/>
        <v>#VALUE!</v>
      </c>
      <c r="N20" s="9" t="e" cm="1">
        <f t="array" ref="N20">BS_put($D20,$E20,$F20,$G20,$H20,$I20)</f>
        <v>#VALUE!</v>
      </c>
      <c r="O20" s="2">
        <f t="shared" si="3"/>
        <v>0</v>
      </c>
      <c r="P20" s="2">
        <f t="shared" si="4"/>
        <v>0</v>
      </c>
      <c r="Q20" s="2" t="e">
        <f t="shared" si="5"/>
        <v>#VALUE!</v>
      </c>
    </row>
    <row r="21" spans="4:17">
      <c r="D21" s="7"/>
      <c r="E21" s="7"/>
      <c r="F21" s="7"/>
      <c r="G21" s="7"/>
      <c r="H21" s="7"/>
      <c r="I21" s="7"/>
      <c r="J21" s="11" t="e" cm="1">
        <f t="array" ref="J21">BS_call($D21,$E21,$F21,$G21,$H21,$I21)</f>
        <v>#VALUE!</v>
      </c>
      <c r="K21" s="2">
        <f t="shared" si="0"/>
        <v>0</v>
      </c>
      <c r="L21" s="2">
        <f t="shared" si="1"/>
        <v>0</v>
      </c>
      <c r="M21" s="2" t="e">
        <f t="shared" si="2"/>
        <v>#VALUE!</v>
      </c>
      <c r="N21" s="9" t="e" cm="1">
        <f t="array" ref="N21">BS_put($D21,$E21,$F21,$G21,$H21,$I21)</f>
        <v>#VALUE!</v>
      </c>
      <c r="O21" s="2">
        <f t="shared" si="3"/>
        <v>0</v>
      </c>
      <c r="P21" s="2">
        <f t="shared" si="4"/>
        <v>0</v>
      </c>
      <c r="Q21" s="2" t="e">
        <f t="shared" si="5"/>
        <v>#VALUE!</v>
      </c>
    </row>
    <row r="22" spans="4:17">
      <c r="D22" s="7"/>
      <c r="E22" s="7"/>
      <c r="F22" s="7"/>
      <c r="G22" s="7"/>
      <c r="H22" s="7"/>
      <c r="I22" s="7"/>
      <c r="J22" s="11" t="e" cm="1">
        <f t="array" ref="J22">BS_call($D22,$E22,$F22,$G22,$H22,$I22)</f>
        <v>#VALUE!</v>
      </c>
      <c r="K22" s="2">
        <f t="shared" si="0"/>
        <v>0</v>
      </c>
      <c r="L22" s="2">
        <f t="shared" si="1"/>
        <v>0</v>
      </c>
      <c r="M22" s="2" t="e">
        <f t="shared" si="2"/>
        <v>#VALUE!</v>
      </c>
      <c r="N22" s="9" t="e" cm="1">
        <f t="array" ref="N22">BS_put($D22,$E22,$F22,$G22,$H22,$I22)</f>
        <v>#VALUE!</v>
      </c>
      <c r="O22" s="2">
        <f t="shared" si="3"/>
        <v>0</v>
      </c>
      <c r="P22" s="2">
        <f t="shared" si="4"/>
        <v>0</v>
      </c>
      <c r="Q22" s="2" t="e">
        <f t="shared" si="5"/>
        <v>#VALUE!</v>
      </c>
    </row>
    <row r="23" spans="4:17">
      <c r="D23" s="7"/>
      <c r="E23" s="7"/>
      <c r="F23" s="7"/>
      <c r="G23" s="7"/>
      <c r="H23" s="7"/>
      <c r="I23" s="7"/>
      <c r="J23" s="11"/>
      <c r="N23" s="9"/>
    </row>
    <row r="24" spans="4:17">
      <c r="D24" s="7"/>
      <c r="E24" s="7"/>
      <c r="F24" s="7"/>
      <c r="G24" s="7"/>
      <c r="H24" s="7"/>
      <c r="I24" s="7"/>
      <c r="J24" s="11"/>
      <c r="N24" s="9"/>
    </row>
    <row r="25" spans="4:17">
      <c r="D25" s="7"/>
      <c r="E25" s="7"/>
      <c r="F25" s="7"/>
      <c r="G25" s="7"/>
      <c r="H25" s="7"/>
      <c r="I25" s="7"/>
      <c r="J25" s="11"/>
      <c r="N25" s="9"/>
    </row>
    <row r="26" spans="4:17">
      <c r="D26" s="7"/>
      <c r="E26" s="7"/>
      <c r="F26" s="7"/>
      <c r="G26" s="7"/>
      <c r="H26" s="7"/>
      <c r="I26" s="7"/>
      <c r="J26" s="11"/>
      <c r="N26" s="9"/>
    </row>
    <row r="27" spans="4:17">
      <c r="D27" s="7"/>
      <c r="E27" s="7"/>
      <c r="F27" s="7"/>
      <c r="G27" s="7"/>
      <c r="H27" s="7"/>
      <c r="I27" s="7"/>
      <c r="J27" s="11"/>
      <c r="N27" s="9"/>
    </row>
    <row r="28" spans="4:17">
      <c r="D28" s="7"/>
      <c r="E28" s="7"/>
      <c r="F28" s="7"/>
      <c r="G28" s="7"/>
      <c r="H28" s="7"/>
      <c r="I28" s="7"/>
      <c r="J28" s="11"/>
      <c r="N28" s="9"/>
    </row>
    <row r="29" spans="4:17">
      <c r="D29" s="7"/>
      <c r="E29" s="7"/>
      <c r="F29" s="7"/>
      <c r="G29" s="7"/>
      <c r="H29" s="7"/>
      <c r="I29" s="7"/>
      <c r="J29" s="11"/>
      <c r="N29" s="9"/>
    </row>
    <row r="30" spans="4:17">
      <c r="D30" s="7"/>
      <c r="E30" s="7"/>
      <c r="F30" s="7"/>
      <c r="G30" s="7"/>
      <c r="H30" s="7"/>
      <c r="I30" s="7"/>
      <c r="J30" s="11"/>
      <c r="N30" s="9"/>
    </row>
    <row r="31" spans="4:17">
      <c r="D31" s="7"/>
      <c r="E31" s="7"/>
      <c r="F31" s="7"/>
      <c r="G31" s="7"/>
      <c r="H31" s="7"/>
      <c r="I31" s="7"/>
      <c r="J31" s="11"/>
      <c r="N31" s="9"/>
    </row>
    <row r="32" spans="4:17">
      <c r="D32" s="7"/>
      <c r="E32" s="7"/>
      <c r="F32" s="7"/>
      <c r="G32" s="7"/>
      <c r="H32" s="7"/>
      <c r="I32" s="7"/>
      <c r="J32" s="11"/>
      <c r="N32" s="9"/>
    </row>
    <row r="33" spans="4:14">
      <c r="D33" s="7"/>
      <c r="E33" s="7"/>
      <c r="F33" s="7"/>
      <c r="G33" s="7"/>
      <c r="H33" s="7"/>
      <c r="I33" s="7"/>
      <c r="J33" s="11"/>
      <c r="N33" s="9"/>
    </row>
    <row r="34" spans="4:14">
      <c r="D34" s="7"/>
      <c r="E34" s="7"/>
      <c r="F34" s="7"/>
      <c r="G34" s="7"/>
      <c r="H34" s="7"/>
      <c r="I34" s="7"/>
      <c r="J34" s="11"/>
      <c r="N34" s="9"/>
    </row>
    <row r="35" spans="4:14">
      <c r="D35" s="7"/>
      <c r="E35" s="7"/>
      <c r="F35" s="7"/>
      <c r="G35" s="7"/>
      <c r="H35" s="7"/>
      <c r="I35" s="7"/>
      <c r="J35" s="11"/>
      <c r="N35" s="9"/>
    </row>
    <row r="36" spans="4:14">
      <c r="D36" s="7"/>
      <c r="E36" s="7"/>
      <c r="F36" s="7"/>
      <c r="G36" s="7"/>
      <c r="H36" s="7"/>
      <c r="I36" s="7"/>
      <c r="J36" s="11"/>
      <c r="N36" s="9"/>
    </row>
    <row r="37" spans="4:14">
      <c r="D37" s="7"/>
      <c r="E37" s="7"/>
      <c r="F37" s="7"/>
      <c r="G37" s="7"/>
      <c r="H37" s="7"/>
      <c r="I37" s="7"/>
      <c r="J37" s="11"/>
      <c r="N37" s="9"/>
    </row>
    <row r="38" spans="4:14">
      <c r="D38" s="7"/>
      <c r="E38" s="7"/>
      <c r="F38" s="7"/>
      <c r="G38" s="7"/>
      <c r="H38" s="7"/>
      <c r="I38" s="7"/>
      <c r="J38" s="11"/>
      <c r="N38" s="9"/>
    </row>
    <row r="39" spans="4:14">
      <c r="D39" s="7"/>
      <c r="E39" s="7"/>
      <c r="F39" s="7"/>
      <c r="G39" s="7"/>
      <c r="H39" s="7"/>
      <c r="I39" s="7"/>
      <c r="J39" s="11"/>
      <c r="N39" s="9"/>
    </row>
    <row r="40" spans="4:14">
      <c r="D40" s="7"/>
      <c r="E40" s="7"/>
      <c r="F40" s="7"/>
      <c r="G40" s="7"/>
      <c r="H40" s="7"/>
      <c r="I40" s="7"/>
      <c r="J40" s="11"/>
      <c r="N40" s="9"/>
    </row>
    <row r="41" spans="4:14">
      <c r="D41" s="7"/>
      <c r="E41" s="7"/>
      <c r="F41" s="7"/>
      <c r="G41" s="7"/>
      <c r="H41" s="7"/>
      <c r="I41" s="7"/>
      <c r="J41" s="11"/>
      <c r="N41" s="9"/>
    </row>
    <row r="42" spans="4:14">
      <c r="D42" s="7"/>
      <c r="E42" s="7"/>
      <c r="F42" s="7"/>
      <c r="G42" s="7"/>
      <c r="H42" s="7"/>
      <c r="I42" s="7"/>
      <c r="J42" s="11"/>
      <c r="N42" s="9"/>
    </row>
    <row r="43" spans="4:14">
      <c r="D43" s="7"/>
      <c r="E43" s="7"/>
      <c r="F43" s="7"/>
      <c r="G43" s="7"/>
      <c r="H43" s="7"/>
      <c r="I43" s="7"/>
      <c r="J43" s="11"/>
      <c r="N43" s="9"/>
    </row>
    <row r="44" spans="4:14">
      <c r="D44" s="7"/>
      <c r="E44" s="7"/>
      <c r="F44" s="7"/>
      <c r="G44" s="7"/>
      <c r="H44" s="7"/>
      <c r="I44" s="7"/>
      <c r="J44" s="11"/>
      <c r="N44" s="9"/>
    </row>
    <row r="45" spans="4:14">
      <c r="D45" s="7"/>
      <c r="E45" s="7"/>
      <c r="F45" s="7"/>
      <c r="G45" s="7"/>
      <c r="H45" s="7"/>
      <c r="I45" s="7"/>
      <c r="J45" s="11"/>
      <c r="N45" s="9"/>
    </row>
    <row r="46" spans="4:14">
      <c r="D46" s="7"/>
      <c r="E46" s="7"/>
      <c r="F46" s="7"/>
      <c r="G46" s="7"/>
      <c r="H46" s="7"/>
      <c r="I46" s="7"/>
      <c r="J46" s="11"/>
      <c r="N46" s="9"/>
    </row>
    <row r="47" spans="4:14">
      <c r="D47" s="7"/>
      <c r="E47" s="7"/>
      <c r="F47" s="7"/>
      <c r="G47" s="7"/>
      <c r="H47" s="7"/>
      <c r="I47" s="7"/>
      <c r="J47" s="11"/>
      <c r="N47" s="9"/>
    </row>
    <row r="48" spans="4:14">
      <c r="D48" s="7"/>
      <c r="E48" s="7"/>
      <c r="F48" s="7"/>
      <c r="G48" s="7"/>
      <c r="H48" s="7"/>
      <c r="I48" s="7"/>
      <c r="J48" s="11"/>
      <c r="N48" s="9"/>
    </row>
    <row r="49" spans="4:14">
      <c r="D49" s="7"/>
      <c r="E49" s="7"/>
      <c r="F49" s="7"/>
      <c r="G49" s="7"/>
      <c r="H49" s="7"/>
      <c r="I49" s="7"/>
      <c r="J49" s="11"/>
      <c r="N49" s="9"/>
    </row>
    <row r="50" spans="4:14">
      <c r="D50" s="7"/>
      <c r="E50" s="7"/>
      <c r="F50" s="7"/>
      <c r="G50" s="7"/>
      <c r="H50" s="7"/>
      <c r="I50" s="7"/>
      <c r="J50" s="11"/>
      <c r="N50" s="9"/>
    </row>
    <row r="51" spans="4:14">
      <c r="D51" s="7"/>
      <c r="E51" s="7"/>
      <c r="F51" s="7"/>
      <c r="G51" s="7"/>
      <c r="H51" s="7"/>
      <c r="I51" s="7"/>
      <c r="J51" s="11"/>
      <c r="N51" s="9"/>
    </row>
    <row r="52" spans="4:14">
      <c r="D52" s="7"/>
      <c r="E52" s="7"/>
      <c r="F52" s="7"/>
      <c r="G52" s="7"/>
      <c r="H52" s="7"/>
      <c r="I52" s="7"/>
      <c r="J52" s="11"/>
      <c r="N52" s="9"/>
    </row>
    <row r="53" spans="4:14">
      <c r="D53" s="7"/>
      <c r="E53" s="7"/>
      <c r="F53" s="7"/>
      <c r="G53" s="7"/>
      <c r="H53" s="7"/>
      <c r="I53" s="7"/>
      <c r="J53" s="11"/>
      <c r="N53" s="9"/>
    </row>
    <row r="54" spans="4:14">
      <c r="D54" s="7"/>
      <c r="E54" s="7"/>
      <c r="F54" s="7"/>
      <c r="G54" s="7"/>
      <c r="H54" s="7"/>
      <c r="I54" s="7"/>
      <c r="J54" s="11"/>
      <c r="N54" s="9"/>
    </row>
    <row r="55" spans="4:14">
      <c r="D55" s="7"/>
      <c r="E55" s="7"/>
      <c r="F55" s="7"/>
      <c r="G55" s="7"/>
      <c r="H55" s="7"/>
      <c r="I55" s="7"/>
      <c r="J55" s="11"/>
      <c r="N55" s="9"/>
    </row>
    <row r="56" spans="4:14">
      <c r="D56" s="7"/>
      <c r="E56" s="6"/>
      <c r="F56" s="7"/>
      <c r="G56" s="7"/>
      <c r="H56" s="7"/>
      <c r="I56" s="7"/>
      <c r="J56" s="11"/>
      <c r="N56" s="9"/>
    </row>
    <row r="57" spans="4:14">
      <c r="E57" s="6"/>
      <c r="F57" s="7"/>
      <c r="G57" s="7"/>
      <c r="H57" s="7"/>
    </row>
    <row r="58" spans="4:14">
      <c r="E58" s="6"/>
      <c r="F58" s="7"/>
      <c r="G58" s="7"/>
      <c r="H58" s="7"/>
    </row>
    <row r="59" spans="4:14">
      <c r="E59" s="6"/>
      <c r="F59" s="7"/>
      <c r="G59" s="7"/>
      <c r="H59" s="7"/>
    </row>
    <row r="60" spans="4:14">
      <c r="E60" s="6"/>
      <c r="F60" s="7"/>
      <c r="G60" s="7"/>
      <c r="H60" s="7"/>
    </row>
    <row r="61" spans="4:14">
      <c r="E61" s="6"/>
      <c r="F61" s="7"/>
      <c r="G61" s="7"/>
      <c r="H61" s="7"/>
    </row>
    <row r="62" spans="4:14">
      <c r="E62" s="6"/>
      <c r="F62" s="7"/>
      <c r="G62" s="7"/>
      <c r="H62" s="7"/>
    </row>
    <row r="63" spans="4:14">
      <c r="E63" s="6"/>
      <c r="F63" s="7"/>
      <c r="G63" s="7"/>
      <c r="H63" s="7"/>
    </row>
    <row r="64" spans="4:14">
      <c r="E64" s="6"/>
      <c r="F64" s="7"/>
      <c r="G64" s="7"/>
      <c r="H64" s="7"/>
    </row>
    <row r="65" spans="5:8">
      <c r="E65" s="6"/>
      <c r="F65" s="7"/>
      <c r="G65" s="7"/>
      <c r="H65" s="7"/>
    </row>
    <row r="66" spans="5:8">
      <c r="E66" s="6"/>
      <c r="F66" s="7"/>
      <c r="G66" s="7"/>
      <c r="H66" s="7"/>
    </row>
    <row r="67" spans="5:8">
      <c r="E67" s="6"/>
      <c r="F67" s="7"/>
      <c r="G67" s="7"/>
      <c r="H67" s="7"/>
    </row>
    <row r="68" spans="5:8">
      <c r="E68" s="6"/>
      <c r="F68" s="7"/>
      <c r="G68" s="7"/>
      <c r="H68" s="7"/>
    </row>
    <row r="69" spans="5:8">
      <c r="E69" s="6"/>
      <c r="F69" s="7"/>
      <c r="G69" s="7"/>
      <c r="H69" s="7"/>
    </row>
    <row r="70" spans="5:8">
      <c r="E70" s="6"/>
      <c r="F70" s="7"/>
      <c r="G70" s="7"/>
      <c r="H70" s="7"/>
    </row>
    <row r="71" spans="5:8">
      <c r="E71" s="6"/>
      <c r="F71" s="7"/>
      <c r="G71" s="7"/>
      <c r="H71" s="7"/>
    </row>
    <row r="72" spans="5:8">
      <c r="E72" s="6"/>
      <c r="F72" s="7"/>
      <c r="G72" s="7"/>
      <c r="H72" s="7"/>
    </row>
    <row r="73" spans="5:8">
      <c r="E73" s="6"/>
      <c r="F73" s="7"/>
      <c r="G73" s="7"/>
      <c r="H73" s="7"/>
    </row>
    <row r="74" spans="5:8">
      <c r="E74" s="6"/>
      <c r="F74" s="7"/>
      <c r="G74" s="7"/>
      <c r="H74" s="7"/>
    </row>
    <row r="75" spans="5:8">
      <c r="E75" s="6"/>
      <c r="F75" s="7"/>
      <c r="G75" s="7"/>
      <c r="H75" s="7"/>
    </row>
    <row r="76" spans="5:8">
      <c r="E76" s="6"/>
      <c r="F76" s="7"/>
      <c r="G76" s="7"/>
      <c r="H76" s="7"/>
    </row>
    <row r="77" spans="5:8">
      <c r="E77" s="6"/>
      <c r="F77" s="7"/>
      <c r="G77" s="7"/>
      <c r="H77" s="7"/>
    </row>
    <row r="78" spans="5:8">
      <c r="E78" s="6"/>
      <c r="F78" s="7"/>
      <c r="G78" s="7"/>
      <c r="H78" s="7"/>
    </row>
    <row r="79" spans="5:8">
      <c r="E79" s="6"/>
      <c r="F79" s="7"/>
      <c r="G79" s="7"/>
      <c r="H79" s="7"/>
    </row>
    <row r="80" spans="5:8">
      <c r="E80" s="6"/>
      <c r="F80" s="7"/>
      <c r="G80" s="7"/>
      <c r="H80" s="7"/>
    </row>
    <row r="81" spans="5:8">
      <c r="E81" s="6"/>
      <c r="F81" s="7"/>
      <c r="G81" s="7"/>
      <c r="H81" s="7"/>
    </row>
    <row r="82" spans="5:8">
      <c r="E82" s="6"/>
      <c r="F82" s="7"/>
      <c r="G82" s="7"/>
      <c r="H82" s="7"/>
    </row>
    <row r="83" spans="5:8">
      <c r="E83" s="6"/>
      <c r="F83" s="7"/>
      <c r="G83" s="7"/>
      <c r="H83" s="7"/>
    </row>
    <row r="84" spans="5:8">
      <c r="E84" s="6"/>
      <c r="F84" s="7"/>
      <c r="G84" s="7"/>
      <c r="H84" s="7"/>
    </row>
    <row r="85" spans="5:8">
      <c r="E85" s="6"/>
      <c r="F85" s="7"/>
      <c r="G85" s="7"/>
      <c r="H85" s="7"/>
    </row>
    <row r="86" spans="5:8">
      <c r="E86" s="6"/>
      <c r="F86" s="7"/>
      <c r="G86" s="7"/>
      <c r="H86" s="7"/>
    </row>
    <row r="87" spans="5:8">
      <c r="E87" s="6"/>
      <c r="F87" s="7"/>
      <c r="G87" s="7"/>
      <c r="H87" s="7"/>
    </row>
    <row r="88" spans="5:8">
      <c r="E88" s="6"/>
      <c r="F88" s="7"/>
      <c r="G88" s="7"/>
      <c r="H88" s="7"/>
    </row>
    <row r="89" spans="5:8">
      <c r="E89" s="6"/>
      <c r="F89" s="7"/>
      <c r="G89" s="7"/>
      <c r="H89" s="7"/>
    </row>
    <row r="90" spans="5:8">
      <c r="E90" s="6"/>
      <c r="F90" s="7"/>
      <c r="G90" s="7"/>
      <c r="H90" s="7"/>
    </row>
    <row r="91" spans="5:8">
      <c r="E91" s="6"/>
      <c r="F91" s="7"/>
      <c r="G91" s="7"/>
      <c r="H91" s="7"/>
    </row>
    <row r="92" spans="5:8">
      <c r="E92" s="6"/>
      <c r="F92" s="7"/>
      <c r="G92" s="7"/>
      <c r="H92" s="7"/>
    </row>
    <row r="93" spans="5:8">
      <c r="E93" s="6"/>
      <c r="F93" s="7"/>
      <c r="G93" s="7"/>
      <c r="H93" s="7"/>
    </row>
    <row r="94" spans="5:8">
      <c r="E94" s="6"/>
      <c r="F94" s="7"/>
      <c r="G94" s="7"/>
      <c r="H94" s="7"/>
    </row>
    <row r="95" spans="5:8">
      <c r="E95" s="6"/>
      <c r="F95" s="7"/>
      <c r="G95" s="7"/>
      <c r="H95" s="7"/>
    </row>
    <row r="96" spans="5:8">
      <c r="E96" s="6"/>
      <c r="F96" s="7"/>
      <c r="G96" s="7"/>
      <c r="H96" s="7"/>
    </row>
    <row r="97" spans="5:8">
      <c r="E97" s="6"/>
      <c r="F97" s="7"/>
      <c r="G97" s="7"/>
      <c r="H97" s="7"/>
    </row>
  </sheetData>
  <mergeCells count="2">
    <mergeCell ref="A1:E1"/>
    <mergeCell ref="A2:E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8"/>
  <sheetViews>
    <sheetView tabSelected="1" topLeftCell="F1" zoomScale="85" zoomScaleNormal="85" workbookViewId="0">
      <selection activeCell="N4" sqref="N4:Q28"/>
    </sheetView>
  </sheetViews>
  <sheetFormatPr defaultColWidth="9" defaultRowHeight="14.4"/>
  <cols>
    <col min="1" max="1" width="26.33203125" style="2" bestFit="1" customWidth="1"/>
    <col min="2" max="3" width="9" style="2"/>
    <col min="4" max="9" width="19.6640625" style="2" customWidth="1"/>
    <col min="10" max="17" width="19.21875" style="2" customWidth="1"/>
    <col min="18" max="16384" width="9" style="2"/>
  </cols>
  <sheetData>
    <row r="1" spans="1:17">
      <c r="A1" s="8" t="s">
        <v>13</v>
      </c>
      <c r="B1" s="8"/>
      <c r="C1" s="8"/>
      <c r="D1" s="8"/>
      <c r="E1" s="8"/>
      <c r="F1" s="8"/>
      <c r="G1" s="8"/>
    </row>
    <row r="2" spans="1:17">
      <c r="A2" s="8" t="s">
        <v>14</v>
      </c>
      <c r="B2" s="8"/>
      <c r="C2" s="8"/>
      <c r="D2" s="8"/>
      <c r="E2" s="8"/>
      <c r="F2" s="8"/>
      <c r="G2" s="8"/>
    </row>
    <row r="3" spans="1:17">
      <c r="A3" s="3" t="s">
        <v>8</v>
      </c>
      <c r="B3" s="3">
        <v>3325</v>
      </c>
      <c r="C3" s="1"/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14" t="s">
        <v>29</v>
      </c>
      <c r="K3" s="16" t="s">
        <v>21</v>
      </c>
      <c r="L3" s="16" t="s">
        <v>22</v>
      </c>
      <c r="M3" s="16" t="s">
        <v>27</v>
      </c>
      <c r="N3" s="15" t="s">
        <v>28</v>
      </c>
      <c r="O3" s="16" t="s">
        <v>23</v>
      </c>
      <c r="P3" s="16" t="s">
        <v>24</v>
      </c>
      <c r="Q3" s="16" t="s">
        <v>27</v>
      </c>
    </row>
    <row r="4" spans="1:17">
      <c r="A4" s="3" t="s">
        <v>3</v>
      </c>
      <c r="B4" s="3">
        <v>0.14105799999999999</v>
      </c>
      <c r="C4" s="1"/>
      <c r="D4" s="17">
        <v>2000</v>
      </c>
      <c r="E4" s="17">
        <v>0.2</v>
      </c>
      <c r="F4" s="17">
        <v>0.05</v>
      </c>
      <c r="G4" s="17">
        <f>F4</f>
        <v>0.05</v>
      </c>
      <c r="H4" s="17">
        <v>1</v>
      </c>
      <c r="I4" s="17">
        <v>3000</v>
      </c>
      <c r="J4" s="22" cm="1">
        <f t="array" ref="J4">BinaryTree_call("a",D4,E4,F4,G4,H4,I4,N)</f>
        <v>3.5054103524338394</v>
      </c>
      <c r="K4" s="4">
        <f>$D4</f>
        <v>2000</v>
      </c>
      <c r="L4" s="4">
        <f>MAX(D4-I4,0)</f>
        <v>0</v>
      </c>
      <c r="M4" s="4" t="str">
        <f>IF(J4&gt;K4,"No",IF(J4&lt;L4,"No","Yes"))</f>
        <v>Yes</v>
      </c>
      <c r="N4" s="23" cm="1">
        <f t="array" ref="N4">BinaryTree_put("a",D4,E4,F4,G4,H4,I4,N)</f>
        <v>1000</v>
      </c>
      <c r="O4" s="4">
        <f>I4</f>
        <v>3000</v>
      </c>
      <c r="P4" s="4">
        <f>MAX(I4-D4,0)</f>
        <v>1000</v>
      </c>
      <c r="Q4" s="4" t="str">
        <f>IF(N4&gt;O4,"No",IF(N4&lt;P4,"No","Yes"))</f>
        <v>Yes</v>
      </c>
    </row>
    <row r="5" spans="1:17">
      <c r="A5" s="3" t="s">
        <v>10</v>
      </c>
      <c r="B5" s="3">
        <v>0.05</v>
      </c>
      <c r="C5" s="1"/>
      <c r="D5" s="18">
        <v>2500</v>
      </c>
      <c r="E5" s="17">
        <v>0.2</v>
      </c>
      <c r="F5" s="17">
        <v>0.05</v>
      </c>
      <c r="G5" s="17">
        <f t="shared" ref="G5:G28" si="0">F5</f>
        <v>0.05</v>
      </c>
      <c r="H5" s="17">
        <v>1</v>
      </c>
      <c r="I5" s="17">
        <v>3000</v>
      </c>
      <c r="J5" s="22" cm="1">
        <f t="array" ref="J5">BinaryTree_call("a",D5,E5,F5,G5,H5,I5,N)</f>
        <v>51.399076615917004</v>
      </c>
      <c r="K5" s="4">
        <f t="shared" ref="K5:K28" si="1">$D5</f>
        <v>2500</v>
      </c>
      <c r="L5" s="4">
        <f t="shared" ref="L5:L22" si="2">MAX(D5-I5,0)</f>
        <v>0</v>
      </c>
      <c r="M5" s="4" t="str">
        <f t="shared" ref="M5:M22" si="3">IF(J5&gt;K5,"No",IF(J5&lt;L5,"No","Yes"))</f>
        <v>Yes</v>
      </c>
      <c r="N5" s="23" cm="1">
        <f t="array" ref="N5">BinaryTree_put("a",D5,E5,F5,G5,H5,I5,N)</f>
        <v>538.62156054856314</v>
      </c>
      <c r="O5" s="4">
        <f t="shared" ref="O5:O22" si="4">I5</f>
        <v>3000</v>
      </c>
      <c r="P5" s="4">
        <f t="shared" ref="P5:P22" si="5">MAX(I5-D5,0)</f>
        <v>500</v>
      </c>
      <c r="Q5" s="4" t="str">
        <f>IF(N5&gt;O5,"No",IF(N5&lt;P5,"No","Yes"))</f>
        <v>Yes</v>
      </c>
    </row>
    <row r="6" spans="1:17">
      <c r="A6" s="3" t="s">
        <v>5</v>
      </c>
      <c r="B6" s="3">
        <v>0.05</v>
      </c>
      <c r="C6" s="1"/>
      <c r="D6" s="18">
        <v>3000</v>
      </c>
      <c r="E6" s="17">
        <v>0.2</v>
      </c>
      <c r="F6" s="17">
        <v>0.05</v>
      </c>
      <c r="G6" s="17">
        <f t="shared" si="0"/>
        <v>0.05</v>
      </c>
      <c r="H6" s="17">
        <v>1</v>
      </c>
      <c r="I6" s="17">
        <v>3000</v>
      </c>
      <c r="J6" s="22" cm="1">
        <f t="array" ref="J6">BinaryTree_call("a",D6,E6,F6,G6,H6,I6,N)</f>
        <v>228.92389795105291</v>
      </c>
      <c r="K6" s="4">
        <f t="shared" si="1"/>
        <v>3000</v>
      </c>
      <c r="L6" s="4">
        <f t="shared" si="2"/>
        <v>0</v>
      </c>
      <c r="M6" s="4" t="str">
        <f t="shared" si="3"/>
        <v>Yes</v>
      </c>
      <c r="N6" s="23" cm="1">
        <f t="array" ref="N6">BinaryTree_put("a",D6,E6,F6,G6,H6,I6,N)</f>
        <v>228.92389795105299</v>
      </c>
      <c r="O6" s="4">
        <f t="shared" si="4"/>
        <v>3000</v>
      </c>
      <c r="P6" s="4">
        <f t="shared" si="5"/>
        <v>0</v>
      </c>
      <c r="Q6" s="4" t="str">
        <f>IF(N6&gt;O6,"No",IF(N6&lt;P6,"No","Yes"))</f>
        <v>Yes</v>
      </c>
    </row>
    <row r="7" spans="1:17">
      <c r="A7" s="3" t="s">
        <v>11</v>
      </c>
      <c r="B7" s="3">
        <f>20/365</f>
        <v>5.4794520547945202E-2</v>
      </c>
      <c r="C7" s="1"/>
      <c r="D7" s="18">
        <v>3500</v>
      </c>
      <c r="E7" s="17">
        <v>0.2</v>
      </c>
      <c r="F7" s="17">
        <v>0.05</v>
      </c>
      <c r="G7" s="17">
        <f t="shared" si="0"/>
        <v>0.05</v>
      </c>
      <c r="H7" s="17">
        <v>1</v>
      </c>
      <c r="I7" s="17">
        <v>3000</v>
      </c>
      <c r="J7" s="22" cm="1">
        <f t="array" ref="J7">BinaryTree_call("a",D7,E7,F7,G7,H7,I7,N)</f>
        <v>564.95233041608822</v>
      </c>
      <c r="K7" s="4">
        <f t="shared" si="1"/>
        <v>3500</v>
      </c>
      <c r="L7" s="4">
        <f t="shared" si="2"/>
        <v>500</v>
      </c>
      <c r="M7" s="4" t="str">
        <f t="shared" si="3"/>
        <v>Yes</v>
      </c>
      <c r="N7" s="23" cm="1">
        <f t="array" ref="N7">BinaryTree_put("a",D7,E7,F7,G7,H7,I7,N)</f>
        <v>78.725861776882056</v>
      </c>
      <c r="O7" s="4">
        <f t="shared" si="4"/>
        <v>3000</v>
      </c>
      <c r="P7" s="4">
        <f t="shared" si="5"/>
        <v>0</v>
      </c>
      <c r="Q7" s="4" t="str">
        <f>IF(N7&gt;O7,"No",IF(N7&lt;P7,"No","Yes"))</f>
        <v>Yes</v>
      </c>
    </row>
    <row r="8" spans="1:17">
      <c r="A8" s="3" t="s">
        <v>12</v>
      </c>
      <c r="B8" s="3">
        <v>3330</v>
      </c>
      <c r="C8" s="1"/>
      <c r="D8" s="18">
        <v>4000</v>
      </c>
      <c r="E8" s="17">
        <v>0.2</v>
      </c>
      <c r="F8" s="17">
        <v>0.05</v>
      </c>
      <c r="G8" s="17">
        <f t="shared" si="0"/>
        <v>0.05</v>
      </c>
      <c r="H8" s="17">
        <v>1</v>
      </c>
      <c r="I8" s="17">
        <v>3000</v>
      </c>
      <c r="J8" s="22" cm="1">
        <f t="array" ref="J8">BinaryTree_call("a",D8,E8,F8,G8,H8,I8,N)</f>
        <v>1005.4820969988568</v>
      </c>
      <c r="K8" s="4">
        <f t="shared" si="1"/>
        <v>4000</v>
      </c>
      <c r="L8" s="4">
        <f t="shared" si="2"/>
        <v>1000</v>
      </c>
      <c r="M8" s="4" t="str">
        <f t="shared" si="3"/>
        <v>Yes</v>
      </c>
      <c r="N8" s="23" cm="1">
        <f t="array" ref="N8">BinaryTree_put("a",D8,E8,F8,G8,H8,I8,N)</f>
        <v>21.676994012241675</v>
      </c>
      <c r="O8" s="4">
        <f t="shared" si="4"/>
        <v>3000</v>
      </c>
      <c r="P8" s="4">
        <f t="shared" si="5"/>
        <v>0</v>
      </c>
      <c r="Q8" s="4" t="str">
        <f>IF(N8&gt;O8,"No",IF(N8&lt;P8,"No","Yes"))</f>
        <v>Yes</v>
      </c>
    </row>
    <row r="9" spans="1:17">
      <c r="A9" s="3" t="s">
        <v>9</v>
      </c>
      <c r="B9" s="3">
        <v>50</v>
      </c>
      <c r="D9" s="4">
        <v>3325</v>
      </c>
      <c r="E9" s="4">
        <v>0.05</v>
      </c>
      <c r="F9" s="3">
        <v>0.05</v>
      </c>
      <c r="G9" s="3">
        <f t="shared" si="0"/>
        <v>0.05</v>
      </c>
      <c r="H9" s="3">
        <v>1</v>
      </c>
      <c r="I9" s="3">
        <v>3000</v>
      </c>
      <c r="J9" s="22" cm="1">
        <f t="array" ref="J9">BinaryTree_call("a",D9,E9,F9,G9,H9,I9,N)</f>
        <v>325</v>
      </c>
      <c r="K9" s="4">
        <f t="shared" si="1"/>
        <v>3325</v>
      </c>
      <c r="L9" s="4">
        <f t="shared" si="2"/>
        <v>325</v>
      </c>
      <c r="M9" s="4" t="str">
        <f t="shared" si="3"/>
        <v>Yes</v>
      </c>
      <c r="N9" s="23" cm="1">
        <f t="array" ref="N9">BinaryTree_put("a",D9,E9,F9,G9,H9,I9,N)</f>
        <v>1.060389056441867</v>
      </c>
      <c r="O9" s="4">
        <f t="shared" si="4"/>
        <v>3000</v>
      </c>
      <c r="P9" s="4">
        <f t="shared" si="5"/>
        <v>0</v>
      </c>
      <c r="Q9" s="4" t="str">
        <f>IF(N9&gt;O9,"No",IF(N9&lt;P9,"No","Yes"))</f>
        <v>Yes</v>
      </c>
    </row>
    <row r="10" spans="1:17">
      <c r="D10" s="4">
        <v>3325</v>
      </c>
      <c r="E10" s="4">
        <v>0.1</v>
      </c>
      <c r="F10" s="3">
        <v>0.05</v>
      </c>
      <c r="G10" s="3">
        <f t="shared" si="0"/>
        <v>0.05</v>
      </c>
      <c r="H10" s="3">
        <v>1</v>
      </c>
      <c r="I10" s="3">
        <v>3000</v>
      </c>
      <c r="J10" s="22" cm="1">
        <f t="array" ref="J10">BinaryTree_call("a",D10,E10,F10,G10,H10,I10,N)</f>
        <v>341.13276125791464</v>
      </c>
      <c r="K10" s="4">
        <f t="shared" si="1"/>
        <v>3325</v>
      </c>
      <c r="L10" s="4">
        <f t="shared" si="2"/>
        <v>325</v>
      </c>
      <c r="M10" s="4" t="str">
        <f t="shared" si="3"/>
        <v>Yes</v>
      </c>
      <c r="N10" s="23" cm="1">
        <f t="array" ref="N10">BinaryTree_put("a",D10,E10,F10,G10,H10,I10,N)</f>
        <v>24.011190161097517</v>
      </c>
      <c r="O10" s="4">
        <f t="shared" si="4"/>
        <v>3000</v>
      </c>
      <c r="P10" s="4">
        <f t="shared" si="5"/>
        <v>0</v>
      </c>
      <c r="Q10" s="4" t="str">
        <f>IF(N10&gt;O10,"No",IF(N10&lt;P10,"No","Yes"))</f>
        <v>Yes</v>
      </c>
    </row>
    <row r="11" spans="1:17">
      <c r="A11" s="5" t="s">
        <v>17</v>
      </c>
      <c r="B11" s="4">
        <f>BinaryTree_call("e",S0,Sigma,rf,q,T,X,N)</f>
        <v>41.279135751179709</v>
      </c>
      <c r="D11" s="4">
        <v>3325</v>
      </c>
      <c r="E11" s="4">
        <v>0.2</v>
      </c>
      <c r="F11" s="3">
        <v>0.05</v>
      </c>
      <c r="G11" s="3">
        <f t="shared" si="0"/>
        <v>0.05</v>
      </c>
      <c r="H11" s="3">
        <v>1</v>
      </c>
      <c r="I11" s="3">
        <v>3000</v>
      </c>
      <c r="J11" s="22" cm="1">
        <f t="array" ref="J11">BinaryTree_call("a",D11,E11,F11,G11,H11,I11,N)</f>
        <v>432.31778875061917</v>
      </c>
      <c r="K11" s="4">
        <f t="shared" si="1"/>
        <v>3325</v>
      </c>
      <c r="L11" s="4">
        <f t="shared" si="2"/>
        <v>325</v>
      </c>
      <c r="M11" s="4" t="str">
        <f t="shared" si="3"/>
        <v>Yes</v>
      </c>
      <c r="N11" s="23" cm="1">
        <f t="array" ref="N11">BinaryTree_put("a",D11,E11,F11,G11,H11,I11,N)</f>
        <v>117.0348757570047</v>
      </c>
      <c r="O11" s="4">
        <f t="shared" si="4"/>
        <v>3000</v>
      </c>
      <c r="P11" s="4">
        <f t="shared" si="5"/>
        <v>0</v>
      </c>
      <c r="Q11" s="4" t="str">
        <f>IF(N11&gt;O11,"No",IF(N11&lt;P11,"No","Yes"))</f>
        <v>Yes</v>
      </c>
    </row>
    <row r="12" spans="1:17">
      <c r="A12" s="5" t="s">
        <v>19</v>
      </c>
      <c r="B12" s="4">
        <f>BinaryTree_put("e",S0,Sigma,rf,q,T,X,N)</f>
        <v>46.265455869164086</v>
      </c>
      <c r="D12" s="4">
        <v>3325</v>
      </c>
      <c r="E12" s="4">
        <v>0.5</v>
      </c>
      <c r="F12" s="3">
        <v>0.05</v>
      </c>
      <c r="G12" s="3">
        <f t="shared" si="0"/>
        <v>0.05</v>
      </c>
      <c r="H12" s="3">
        <v>1</v>
      </c>
      <c r="I12" s="3">
        <v>3000</v>
      </c>
      <c r="J12" s="22" cm="1">
        <f t="array" ref="J12">BinaryTree_call("a",D12,E12,F12,G12,H12,I12,N)</f>
        <v>772.48327595806029</v>
      </c>
      <c r="K12" s="4">
        <f t="shared" si="1"/>
        <v>3325</v>
      </c>
      <c r="L12" s="4">
        <f t="shared" si="2"/>
        <v>325</v>
      </c>
      <c r="M12" s="4" t="str">
        <f t="shared" si="3"/>
        <v>Yes</v>
      </c>
      <c r="N12" s="23" cm="1">
        <f t="array" ref="N12">BinaryTree_put("a",D12,E12,F12,G12,H12,I12,N)</f>
        <v>457.77812844776525</v>
      </c>
      <c r="O12" s="4">
        <f t="shared" si="4"/>
        <v>3000</v>
      </c>
      <c r="P12" s="4">
        <f t="shared" si="5"/>
        <v>0</v>
      </c>
      <c r="Q12" s="4" t="str">
        <f>IF(N12&gt;O12,"No",IF(N12&lt;P12,"No","Yes"))</f>
        <v>Yes</v>
      </c>
    </row>
    <row r="13" spans="1:17">
      <c r="D13" s="4">
        <v>3325</v>
      </c>
      <c r="E13" s="4">
        <v>1</v>
      </c>
      <c r="F13" s="3">
        <v>0.05</v>
      </c>
      <c r="G13" s="3">
        <f t="shared" si="0"/>
        <v>0.05</v>
      </c>
      <c r="H13" s="3">
        <v>1</v>
      </c>
      <c r="I13" s="3">
        <v>3000</v>
      </c>
      <c r="J13" s="22" cm="1">
        <f t="array" ref="J13">BinaryTree_call("a",D13,E13,F13,G13,H13,I13,N)</f>
        <v>1333.2811406938488</v>
      </c>
      <c r="K13" s="4">
        <f t="shared" si="1"/>
        <v>3325</v>
      </c>
      <c r="L13" s="4">
        <f t="shared" si="2"/>
        <v>325</v>
      </c>
      <c r="M13" s="4" t="str">
        <f t="shared" si="3"/>
        <v>Yes</v>
      </c>
      <c r="N13" s="23" cm="1">
        <f t="array" ref="N13">BinaryTree_put("a",D13,E13,F13,G13,H13,I13,N)</f>
        <v>1018.1045656901985</v>
      </c>
      <c r="O13" s="4">
        <f t="shared" si="4"/>
        <v>3000</v>
      </c>
      <c r="P13" s="4">
        <f t="shared" si="5"/>
        <v>0</v>
      </c>
      <c r="Q13" s="4" t="str">
        <f>IF(N13&gt;O13,"No",IF(N13&lt;P13,"No","Yes"))</f>
        <v>Yes</v>
      </c>
    </row>
    <row r="14" spans="1:17">
      <c r="A14" s="5" t="s">
        <v>18</v>
      </c>
      <c r="B14" s="4">
        <f>BinaryTree_call("a",S0,Sigma,rf,q,T,X,N)</f>
        <v>41.296195980320981</v>
      </c>
      <c r="D14" s="18">
        <v>3325</v>
      </c>
      <c r="E14" s="17">
        <v>0.2</v>
      </c>
      <c r="F14" s="18">
        <v>0.01</v>
      </c>
      <c r="G14" s="17">
        <f t="shared" si="0"/>
        <v>0.01</v>
      </c>
      <c r="H14" s="18">
        <v>1</v>
      </c>
      <c r="I14" s="17">
        <v>3000</v>
      </c>
      <c r="J14" s="22" cm="1">
        <f t="array" ref="J14">BinaryTree_call("a",D14,E14,F14,G14,H14,I14,N)</f>
        <v>443.67939203489885</v>
      </c>
      <c r="K14" s="4">
        <f t="shared" si="1"/>
        <v>3325</v>
      </c>
      <c r="L14" s="4">
        <f t="shared" si="2"/>
        <v>325</v>
      </c>
      <c r="M14" s="4" t="str">
        <f t="shared" si="3"/>
        <v>Yes</v>
      </c>
      <c r="N14" s="23" cm="1">
        <f t="array" ref="N14">BinaryTree_put("a",D14,E14,F14,G14,H14,I14,N)</f>
        <v>120.96977023154187</v>
      </c>
      <c r="O14" s="4">
        <f t="shared" si="4"/>
        <v>3000</v>
      </c>
      <c r="P14" s="4">
        <f t="shared" si="5"/>
        <v>0</v>
      </c>
      <c r="Q14" s="4" t="str">
        <f>IF(N14&gt;O14,"No",IF(N14&lt;P14,"No","Yes"))</f>
        <v>Yes</v>
      </c>
    </row>
    <row r="15" spans="1:17">
      <c r="A15" s="5" t="s">
        <v>20</v>
      </c>
      <c r="B15" s="4">
        <f>BinaryTree_put("a",S0,Sigma,rf,q,T,X,N)</f>
        <v>46.287578857156753</v>
      </c>
      <c r="D15" s="18">
        <v>3325</v>
      </c>
      <c r="E15" s="17">
        <v>0.2</v>
      </c>
      <c r="F15" s="18">
        <v>0.1</v>
      </c>
      <c r="G15" s="17">
        <f t="shared" si="0"/>
        <v>0.1</v>
      </c>
      <c r="H15" s="18">
        <v>1</v>
      </c>
      <c r="I15" s="17">
        <v>3000</v>
      </c>
      <c r="J15" s="22" cm="1">
        <f t="array" ref="J15">BinaryTree_call("a",D15,E15,F15,G15,H15,I15,N)</f>
        <v>420.38900972818107</v>
      </c>
      <c r="K15" s="4">
        <f t="shared" si="1"/>
        <v>3325</v>
      </c>
      <c r="L15" s="4">
        <f t="shared" si="2"/>
        <v>325</v>
      </c>
      <c r="M15" s="4" t="str">
        <f t="shared" si="3"/>
        <v>Yes</v>
      </c>
      <c r="N15" s="23" cm="1">
        <f t="array" ref="N15">BinaryTree_put("a",D15,E15,F15,G15,H15,I15,N)</f>
        <v>112.48388577386044</v>
      </c>
      <c r="O15" s="4">
        <f t="shared" si="4"/>
        <v>3000</v>
      </c>
      <c r="P15" s="4">
        <f t="shared" si="5"/>
        <v>0</v>
      </c>
      <c r="Q15" s="4" t="str">
        <f>IF(N15&gt;O15,"No",IF(N15&lt;P15,"No","Yes"))</f>
        <v>Yes</v>
      </c>
    </row>
    <row r="16" spans="1:17">
      <c r="D16" s="18">
        <v>3325</v>
      </c>
      <c r="E16" s="17">
        <v>0.2</v>
      </c>
      <c r="F16" s="18">
        <v>0.3</v>
      </c>
      <c r="G16" s="17">
        <f t="shared" si="0"/>
        <v>0.3</v>
      </c>
      <c r="H16" s="18">
        <v>1</v>
      </c>
      <c r="I16" s="17">
        <v>3000</v>
      </c>
      <c r="J16" s="22" cm="1">
        <f t="array" ref="J16">BinaryTree_call("a",D16,E16,F16,G16,H16,I16,N)</f>
        <v>386.10619301024889</v>
      </c>
      <c r="K16" s="4">
        <f t="shared" si="1"/>
        <v>3325</v>
      </c>
      <c r="L16" s="4">
        <f t="shared" si="2"/>
        <v>325</v>
      </c>
      <c r="M16" s="4" t="str">
        <f t="shared" si="3"/>
        <v>Yes</v>
      </c>
      <c r="N16" s="23" cm="1">
        <f t="array" ref="N16">BinaryTree_put("a",D16,E16,F16,G16,H16,I16,N)</f>
        <v>97.036050425839903</v>
      </c>
      <c r="O16" s="4">
        <f t="shared" si="4"/>
        <v>3000</v>
      </c>
      <c r="P16" s="4">
        <f t="shared" si="5"/>
        <v>0</v>
      </c>
      <c r="Q16" s="4" t="str">
        <f>IF(N16&gt;O16,"No",IF(N16&lt;P16,"No","Yes"))</f>
        <v>Yes</v>
      </c>
    </row>
    <row r="17" spans="4:17">
      <c r="D17" s="18">
        <v>3325</v>
      </c>
      <c r="E17" s="17">
        <v>0.2</v>
      </c>
      <c r="F17" s="18">
        <v>0.5</v>
      </c>
      <c r="G17" s="17">
        <f t="shared" si="0"/>
        <v>0.5</v>
      </c>
      <c r="H17" s="18">
        <v>1</v>
      </c>
      <c r="I17" s="17">
        <v>3000</v>
      </c>
      <c r="J17" s="22" cm="1">
        <f t="array" ref="J17">BinaryTree_call("a",D17,E17,F17,G17,H17,I17,N)</f>
        <v>364.05083916995744</v>
      </c>
      <c r="K17" s="4">
        <f t="shared" si="1"/>
        <v>3325</v>
      </c>
      <c r="L17" s="4">
        <f t="shared" si="2"/>
        <v>325</v>
      </c>
      <c r="M17" s="4" t="str">
        <f t="shared" si="3"/>
        <v>Yes</v>
      </c>
      <c r="N17" s="23" cm="1">
        <f t="array" ref="N17">BinaryTree_put("a",D17,E17,F17,G17,H17,I17,N)</f>
        <v>84.725169904092979</v>
      </c>
      <c r="O17" s="4">
        <f t="shared" si="4"/>
        <v>3000</v>
      </c>
      <c r="P17" s="4">
        <f t="shared" si="5"/>
        <v>0</v>
      </c>
      <c r="Q17" s="4" t="str">
        <f>IF(N17&gt;O17,"No",IF(N17&lt;P17,"No","Yes"))</f>
        <v>Yes</v>
      </c>
    </row>
    <row r="18" spans="4:17">
      <c r="D18" s="18">
        <v>3325</v>
      </c>
      <c r="E18" s="17">
        <v>0.2</v>
      </c>
      <c r="F18" s="18">
        <v>1</v>
      </c>
      <c r="G18" s="17">
        <f t="shared" si="0"/>
        <v>1</v>
      </c>
      <c r="H18" s="18">
        <v>1</v>
      </c>
      <c r="I18" s="17">
        <v>3000</v>
      </c>
      <c r="J18" s="22" cm="1">
        <f t="array" ref="J18">BinaryTree_call("a",D18,E18,F18,G18,H18,I18,N)</f>
        <v>336.09566651892686</v>
      </c>
      <c r="K18" s="4">
        <f t="shared" si="1"/>
        <v>3325</v>
      </c>
      <c r="L18" s="4">
        <f t="shared" si="2"/>
        <v>325</v>
      </c>
      <c r="M18" s="4" t="str">
        <f t="shared" si="3"/>
        <v>Yes</v>
      </c>
      <c r="N18" s="23" cm="1">
        <f t="array" ref="N18">BinaryTree_put("a",D18,E18,F18,G18,H18,I18,N)</f>
        <v>62.67545112294782</v>
      </c>
      <c r="O18" s="4">
        <f t="shared" si="4"/>
        <v>3000</v>
      </c>
      <c r="P18" s="4">
        <f t="shared" si="5"/>
        <v>0</v>
      </c>
      <c r="Q18" s="4" t="str">
        <f>IF(N18&gt;O18,"No",IF(N18&lt;P18,"No","Yes"))</f>
        <v>Yes</v>
      </c>
    </row>
    <row r="19" spans="4:17">
      <c r="D19" s="19">
        <v>3325</v>
      </c>
      <c r="E19" s="20">
        <v>0.2</v>
      </c>
      <c r="F19" s="20">
        <v>0.05</v>
      </c>
      <c r="G19" s="20">
        <f t="shared" si="0"/>
        <v>0.05</v>
      </c>
      <c r="H19" s="21">
        <f>1/12</f>
        <v>8.3333333333333329E-2</v>
      </c>
      <c r="I19" s="3">
        <v>3000</v>
      </c>
      <c r="J19" s="22" cm="1">
        <f t="array" ref="J19">BinaryTree_call("a",D19,E19,F19,G19,H19,I19,N)</f>
        <v>327.03864360966736</v>
      </c>
      <c r="K19" s="4">
        <f t="shared" si="1"/>
        <v>3325</v>
      </c>
      <c r="L19" s="4">
        <f t="shared" si="2"/>
        <v>325</v>
      </c>
      <c r="M19" s="4" t="str">
        <f t="shared" si="3"/>
        <v>Yes</v>
      </c>
      <c r="N19" s="23" cm="1">
        <f t="array" ref="N19">BinaryTree_put("a",D19,E19,F19,G19,H19,I19,N)</f>
        <v>2.6775523658586482</v>
      </c>
      <c r="O19" s="4">
        <f t="shared" si="4"/>
        <v>3000</v>
      </c>
      <c r="P19" s="4">
        <f t="shared" si="5"/>
        <v>0</v>
      </c>
      <c r="Q19" s="4" t="str">
        <f>IF(N19&gt;O19,"No",IF(N19&lt;P19,"No","Yes"))</f>
        <v>Yes</v>
      </c>
    </row>
    <row r="20" spans="4:17">
      <c r="D20" s="19">
        <v>3325</v>
      </c>
      <c r="E20" s="20">
        <v>0.2</v>
      </c>
      <c r="F20" s="20">
        <v>0.05</v>
      </c>
      <c r="G20" s="20">
        <f t="shared" si="0"/>
        <v>0.05</v>
      </c>
      <c r="H20" s="19">
        <f>3/12</f>
        <v>0.25</v>
      </c>
      <c r="I20" s="3">
        <v>3000</v>
      </c>
      <c r="J20" s="22" cm="1">
        <f t="array" ref="J20">BinaryTree_call("a",D20,E20,F20,G20,H20,I20,N)</f>
        <v>347.34679629361739</v>
      </c>
      <c r="K20" s="4">
        <f t="shared" si="1"/>
        <v>3325</v>
      </c>
      <c r="L20" s="4">
        <f t="shared" si="2"/>
        <v>325</v>
      </c>
      <c r="M20" s="4" t="str">
        <f t="shared" si="3"/>
        <v>Yes</v>
      </c>
      <c r="N20" s="23" cm="1">
        <f t="array" ref="N20">BinaryTree_put("a",D20,E20,F20,G20,H20,I20,N)</f>
        <v>24.816537192187152</v>
      </c>
      <c r="O20" s="4">
        <f t="shared" si="4"/>
        <v>3000</v>
      </c>
      <c r="P20" s="4">
        <f t="shared" si="5"/>
        <v>0</v>
      </c>
      <c r="Q20" s="4" t="str">
        <f>IF(N20&gt;O20,"No",IF(N20&lt;P20,"No","Yes"))</f>
        <v>Yes</v>
      </c>
    </row>
    <row r="21" spans="4:17">
      <c r="D21" s="19">
        <v>3325</v>
      </c>
      <c r="E21" s="20">
        <v>0.2</v>
      </c>
      <c r="F21" s="20">
        <v>0.05</v>
      </c>
      <c r="G21" s="20">
        <f t="shared" si="0"/>
        <v>0.05</v>
      </c>
      <c r="H21" s="19">
        <v>0.5</v>
      </c>
      <c r="I21" s="3">
        <v>3000</v>
      </c>
      <c r="J21" s="22" cm="1">
        <f t="array" ref="J21">BinaryTree_call("a",D21,E21,F21,G21,H21,I21,N)</f>
        <v>380.01952314333471</v>
      </c>
      <c r="K21" s="4">
        <f t="shared" si="1"/>
        <v>3325</v>
      </c>
      <c r="L21" s="4">
        <f t="shared" si="2"/>
        <v>325</v>
      </c>
      <c r="M21" s="4" t="str">
        <f t="shared" si="3"/>
        <v>Yes</v>
      </c>
      <c r="N21" s="23" cm="1">
        <f t="array" ref="N21">BinaryTree_put("a",D21,E21,F21,G21,H21,I21,N)</f>
        <v>60.054360078238112</v>
      </c>
      <c r="O21" s="4">
        <f t="shared" si="4"/>
        <v>3000</v>
      </c>
      <c r="P21" s="4">
        <f t="shared" si="5"/>
        <v>0</v>
      </c>
      <c r="Q21" s="4" t="str">
        <f>IF(N21&gt;O21,"No",IF(N21&lt;P21,"No","Yes"))</f>
        <v>Yes</v>
      </c>
    </row>
    <row r="22" spans="4:17">
      <c r="D22" s="19">
        <v>3325</v>
      </c>
      <c r="E22" s="20">
        <v>0.2</v>
      </c>
      <c r="F22" s="20">
        <v>0.05</v>
      </c>
      <c r="G22" s="20">
        <f t="shared" si="0"/>
        <v>0.05</v>
      </c>
      <c r="H22" s="19">
        <v>1</v>
      </c>
      <c r="I22" s="3">
        <v>3000</v>
      </c>
      <c r="J22" s="22" cm="1">
        <f t="array" ref="J22">BinaryTree_call("a",D22,E22,F22,G22,H22,I22,N)</f>
        <v>432.31778875061917</v>
      </c>
      <c r="K22" s="4">
        <f t="shared" si="1"/>
        <v>3325</v>
      </c>
      <c r="L22" s="4">
        <f t="shared" si="2"/>
        <v>325</v>
      </c>
      <c r="M22" s="4" t="str">
        <f t="shared" si="3"/>
        <v>Yes</v>
      </c>
      <c r="N22" s="23" cm="1">
        <f t="array" ref="N22">BinaryTree_put("a",D22,E22,F22,G22,H22,I22,N)</f>
        <v>117.0348757570047</v>
      </c>
      <c r="O22" s="4">
        <f t="shared" si="4"/>
        <v>3000</v>
      </c>
      <c r="P22" s="4">
        <f t="shared" si="5"/>
        <v>0</v>
      </c>
      <c r="Q22" s="4" t="str">
        <f>IF(N22&gt;O22,"No",IF(N22&lt;P22,"No","Yes"))</f>
        <v>Yes</v>
      </c>
    </row>
    <row r="23" spans="4:17">
      <c r="D23" s="19">
        <v>3325</v>
      </c>
      <c r="E23" s="20">
        <v>0.2</v>
      </c>
      <c r="F23" s="20">
        <v>0.05</v>
      </c>
      <c r="G23" s="20">
        <f t="shared" si="0"/>
        <v>0.05</v>
      </c>
      <c r="H23" s="19">
        <v>2</v>
      </c>
      <c r="I23" s="3">
        <v>3000</v>
      </c>
      <c r="J23" s="22" cm="1">
        <f t="array" ref="J23">BinaryTree_call("a",D23,E23,F23,G23,H23,I23,N)</f>
        <v>507.86094257936151</v>
      </c>
      <c r="K23" s="4">
        <f t="shared" si="1"/>
        <v>3325</v>
      </c>
      <c r="L23" s="4">
        <f t="shared" ref="L23:L28" si="6">MAX(D23-I23,0)</f>
        <v>325</v>
      </c>
      <c r="M23" s="4" t="str">
        <f t="shared" ref="M23:M28" si="7">IF(J23&gt;K23,"No",IF(J23&lt;L23,"No","Yes"))</f>
        <v>Yes</v>
      </c>
      <c r="N23" s="23" cm="1">
        <f t="array" ref="N23">BinaryTree_put("a",D23,E23,F23,G23,H23,I23,N)</f>
        <v>200.44778056819362</v>
      </c>
      <c r="O23" s="4">
        <f t="shared" ref="O23:O28" si="8">I23</f>
        <v>3000</v>
      </c>
      <c r="P23" s="4">
        <f t="shared" ref="P23:P28" si="9">MAX(I23-D23,0)</f>
        <v>0</v>
      </c>
      <c r="Q23" s="4" t="str">
        <f t="shared" ref="Q23:Q28" si="10">IF(N23&gt;O23,"No",IF(N23&lt;P23,"No","Yes"))</f>
        <v>Yes</v>
      </c>
    </row>
    <row r="24" spans="4:17">
      <c r="D24" s="18">
        <v>3325</v>
      </c>
      <c r="E24" s="17">
        <v>0.2</v>
      </c>
      <c r="F24" s="17">
        <v>0.05</v>
      </c>
      <c r="G24" s="17">
        <f t="shared" si="0"/>
        <v>0.05</v>
      </c>
      <c r="H24" s="18">
        <v>1</v>
      </c>
      <c r="I24" s="18">
        <v>2000</v>
      </c>
      <c r="J24" s="22" cm="1">
        <f t="array" ref="J24">BinaryTree_call("a",D24,E24,F24,G24,H24,I24,N)</f>
        <v>1325</v>
      </c>
      <c r="K24" s="4">
        <f t="shared" si="1"/>
        <v>3325</v>
      </c>
      <c r="L24" s="4">
        <f t="shared" si="6"/>
        <v>1325</v>
      </c>
      <c r="M24" s="4" t="str">
        <f t="shared" si="7"/>
        <v>Yes</v>
      </c>
      <c r="N24" s="23" cm="1">
        <f t="array" ref="N24">BinaryTree_put("a",D24,E24,F24,G24,H24,I24,N)</f>
        <v>0.74733872423508707</v>
      </c>
      <c r="O24" s="4">
        <f t="shared" si="8"/>
        <v>2000</v>
      </c>
      <c r="P24" s="4">
        <f t="shared" si="9"/>
        <v>0</v>
      </c>
      <c r="Q24" s="4" t="str">
        <f t="shared" si="10"/>
        <v>Yes</v>
      </c>
    </row>
    <row r="25" spans="4:17">
      <c r="D25" s="18">
        <v>3325</v>
      </c>
      <c r="E25" s="17">
        <v>0.2</v>
      </c>
      <c r="F25" s="17">
        <v>0.05</v>
      </c>
      <c r="G25" s="17">
        <f t="shared" si="0"/>
        <v>0.05</v>
      </c>
      <c r="H25" s="18">
        <v>1</v>
      </c>
      <c r="I25" s="18">
        <v>2500</v>
      </c>
      <c r="J25" s="22" cm="1">
        <f t="array" ref="J25">BinaryTree_call("a",D25,E25,F25,G25,H25,I25,N)</f>
        <v>829.92748466268279</v>
      </c>
      <c r="K25" s="4">
        <f t="shared" si="1"/>
        <v>3325</v>
      </c>
      <c r="L25" s="4">
        <f t="shared" si="6"/>
        <v>825</v>
      </c>
      <c r="M25" s="4" t="str">
        <f t="shared" si="7"/>
        <v>Yes</v>
      </c>
      <c r="N25" s="23" cm="1">
        <f t="array" ref="N25">BinaryTree_put("a",D25,E25,F25,G25,H25,I25,N)</f>
        <v>18.453690688025077</v>
      </c>
      <c r="O25" s="4">
        <f t="shared" si="8"/>
        <v>2500</v>
      </c>
      <c r="P25" s="4">
        <f t="shared" si="9"/>
        <v>0</v>
      </c>
      <c r="Q25" s="4" t="str">
        <f t="shared" si="10"/>
        <v>Yes</v>
      </c>
    </row>
    <row r="26" spans="4:17">
      <c r="D26" s="18">
        <v>3325</v>
      </c>
      <c r="E26" s="17">
        <v>0.2</v>
      </c>
      <c r="F26" s="17">
        <v>0.05</v>
      </c>
      <c r="G26" s="17">
        <f t="shared" si="0"/>
        <v>0.05</v>
      </c>
      <c r="H26" s="18">
        <v>1</v>
      </c>
      <c r="I26" s="18">
        <v>3325</v>
      </c>
      <c r="J26" s="22" cm="1">
        <f t="array" ref="J26">BinaryTree_call("a",D26,E26,F26,G26,H26,I26,N)</f>
        <v>253.72398689575033</v>
      </c>
      <c r="K26" s="4">
        <f t="shared" si="1"/>
        <v>3325</v>
      </c>
      <c r="L26" s="4">
        <f t="shared" si="6"/>
        <v>0</v>
      </c>
      <c r="M26" s="4" t="str">
        <f t="shared" si="7"/>
        <v>Yes</v>
      </c>
      <c r="N26" s="23" cm="1">
        <f t="array" ref="N26">BinaryTree_put("a",D26,E26,F26,G26,H26,I26,N)</f>
        <v>253.72398689575044</v>
      </c>
      <c r="O26" s="4">
        <f t="shared" si="8"/>
        <v>3325</v>
      </c>
      <c r="P26" s="4">
        <f t="shared" si="9"/>
        <v>0</v>
      </c>
      <c r="Q26" s="4" t="str">
        <f t="shared" si="10"/>
        <v>Yes</v>
      </c>
    </row>
    <row r="27" spans="4:17">
      <c r="D27" s="18">
        <v>3325</v>
      </c>
      <c r="E27" s="17">
        <v>0.2</v>
      </c>
      <c r="F27" s="17">
        <v>0.05</v>
      </c>
      <c r="G27" s="17">
        <f t="shared" si="0"/>
        <v>0.05</v>
      </c>
      <c r="H27" s="18">
        <v>1</v>
      </c>
      <c r="I27" s="18">
        <v>4000</v>
      </c>
      <c r="J27" s="22" cm="1">
        <f t="array" ref="J27">BinaryTree_call("a",D27,E27,F27,G27,H27,I27,N)</f>
        <v>67.037163862866024</v>
      </c>
      <c r="K27" s="4">
        <f t="shared" si="1"/>
        <v>3325</v>
      </c>
      <c r="L27" s="4">
        <f t="shared" si="6"/>
        <v>0</v>
      </c>
      <c r="M27" s="4" t="str">
        <f t="shared" si="7"/>
        <v>Yes</v>
      </c>
      <c r="N27" s="23" cm="1">
        <f t="array" ref="N27">BinaryTree_put("a",D27,E27,F27,G27,H27,I27,N)</f>
        <v>724.86845639852629</v>
      </c>
      <c r="O27" s="4">
        <f t="shared" si="8"/>
        <v>4000</v>
      </c>
      <c r="P27" s="4">
        <f t="shared" si="9"/>
        <v>675</v>
      </c>
      <c r="Q27" s="4" t="str">
        <f t="shared" si="10"/>
        <v>Yes</v>
      </c>
    </row>
    <row r="28" spans="4:17">
      <c r="D28" s="18">
        <v>3325</v>
      </c>
      <c r="E28" s="17">
        <v>0.2</v>
      </c>
      <c r="F28" s="17">
        <v>0.05</v>
      </c>
      <c r="G28" s="17">
        <f t="shared" si="0"/>
        <v>0.05</v>
      </c>
      <c r="H28" s="18">
        <v>1</v>
      </c>
      <c r="I28" s="18">
        <v>5000</v>
      </c>
      <c r="J28" s="22" cm="1">
        <f t="array" ref="J28">BinaryTree_call("a",D28,E28,F28,G28,H28,I28,N)</f>
        <v>5.6755990568696104</v>
      </c>
      <c r="K28" s="4">
        <f t="shared" si="1"/>
        <v>3325</v>
      </c>
      <c r="L28" s="4">
        <f t="shared" si="6"/>
        <v>0</v>
      </c>
      <c r="M28" s="4" t="str">
        <f t="shared" si="7"/>
        <v>Yes</v>
      </c>
      <c r="N28" s="23" cm="1">
        <f t="array" ref="N28">BinaryTree_put("a",D28,E28,F28,G28,H28,I28,N)</f>
        <v>1675</v>
      </c>
      <c r="O28" s="4">
        <f t="shared" si="8"/>
        <v>5000</v>
      </c>
      <c r="P28" s="4">
        <f t="shared" si="9"/>
        <v>1675</v>
      </c>
      <c r="Q28" s="4" t="str">
        <f t="shared" si="10"/>
        <v>Yes</v>
      </c>
    </row>
  </sheetData>
  <mergeCells count="2">
    <mergeCell ref="A1:G1"/>
    <mergeCell ref="A2:G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3:O28"/>
  <sheetViews>
    <sheetView workbookViewId="0">
      <selection activeCell="M4" sqref="M4:O28"/>
    </sheetView>
  </sheetViews>
  <sheetFormatPr defaultRowHeight="14.4"/>
  <cols>
    <col min="4" max="15" width="14.88671875" customWidth="1"/>
  </cols>
  <sheetData>
    <row r="3" spans="3:15"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14" t="s">
        <v>29</v>
      </c>
      <c r="K3" s="16" t="s">
        <v>31</v>
      </c>
      <c r="L3" s="16" t="s">
        <v>30</v>
      </c>
      <c r="M3" s="15" t="s">
        <v>28</v>
      </c>
      <c r="N3" s="16" t="s">
        <v>32</v>
      </c>
      <c r="O3" s="16" t="s">
        <v>30</v>
      </c>
    </row>
    <row r="4" spans="3:15">
      <c r="C4">
        <v>1</v>
      </c>
      <c r="D4" s="17">
        <v>2000</v>
      </c>
      <c r="E4" s="17">
        <v>0.2</v>
      </c>
      <c r="F4" s="17">
        <v>0.05</v>
      </c>
      <c r="G4" s="17">
        <v>0</v>
      </c>
      <c r="H4" s="17">
        <v>1</v>
      </c>
      <c r="I4" s="17">
        <v>3000</v>
      </c>
      <c r="J4" s="22" cm="1">
        <f t="array" ref="J4">BinaryTree_call("a",D4,E4,F4,G4,H4,I4,N)</f>
        <v>6.8421444964692952</v>
      </c>
      <c r="K4" s="22" cm="1">
        <f t="array" ref="K4">BinaryTree_call("e",D4,E4,F4,G4,H4,I4,N)</f>
        <v>6.8421444964692952</v>
      </c>
      <c r="L4" s="4" t="str">
        <f>IF(J4&gt;K4,"Yes","No")</f>
        <v>No</v>
      </c>
      <c r="M4" s="23" cm="1">
        <f t="array" ref="M4">BinaryTree_put("a",D4,E4,F4,G4,H4,I4,N)</f>
        <v>1000</v>
      </c>
      <c r="N4" s="24" cm="1">
        <f t="array" ref="N4">BinaryTree_put("e",D4,E4,F4,G4,H4,I4,N)</f>
        <v>860.53041799860853</v>
      </c>
      <c r="O4" s="4" t="str">
        <f>IF(M4&gt;N4,"Yes","No")</f>
        <v>Yes</v>
      </c>
    </row>
    <row r="5" spans="3:15">
      <c r="C5">
        <v>2</v>
      </c>
      <c r="D5" s="18">
        <v>2500</v>
      </c>
      <c r="E5" s="17">
        <v>0.2</v>
      </c>
      <c r="F5" s="17">
        <v>0.05</v>
      </c>
      <c r="G5" s="17">
        <v>0</v>
      </c>
      <c r="H5" s="17">
        <v>1</v>
      </c>
      <c r="I5" s="17">
        <v>3000</v>
      </c>
      <c r="J5" s="22" cm="1">
        <f t="array" ref="J5">BinaryTree_call("a",D5,E5,F5,G5,H5,I5,N)</f>
        <v>81.054056821058964</v>
      </c>
      <c r="K5" s="22" cm="1">
        <f t="array" ref="K5">BinaryTree_call("e",D5,E5,F5,G5,H5,I5,N)</f>
        <v>81.054056821058964</v>
      </c>
      <c r="L5" s="4" t="str">
        <f t="shared" ref="L5:L28" si="0">IF(J5&gt;K5,"Yes","No")</f>
        <v>No</v>
      </c>
      <c r="M5" s="23" cm="1">
        <f t="array" ref="M5">BinaryTree_put("a",D5,E5,F5,G5,H5,I5,N)</f>
        <v>503.44113711816721</v>
      </c>
      <c r="N5" s="24" cm="1">
        <f t="array" ref="N5">BinaryTree_put("e",D5,E5,F5,G5,H5,I5,N)</f>
        <v>434.74233032319609</v>
      </c>
      <c r="O5" s="4" t="str">
        <f t="shared" ref="O5:O28" si="1">IF(M5&gt;N5,"Yes","No")</f>
        <v>Yes</v>
      </c>
    </row>
    <row r="6" spans="3:15">
      <c r="C6">
        <v>3</v>
      </c>
      <c r="D6" s="18">
        <v>3000</v>
      </c>
      <c r="E6" s="17">
        <v>0.2</v>
      </c>
      <c r="F6" s="17">
        <v>0.05</v>
      </c>
      <c r="G6" s="17">
        <v>0</v>
      </c>
      <c r="H6" s="17">
        <v>1</v>
      </c>
      <c r="I6" s="17">
        <v>3000</v>
      </c>
      <c r="J6" s="22" cm="1">
        <f t="array" ref="J6">BinaryTree_call("a",D6,E6,F6,G6,H6,I6,N)</f>
        <v>312.3207462219795</v>
      </c>
      <c r="K6" s="22" cm="1">
        <f t="array" ref="K6">BinaryTree_call("e",D6,E6,F6,G6,H6,I6,N)</f>
        <v>312.3207462219795</v>
      </c>
      <c r="L6" s="4" t="str">
        <f t="shared" si="0"/>
        <v>No</v>
      </c>
      <c r="M6" s="23" cm="1">
        <f t="array" ref="M6">BinaryTree_put("a",D6,E6,F6,G6,H6,I6,N)</f>
        <v>182.21183957174702</v>
      </c>
      <c r="N6" s="24" cm="1">
        <f t="array" ref="N6">BinaryTree_put("e",D6,E6,F6,G6,H6,I6,N)</f>
        <v>166.00901972411469</v>
      </c>
      <c r="O6" s="4" t="str">
        <f t="shared" si="1"/>
        <v>Yes</v>
      </c>
    </row>
    <row r="7" spans="3:15">
      <c r="C7">
        <v>4</v>
      </c>
      <c r="D7" s="18">
        <v>3500</v>
      </c>
      <c r="E7" s="17">
        <v>0.2</v>
      </c>
      <c r="F7" s="17">
        <v>0.05</v>
      </c>
      <c r="G7" s="17">
        <v>0</v>
      </c>
      <c r="H7" s="17">
        <v>1</v>
      </c>
      <c r="I7" s="17">
        <v>3000</v>
      </c>
      <c r="J7" s="22" cm="1">
        <f t="array" ref="J7">BinaryTree_call("a",D7,E7,F7,G7,H7,I7,N)</f>
        <v>697.1584099383831</v>
      </c>
      <c r="K7" s="22" cm="1">
        <f t="array" ref="K7">BinaryTree_call("e",D7,E7,F7,G7,H7,I7,N)</f>
        <v>697.1584099383831</v>
      </c>
      <c r="L7" s="4" t="str">
        <f t="shared" si="0"/>
        <v>No</v>
      </c>
      <c r="M7" s="23" cm="1">
        <f t="array" ref="M7">BinaryTree_put("a",D7,E7,F7,G7,H7,I7,N)</f>
        <v>54.041657865417314</v>
      </c>
      <c r="N7" s="24" cm="1">
        <f t="array" ref="N7">BinaryTree_put("e",D7,E7,F7,G7,H7,I7,N)</f>
        <v>50.846683440516649</v>
      </c>
      <c r="O7" s="4" t="str">
        <f t="shared" si="1"/>
        <v>Yes</v>
      </c>
    </row>
    <row r="8" spans="3:15">
      <c r="C8">
        <v>5</v>
      </c>
      <c r="D8" s="18">
        <v>4000</v>
      </c>
      <c r="E8" s="17">
        <v>0.2</v>
      </c>
      <c r="F8" s="17">
        <v>0.05</v>
      </c>
      <c r="G8" s="17">
        <v>0</v>
      </c>
      <c r="H8" s="17">
        <v>1</v>
      </c>
      <c r="I8" s="17">
        <v>3000</v>
      </c>
      <c r="J8" s="22" cm="1">
        <f t="array" ref="J8">BinaryTree_call("a",D8,E8,F8,G8,H8,I8,N)</f>
        <v>1158.6614129679463</v>
      </c>
      <c r="K8" s="22" cm="1">
        <f t="array" ref="K8">BinaryTree_call("e",D8,E8,F8,G8,H8,I8,N)</f>
        <v>1158.6614129679463</v>
      </c>
      <c r="L8" s="4" t="str">
        <f t="shared" si="0"/>
        <v>No</v>
      </c>
      <c r="M8" s="23" cm="1">
        <f t="array" ref="M8">BinaryTree_put("a",D8,E8,F8,G8,H8,I8,N)</f>
        <v>12.925886234224757</v>
      </c>
      <c r="N8" s="24" cm="1">
        <f t="array" ref="N8">BinaryTree_put("e",D8,E8,F8,G8,H8,I8,N)</f>
        <v>12.349686470077303</v>
      </c>
      <c r="O8" s="4" t="str">
        <f t="shared" si="1"/>
        <v>Yes</v>
      </c>
    </row>
    <row r="9" spans="3:15">
      <c r="C9">
        <v>6</v>
      </c>
      <c r="D9" s="4">
        <v>3325</v>
      </c>
      <c r="E9" s="4">
        <v>0.05</v>
      </c>
      <c r="F9" s="3">
        <v>0.05</v>
      </c>
      <c r="G9" s="20">
        <v>0</v>
      </c>
      <c r="H9" s="3">
        <v>1</v>
      </c>
      <c r="I9" s="3">
        <v>3000</v>
      </c>
      <c r="J9" s="22" cm="1">
        <f t="array" ref="J9">BinaryTree_call("a",D9,E9,F9,G9,H9,I9,N)</f>
        <v>471.35784394722543</v>
      </c>
      <c r="K9" s="22" cm="1">
        <f t="array" ref="K9">BinaryTree_call("e",D9,E9,F9,G9,H9,I9,N)</f>
        <v>471.35784394722543</v>
      </c>
      <c r="L9" s="4" t="str">
        <f t="shared" si="0"/>
        <v>No</v>
      </c>
      <c r="M9" s="23" cm="1">
        <f t="array" ref="M9">BinaryTree_put("a",D9,E9,F9,G9,H9,I9,N)</f>
        <v>5.7679372401153783E-2</v>
      </c>
      <c r="N9" s="24" cm="1">
        <f t="array" ref="N9">BinaryTree_put("e",D9,E9,F9,G9,H9,I9,N)</f>
        <v>4.6117449359571842E-2</v>
      </c>
      <c r="O9" s="4" t="str">
        <f t="shared" si="1"/>
        <v>Yes</v>
      </c>
    </row>
    <row r="10" spans="3:15">
      <c r="C10">
        <v>7</v>
      </c>
      <c r="D10" s="4">
        <v>3325</v>
      </c>
      <c r="E10" s="4">
        <v>0.1</v>
      </c>
      <c r="F10" s="3">
        <v>0.05</v>
      </c>
      <c r="G10" s="20">
        <v>0</v>
      </c>
      <c r="H10" s="3">
        <v>1</v>
      </c>
      <c r="I10" s="3">
        <v>3000</v>
      </c>
      <c r="J10" s="22" cm="1">
        <f t="array" ref="J10">BinaryTree_call("a",D10,E10,F10,G10,H10,I10,N)</f>
        <v>479.88582934266941</v>
      </c>
      <c r="K10" s="22" cm="1">
        <f t="array" ref="K10">BinaryTree_call("e",D10,E10,F10,G10,H10,I10,N)</f>
        <v>479.88582934266941</v>
      </c>
      <c r="L10" s="4" t="str">
        <f t="shared" si="0"/>
        <v>No</v>
      </c>
      <c r="M10" s="23" cm="1">
        <f t="array" ref="M10">BinaryTree_put("a",D10,E10,F10,G10,H10,I10,N)</f>
        <v>9.7903574437766228</v>
      </c>
      <c r="N10" s="24" cm="1">
        <f t="array" ref="N10">BinaryTree_put("e",D10,E10,F10,G10,H10,I10,N)</f>
        <v>8.5741028448033898</v>
      </c>
      <c r="O10" s="4" t="str">
        <f t="shared" si="1"/>
        <v>Yes</v>
      </c>
    </row>
    <row r="11" spans="3:15">
      <c r="C11">
        <v>8</v>
      </c>
      <c r="D11" s="4">
        <v>3325</v>
      </c>
      <c r="E11" s="4">
        <v>0.2</v>
      </c>
      <c r="F11" s="3">
        <v>0.05</v>
      </c>
      <c r="G11" s="20">
        <v>0</v>
      </c>
      <c r="H11" s="3">
        <v>1</v>
      </c>
      <c r="I11" s="3">
        <v>3000</v>
      </c>
      <c r="J11" s="22" cm="1">
        <f t="array" ref="J11">BinaryTree_call("a",D11,E11,F11,G11,H11,I11,N)</f>
        <v>550.07643366358218</v>
      </c>
      <c r="K11" s="22" cm="1">
        <f t="array" ref="K11">BinaryTree_call("e",D11,E11,F11,G11,H11,I11,N)</f>
        <v>550.07643366358218</v>
      </c>
      <c r="L11" s="4" t="str">
        <f t="shared" si="0"/>
        <v>No</v>
      </c>
      <c r="M11" s="23" cm="1">
        <f t="array" ref="M11">BinaryTree_put("a",D11,E11,F11,G11,H11,I11,N)</f>
        <v>84.497689508784759</v>
      </c>
      <c r="N11" s="24" cm="1">
        <f t="array" ref="N11">BinaryTree_put("e",D11,E11,F11,G11,H11,I11,N)</f>
        <v>78.764707165716345</v>
      </c>
      <c r="O11" s="4" t="str">
        <f t="shared" si="1"/>
        <v>Yes</v>
      </c>
    </row>
    <row r="12" spans="3:15">
      <c r="C12">
        <v>9</v>
      </c>
      <c r="D12" s="4">
        <v>3325</v>
      </c>
      <c r="E12" s="4">
        <v>0.5</v>
      </c>
      <c r="F12" s="3">
        <v>0.05</v>
      </c>
      <c r="G12" s="20">
        <v>0</v>
      </c>
      <c r="H12" s="3">
        <v>1</v>
      </c>
      <c r="I12" s="3">
        <v>3000</v>
      </c>
      <c r="J12" s="22" cm="1">
        <f t="array" ref="J12">BinaryTree_call("a",D12,E12,F12,G12,H12,I12,N)</f>
        <v>874.79964015101768</v>
      </c>
      <c r="K12" s="22" cm="1">
        <f t="array" ref="K12">BinaryTree_call("e",D12,E12,F12,G12,H12,I12,N)</f>
        <v>874.79964015101768</v>
      </c>
      <c r="L12" s="4" t="str">
        <f t="shared" si="0"/>
        <v>No</v>
      </c>
      <c r="M12" s="23" cm="1">
        <f t="array" ref="M12">BinaryTree_put("a",D12,E12,F12,G12,H12,I12,N)</f>
        <v>415.21698879389191</v>
      </c>
      <c r="N12" s="24" cm="1">
        <f t="array" ref="N12">BinaryTree_put("e",D12,E12,F12,G12,H12,I12,N)</f>
        <v>403.48791365315344</v>
      </c>
      <c r="O12" s="4" t="str">
        <f t="shared" si="1"/>
        <v>Yes</v>
      </c>
    </row>
    <row r="13" spans="3:15">
      <c r="C13">
        <v>10</v>
      </c>
      <c r="D13" s="4">
        <v>3325</v>
      </c>
      <c r="E13" s="4">
        <v>1</v>
      </c>
      <c r="F13" s="3">
        <v>0.05</v>
      </c>
      <c r="G13" s="20">
        <v>0</v>
      </c>
      <c r="H13" s="3">
        <v>1</v>
      </c>
      <c r="I13" s="3">
        <v>3000</v>
      </c>
      <c r="J13" s="22" cm="1">
        <f t="array" ref="J13">BinaryTree_call("a",D13,E13,F13,G13,H13,I13,N)</f>
        <v>1435.3647060114022</v>
      </c>
      <c r="K13" s="22" cm="1">
        <f t="array" ref="K13">BinaryTree_call("e",D13,E13,F13,G13,H13,I13,N)</f>
        <v>1435.3647060114022</v>
      </c>
      <c r="L13" s="4" t="str">
        <f t="shared" si="0"/>
        <v>No</v>
      </c>
      <c r="M13" s="23" cm="1">
        <f t="array" ref="M13">BinaryTree_put("a",D13,E13,F13,G13,H13,I13,N)</f>
        <v>980.60744093325889</v>
      </c>
      <c r="N13" s="24" cm="1">
        <f t="array" ref="N13">BinaryTree_put("e",D13,E13,F13,G13,H13,I13,N)</f>
        <v>964.05297951353714</v>
      </c>
      <c r="O13" s="4" t="str">
        <f t="shared" si="1"/>
        <v>Yes</v>
      </c>
    </row>
    <row r="14" spans="3:15">
      <c r="C14">
        <v>11</v>
      </c>
      <c r="D14" s="18">
        <v>3325</v>
      </c>
      <c r="E14" s="17">
        <v>0.2</v>
      </c>
      <c r="F14" s="18">
        <v>0.01</v>
      </c>
      <c r="G14" s="17">
        <v>0</v>
      </c>
      <c r="H14" s="18">
        <v>1</v>
      </c>
      <c r="I14" s="17">
        <v>3000</v>
      </c>
      <c r="J14" s="22" cm="1">
        <f t="array" ref="J14">BinaryTree_call("a",D14,E14,F14,G14,H14,I14,N)</f>
        <v>467.02095395627185</v>
      </c>
      <c r="K14" s="22" cm="1">
        <f t="array" ref="K14">BinaryTree_call("e",D14,E14,F14,G14,H14,I14,N)</f>
        <v>467.02095395627185</v>
      </c>
      <c r="L14" s="4" t="str">
        <f t="shared" si="0"/>
        <v>No</v>
      </c>
      <c r="M14" s="23" cm="1">
        <f t="array" ref="M14">BinaryTree_put("a",D14,E14,F14,G14,H14,I14,N)</f>
        <v>113.21442032863585</v>
      </c>
      <c r="N14" s="24" cm="1">
        <f t="array" ref="N14">BinaryTree_put("e",D14,E14,F14,G14,H14,I14,N)</f>
        <v>112.170455203766</v>
      </c>
      <c r="O14" s="4" t="str">
        <f t="shared" si="1"/>
        <v>Yes</v>
      </c>
    </row>
    <row r="15" spans="3:15">
      <c r="C15">
        <v>12</v>
      </c>
      <c r="D15" s="18">
        <v>3325</v>
      </c>
      <c r="E15" s="17">
        <v>0.2</v>
      </c>
      <c r="F15" s="18">
        <v>0.1</v>
      </c>
      <c r="G15" s="17">
        <v>0</v>
      </c>
      <c r="H15" s="18">
        <v>1</v>
      </c>
      <c r="I15" s="17">
        <v>3000</v>
      </c>
      <c r="J15" s="22" cm="1">
        <f t="array" ref="J15">BinaryTree_call("a",D15,E15,F15,G15,H15,I15,N)</f>
        <v>659.11270169581712</v>
      </c>
      <c r="K15" s="22" cm="1">
        <f t="array" ref="K15">BinaryTree_call("e",D15,E15,F15,G15,H15,I15,N)</f>
        <v>659.11270169581712</v>
      </c>
      <c r="L15" s="4" t="str">
        <f t="shared" si="0"/>
        <v>No</v>
      </c>
      <c r="M15" s="23" cm="1">
        <f t="array" ref="M15">BinaryTree_put("a",D15,E15,F15,G15,H15,I15,N)</f>
        <v>58.723293857401146</v>
      </c>
      <c r="N15" s="24" cm="1">
        <f t="array" ref="N15">BinaryTree_put("e",D15,E15,F15,G15,H15,I15,N)</f>
        <v>48.624955803690177</v>
      </c>
      <c r="O15" s="4" t="str">
        <f t="shared" si="1"/>
        <v>Yes</v>
      </c>
    </row>
    <row r="16" spans="3:15">
      <c r="C16">
        <v>13</v>
      </c>
      <c r="D16" s="18">
        <v>3325</v>
      </c>
      <c r="E16" s="17">
        <v>0.2</v>
      </c>
      <c r="F16" s="18">
        <v>0.3</v>
      </c>
      <c r="G16" s="17">
        <v>0</v>
      </c>
      <c r="H16" s="18">
        <v>1</v>
      </c>
      <c r="I16" s="17">
        <v>3000</v>
      </c>
      <c r="J16" s="22" cm="1">
        <f t="array" ref="J16">BinaryTree_call("a",D16,E16,F16,G16,H16,I16,N)</f>
        <v>1106.7578639895798</v>
      </c>
      <c r="K16" s="22" cm="1">
        <f t="array" ref="K16">BinaryTree_call("e",D16,E16,F16,G16,H16,I16,N)</f>
        <v>1106.7578639895798</v>
      </c>
      <c r="L16" s="4" t="str">
        <f t="shared" si="0"/>
        <v>No</v>
      </c>
      <c r="M16" s="23" cm="1">
        <f t="array" ref="M16">BinaryTree_put("a",D16,E16,F16,G16,H16,I16,N)</f>
        <v>13.19021680883143</v>
      </c>
      <c r="N16" s="24" cm="1">
        <f t="array" ref="N16">BinaryTree_put("e",D16,E16,F16,G16,H16,I16,N)</f>
        <v>4.2125260347234335</v>
      </c>
      <c r="O16" s="4" t="str">
        <f t="shared" si="1"/>
        <v>Yes</v>
      </c>
    </row>
    <row r="17" spans="3:15">
      <c r="C17">
        <v>14</v>
      </c>
      <c r="D17" s="18">
        <v>3325</v>
      </c>
      <c r="E17" s="17">
        <v>0.2</v>
      </c>
      <c r="F17" s="18">
        <v>0.5</v>
      </c>
      <c r="G17" s="17">
        <v>0</v>
      </c>
      <c r="H17" s="18">
        <v>1</v>
      </c>
      <c r="I17" s="17">
        <v>3000</v>
      </c>
      <c r="J17" s="22" cm="1">
        <f t="array" ref="J17">BinaryTree_call("a",D17,E17,F17,G17,H17,I17,N)</f>
        <v>1505.537031475724</v>
      </c>
      <c r="K17" s="22" cm="1">
        <f t="array" ref="K17">BinaryTree_call("e",D17,E17,F17,G17,H17,I17,N)</f>
        <v>1505.537031475724</v>
      </c>
      <c r="L17" s="4" t="str">
        <f t="shared" si="0"/>
        <v>No</v>
      </c>
      <c r="M17" s="23" cm="1">
        <f t="array" ref="M17">BinaryTree_put("a",D17,E17,F17,G17,H17,I17,N)</f>
        <v>2.7980164304793433</v>
      </c>
      <c r="N17" s="24" cm="1">
        <f t="array" ref="N17">BinaryTree_put("e",D17,E17,F17,G17,H17,I17,N)</f>
        <v>0.12901061363851118</v>
      </c>
      <c r="O17" s="4" t="str">
        <f t="shared" si="1"/>
        <v>Yes</v>
      </c>
    </row>
    <row r="18" spans="3:15">
      <c r="C18">
        <v>15</v>
      </c>
      <c r="D18" s="18">
        <v>3325</v>
      </c>
      <c r="E18" s="17">
        <v>0.2</v>
      </c>
      <c r="F18" s="18">
        <v>1</v>
      </c>
      <c r="G18" s="17">
        <v>0</v>
      </c>
      <c r="H18" s="18">
        <v>1</v>
      </c>
      <c r="I18" s="17">
        <v>3000</v>
      </c>
      <c r="J18" s="22" cm="1">
        <f t="array" ref="J18">BinaryTree_call("a",D18,E18,F18,G18,H18,I18,N)</f>
        <v>2221.3616764892631</v>
      </c>
      <c r="K18" s="22" cm="1">
        <f t="array" ref="K18">BinaryTree_call("e",D18,E18,F18,G18,H18,I18,N)</f>
        <v>2221.3616764892631</v>
      </c>
      <c r="L18" s="4" t="str">
        <f t="shared" si="0"/>
        <v>No</v>
      </c>
      <c r="M18" s="23" cm="1">
        <f t="array" ref="M18">BinaryTree_put("a",D18,E18,F18,G18,H18,I18,N)</f>
        <v>2.6576764985509448E-2</v>
      </c>
      <c r="N18" s="24" cm="1">
        <f t="array" ref="N18">BinaryTree_put("e",D18,E18,F18,G18,H18,I18,N)</f>
        <v>3.6015382996997812E-9</v>
      </c>
      <c r="O18" s="4" t="str">
        <f t="shared" si="1"/>
        <v>Yes</v>
      </c>
    </row>
    <row r="19" spans="3:15">
      <c r="C19">
        <v>16</v>
      </c>
      <c r="D19" s="19">
        <v>3325</v>
      </c>
      <c r="E19" s="20">
        <v>0.2</v>
      </c>
      <c r="F19" s="20">
        <v>0.05</v>
      </c>
      <c r="G19" s="20">
        <v>0</v>
      </c>
      <c r="H19" s="21">
        <f>1/12</f>
        <v>8.3333333333333329E-2</v>
      </c>
      <c r="I19" s="3">
        <v>3000</v>
      </c>
      <c r="J19" s="22" cm="1">
        <f t="array" ref="J19">BinaryTree_call("a",D19,E19,F19,G19,H19,I19,N)</f>
        <v>339.71188939294535</v>
      </c>
      <c r="K19" s="22" cm="1">
        <f t="array" ref="K19">BinaryTree_call("e",D19,E19,F19,G19,H19,I19,N)</f>
        <v>339.71188939294535</v>
      </c>
      <c r="L19" s="4" t="str">
        <f t="shared" si="0"/>
        <v>No</v>
      </c>
      <c r="M19" s="23" cm="1">
        <f t="array" ref="M19">BinaryTree_put("a",D19,E19,F19,G19,H19,I19,N)</f>
        <v>2.2536818483720222</v>
      </c>
      <c r="N19" s="24" cm="1">
        <f t="array" ref="N19">BinaryTree_put("e",D19,E19,F19,G19,H19,I19,N)</f>
        <v>2.2378949282608893</v>
      </c>
      <c r="O19" s="4" t="str">
        <f t="shared" si="1"/>
        <v>Yes</v>
      </c>
    </row>
    <row r="20" spans="3:15">
      <c r="C20">
        <v>17</v>
      </c>
      <c r="D20" s="19">
        <v>3325</v>
      </c>
      <c r="E20" s="20">
        <v>0.2</v>
      </c>
      <c r="F20" s="20">
        <v>0.05</v>
      </c>
      <c r="G20" s="20">
        <v>0</v>
      </c>
      <c r="H20" s="19">
        <f>3/12</f>
        <v>0.25</v>
      </c>
      <c r="I20" s="3">
        <v>3000</v>
      </c>
      <c r="J20" s="22" cm="1">
        <f t="array" ref="J20">BinaryTree_call("a",D20,E20,F20,G20,H20,I20,N)</f>
        <v>381.80347756754401</v>
      </c>
      <c r="K20" s="22" cm="1">
        <f t="array" ref="K20">BinaryTree_call("e",D20,E20,F20,G20,H20,I20,N)</f>
        <v>381.80347756754401</v>
      </c>
      <c r="L20" s="4" t="str">
        <f t="shared" si="0"/>
        <v>No</v>
      </c>
      <c r="M20" s="23" cm="1">
        <f t="array" ref="M20">BinaryTree_put("a",D20,E20,F20,G20,H20,I20,N)</f>
        <v>19.943271408706199</v>
      </c>
      <c r="N20" s="24" cm="1">
        <f t="array" ref="N20">BinaryTree_put("e",D20,E20,F20,G20,H20,I20,N)</f>
        <v>19.536879049181522</v>
      </c>
      <c r="O20" s="4" t="str">
        <f t="shared" si="1"/>
        <v>Yes</v>
      </c>
    </row>
    <row r="21" spans="3:15">
      <c r="C21">
        <v>18</v>
      </c>
      <c r="D21" s="19">
        <v>3325</v>
      </c>
      <c r="E21" s="20">
        <v>0.2</v>
      </c>
      <c r="F21" s="20">
        <v>0.05</v>
      </c>
      <c r="G21" s="20">
        <v>0</v>
      </c>
      <c r="H21" s="19">
        <v>0.5</v>
      </c>
      <c r="I21" s="3">
        <v>3000</v>
      </c>
      <c r="J21" s="22" cm="1">
        <f t="array" ref="J21">BinaryTree_call("a",D21,E21,F21,G21,H21,I21,N)</f>
        <v>443.47533769264413</v>
      </c>
      <c r="K21" s="22" cm="1">
        <f t="array" ref="K21">BinaryTree_call("e",D21,E21,F21,G21,H21,I21,N)</f>
        <v>443.47533769264413</v>
      </c>
      <c r="L21" s="4" t="str">
        <f t="shared" si="0"/>
        <v>No</v>
      </c>
      <c r="M21" s="23" cm="1">
        <f t="array" ref="M21">BinaryTree_put("a",D21,E21,F21,G21,H21,I21,N)</f>
        <v>46.055028314217431</v>
      </c>
      <c r="N21" s="24" cm="1">
        <f t="array" ref="N21">BinaryTree_put("e",D21,E21,F21,G21,H21,I21,N)</f>
        <v>44.405073777655709</v>
      </c>
      <c r="O21" s="4" t="str">
        <f t="shared" si="1"/>
        <v>Yes</v>
      </c>
    </row>
    <row r="22" spans="3:15">
      <c r="C22">
        <v>19</v>
      </c>
      <c r="D22" s="19">
        <v>3325</v>
      </c>
      <c r="E22" s="20">
        <v>0.2</v>
      </c>
      <c r="F22" s="20">
        <v>0.05</v>
      </c>
      <c r="G22" s="20">
        <v>0</v>
      </c>
      <c r="H22" s="19">
        <v>1</v>
      </c>
      <c r="I22" s="3">
        <v>3000</v>
      </c>
      <c r="J22" s="22" cm="1">
        <f t="array" ref="J22">BinaryTree_call("a",D22,E22,F22,G22,H22,I22,N)</f>
        <v>550.07643366358218</v>
      </c>
      <c r="K22" s="22" cm="1">
        <f t="array" ref="K22">BinaryTree_call("e",D22,E22,F22,G22,H22,I22,N)</f>
        <v>550.07643366358218</v>
      </c>
      <c r="L22" s="4" t="str">
        <f t="shared" si="0"/>
        <v>No</v>
      </c>
      <c r="M22" s="23" cm="1">
        <f t="array" ref="M22">BinaryTree_put("a",D22,E22,F22,G22,H22,I22,N)</f>
        <v>84.497689508784759</v>
      </c>
      <c r="N22" s="24" cm="1">
        <f t="array" ref="N22">BinaryTree_put("e",D22,E22,F22,G22,H22,I22,N)</f>
        <v>78.764707165716345</v>
      </c>
      <c r="O22" s="4" t="str">
        <f t="shared" si="1"/>
        <v>Yes</v>
      </c>
    </row>
    <row r="23" spans="3:15">
      <c r="C23">
        <v>20</v>
      </c>
      <c r="D23" s="19">
        <v>3325</v>
      </c>
      <c r="E23" s="20">
        <v>0.2</v>
      </c>
      <c r="F23" s="20">
        <v>0.05</v>
      </c>
      <c r="G23" s="20">
        <v>0</v>
      </c>
      <c r="H23" s="19">
        <v>2</v>
      </c>
      <c r="I23" s="3">
        <v>3000</v>
      </c>
      <c r="J23" s="22" cm="1">
        <f t="array" ref="J23">BinaryTree_call("a",D23,E23,F23,G23,H23,I23,N)</f>
        <v>728.37349879516216</v>
      </c>
      <c r="K23" s="22" cm="1">
        <f t="array" ref="K23">BinaryTree_call("e",D23,E23,F23,G23,H23,I23,N)</f>
        <v>728.37349879516216</v>
      </c>
      <c r="L23" s="4" t="str">
        <f t="shared" si="0"/>
        <v>No</v>
      </c>
      <c r="M23" s="23" cm="1">
        <f t="array" ref="M23">BinaryTree_put("a",D23,E23,F23,G23,H23,I23,N)</f>
        <v>133.51436425946403</v>
      </c>
      <c r="N23" s="24" cm="1">
        <f t="array" ref="N23">BinaryTree_put("e",D23,E23,F23,G23,H23,I23,N)</f>
        <v>117.88575290303383</v>
      </c>
      <c r="O23" s="4" t="str">
        <f t="shared" si="1"/>
        <v>Yes</v>
      </c>
    </row>
    <row r="24" spans="3:15">
      <c r="C24">
        <v>21</v>
      </c>
      <c r="D24" s="18">
        <v>3325</v>
      </c>
      <c r="E24" s="17">
        <v>0.2</v>
      </c>
      <c r="F24" s="17">
        <v>0.05</v>
      </c>
      <c r="G24" s="17">
        <v>0</v>
      </c>
      <c r="H24" s="18">
        <v>1</v>
      </c>
      <c r="I24" s="18">
        <v>2000</v>
      </c>
      <c r="J24" s="22" cm="1">
        <f t="array" ref="J24">BinaryTree_call("a",D24,E24,F24,G24,H24,I24,N)</f>
        <v>1422.8800693016503</v>
      </c>
      <c r="K24" s="22" cm="1">
        <f t="array" ref="K24">BinaryTree_call("e",D24,E24,F24,G24,H24,I24,N)</f>
        <v>1422.8800693016503</v>
      </c>
      <c r="L24" s="4" t="str">
        <f t="shared" si="0"/>
        <v>No</v>
      </c>
      <c r="M24" s="23" cm="1">
        <f t="array" ref="M24">BinaryTree_put("a",D24,E24,F24,G24,H24,I24,N)</f>
        <v>0.3534354146207811</v>
      </c>
      <c r="N24" s="24" cm="1">
        <f t="array" ref="N24">BinaryTree_put("e",D24,E24,F24,G24,H24,I24,N)</f>
        <v>0.33891830306990572</v>
      </c>
      <c r="O24" s="4" t="str">
        <f t="shared" si="1"/>
        <v>Yes</v>
      </c>
    </row>
    <row r="25" spans="3:15">
      <c r="C25">
        <v>22</v>
      </c>
      <c r="D25" s="18">
        <v>3325</v>
      </c>
      <c r="E25" s="17">
        <v>0.2</v>
      </c>
      <c r="F25" s="17">
        <v>0.05</v>
      </c>
      <c r="G25" s="17">
        <v>0</v>
      </c>
      <c r="H25" s="18">
        <v>1</v>
      </c>
      <c r="I25" s="18">
        <v>2500</v>
      </c>
      <c r="J25" s="22" cm="1">
        <f t="array" ref="J25">BinaryTree_call("a",D25,E25,F25,G25,H25,I25,N)</f>
        <v>957.45172050585313</v>
      </c>
      <c r="K25" s="22" cm="1">
        <f t="array" ref="K25">BinaryTree_call("e",D25,E25,F25,G25,H25,I25,N)</f>
        <v>957.45172050585313</v>
      </c>
      <c r="L25" s="4" t="str">
        <f t="shared" si="0"/>
        <v>No</v>
      </c>
      <c r="M25" s="23" cm="1">
        <f t="array" ref="M25">BinaryTree_put("a",D25,E25,F25,G25,H25,I25,N)</f>
        <v>11.048568501092131</v>
      </c>
      <c r="N25" s="24" cm="1">
        <f t="array" ref="N25">BinaryTree_put("e",D25,E25,F25,G25,H25,I25,N)</f>
        <v>10.525281757629864</v>
      </c>
      <c r="O25" s="4" t="str">
        <f t="shared" si="1"/>
        <v>Yes</v>
      </c>
    </row>
    <row r="26" spans="3:15">
      <c r="C26">
        <v>23</v>
      </c>
      <c r="D26" s="18">
        <v>3325</v>
      </c>
      <c r="E26" s="17">
        <v>0.2</v>
      </c>
      <c r="F26" s="17">
        <v>0.05</v>
      </c>
      <c r="G26" s="17">
        <v>0</v>
      </c>
      <c r="H26" s="18">
        <v>1</v>
      </c>
      <c r="I26" s="18">
        <v>3325</v>
      </c>
      <c r="J26" s="22" cm="1">
        <f t="array" ref="J26">BinaryTree_call("a",D26,E26,F26,G26,H26,I26,N)</f>
        <v>346.15549372936044</v>
      </c>
      <c r="K26" s="22" cm="1">
        <f t="array" ref="K26">BinaryTree_call("e",D26,E26,F26,G26,H26,I26,N)</f>
        <v>346.15549372936044</v>
      </c>
      <c r="L26" s="4" t="str">
        <f t="shared" si="0"/>
        <v>No</v>
      </c>
      <c r="M26" s="23" cm="1">
        <f t="array" ref="M26">BinaryTree_put("a",D26,E26,F26,G26,H26,I26,N)</f>
        <v>201.951455525353</v>
      </c>
      <c r="N26" s="24" cm="1">
        <f t="array" ref="N26">BinaryTree_put("e",D26,E26,F26,G26,H26,I26,N)</f>
        <v>183.99333019422716</v>
      </c>
      <c r="O26" s="4" t="str">
        <f t="shared" si="1"/>
        <v>Yes</v>
      </c>
    </row>
    <row r="27" spans="3:15">
      <c r="C27">
        <v>24</v>
      </c>
      <c r="D27" s="18">
        <v>3325</v>
      </c>
      <c r="E27" s="17">
        <v>0.2</v>
      </c>
      <c r="F27" s="17">
        <v>0.05</v>
      </c>
      <c r="G27" s="17">
        <v>0</v>
      </c>
      <c r="H27" s="18">
        <v>1</v>
      </c>
      <c r="I27" s="18">
        <v>4000</v>
      </c>
      <c r="J27" s="22" cm="1">
        <f t="array" ref="J27">BinaryTree_call("a",D27,E27,F27,G27,H27,I27,N)</f>
        <v>105.89321344686641</v>
      </c>
      <c r="K27" s="22" cm="1">
        <f t="array" ref="K27">BinaryTree_call("e",D27,E27,F27,G27,H27,I27,N)</f>
        <v>105.89321344686641</v>
      </c>
      <c r="L27" s="4" t="str">
        <f t="shared" si="0"/>
        <v>No</v>
      </c>
      <c r="M27" s="23" cm="1">
        <f t="array" ref="M27">BinaryTree_put("a",D27,E27,F27,G27,H27,I27,N)</f>
        <v>678.84145849890081</v>
      </c>
      <c r="N27" s="24" cm="1">
        <f t="array" ref="N27">BinaryTree_put("e",D27,E27,F27,G27,H27,I27,N)</f>
        <v>585.81091144971583</v>
      </c>
      <c r="O27" s="4" t="str">
        <f t="shared" si="1"/>
        <v>Yes</v>
      </c>
    </row>
    <row r="28" spans="3:15">
      <c r="C28">
        <v>25</v>
      </c>
      <c r="D28" s="18">
        <v>3325</v>
      </c>
      <c r="E28" s="17">
        <v>0.2</v>
      </c>
      <c r="F28" s="17">
        <v>0.05</v>
      </c>
      <c r="G28" s="17">
        <v>0</v>
      </c>
      <c r="H28" s="18">
        <v>1</v>
      </c>
      <c r="I28" s="18">
        <v>5000</v>
      </c>
      <c r="J28" s="22" cm="1">
        <f t="array" ref="J28">BinaryTree_call("a",D28,E28,F28,G28,H28,I28,N)</f>
        <v>11.09438748403111</v>
      </c>
      <c r="K28" s="22" cm="1">
        <f t="array" ref="K28">BinaryTree_call("e",D28,E28,F28,G28,H28,I28,N)</f>
        <v>11.09438748403111</v>
      </c>
      <c r="L28" s="4" t="str">
        <f t="shared" si="0"/>
        <v>No</v>
      </c>
      <c r="M28" s="23" cm="1">
        <f t="array" ref="M28">BinaryTree_put("a",D28,E28,F28,G28,H28,I28,N)</f>
        <v>1675</v>
      </c>
      <c r="N28" s="24" cm="1">
        <f t="array" ref="N28">BinaryTree_put("e",D28,E28,F28,G28,H28,I28,N)</f>
        <v>1442.2415099875959</v>
      </c>
      <c r="O28" s="4" t="str">
        <f t="shared" si="1"/>
        <v>Yes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13</vt:i4>
      </vt:variant>
    </vt:vector>
  </HeadingPairs>
  <TitlesOfParts>
    <vt:vector size="16" baseType="lpstr">
      <vt:lpstr>BS公式</vt:lpstr>
      <vt:lpstr>(欧美式)期权二叉树定价</vt:lpstr>
      <vt:lpstr>Sheet1</vt:lpstr>
      <vt:lpstr>bs_q</vt:lpstr>
      <vt:lpstr>bs_rf</vt:lpstr>
      <vt:lpstr>bs_s</vt:lpstr>
      <vt:lpstr>bs_sigma</vt:lpstr>
      <vt:lpstr>bs_T</vt:lpstr>
      <vt:lpstr>bs_X</vt:lpstr>
      <vt:lpstr>N</vt:lpstr>
      <vt:lpstr>q</vt:lpstr>
      <vt:lpstr>rf</vt:lpstr>
      <vt:lpstr>S0</vt:lpstr>
      <vt:lpstr>Sigma</vt:lpstr>
      <vt:lpstr>T</vt:lpstr>
      <vt:lpstr>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jjj</dc:creator>
  <cp:lastModifiedBy>王润东的xps15</cp:lastModifiedBy>
  <dcterms:created xsi:type="dcterms:W3CDTF">2014-11-01T13:58:10Z</dcterms:created>
  <dcterms:modified xsi:type="dcterms:W3CDTF">2021-12-04T16:15:05Z</dcterms:modified>
</cp:coreProperties>
</file>