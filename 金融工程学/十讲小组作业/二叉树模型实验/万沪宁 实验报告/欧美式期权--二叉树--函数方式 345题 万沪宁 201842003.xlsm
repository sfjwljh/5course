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万沪宁\Desktop\二叉树模型实验\"/>
    </mc:Choice>
  </mc:AlternateContent>
  <xr:revisionPtr revIDLastSave="0" documentId="13_ncr:1_{D62B72F3-9CFC-4574-845B-27DBB7E9ED3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S公式" sheetId="1" r:id="rId1"/>
    <sheet name="(欧美式)期权二叉树定价" sheetId="2" r:id="rId2"/>
    <sheet name="第三题实验表格" sheetId="7" r:id="rId3"/>
    <sheet name="第四题实验表格" sheetId="5" r:id="rId4"/>
    <sheet name="第五题实验表格" sheetId="6" r:id="rId5"/>
  </sheets>
  <functionGroups builtInGroupCount="19"/>
  <definedNames>
    <definedName name="bs_q">BS公式!$B$6</definedName>
    <definedName name="bs_rf">BS公式!$B$5</definedName>
    <definedName name="bs_s">BS公式!$B$3</definedName>
    <definedName name="bs_sigma">BS公式!$B$4</definedName>
    <definedName name="bs_T">BS公式!$B$7</definedName>
    <definedName name="bs_X">BS公式!$B$8</definedName>
    <definedName name="N">'(欧美式)期权二叉树定价'!$B$9</definedName>
    <definedName name="q">'(欧美式)期权二叉树定价'!$B$6</definedName>
    <definedName name="rf">'(欧美式)期权二叉树定价'!$B$5</definedName>
    <definedName name="S0">'(欧美式)期权二叉树定价'!$B$3</definedName>
    <definedName name="Sigma">'(欧美式)期权二叉树定价'!$B$4</definedName>
    <definedName name="T">'(欧美式)期权二叉树定价'!$B$7</definedName>
    <definedName name="X">'(欧美式)期权二叉树定价'!$B$8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5" i="6" l="1"/>
  <c r="P36" i="6"/>
  <c r="P37" i="6"/>
  <c r="P38" i="6"/>
  <c r="P39" i="6"/>
  <c r="O55" i="6"/>
  <c r="O56" i="6"/>
  <c r="O57" i="6"/>
  <c r="O58" i="6"/>
  <c r="N55" i="6"/>
  <c r="N56" i="6"/>
  <c r="N57" i="6"/>
  <c r="N58" i="6"/>
  <c r="O54" i="6"/>
  <c r="N54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" i="6"/>
  <c r="K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" i="6"/>
  <c r="J3" i="6"/>
  <c r="K35" i="6"/>
  <c r="K36" i="6"/>
  <c r="K37" i="6"/>
  <c r="K38" i="6"/>
  <c r="K39" i="6"/>
  <c r="K54" i="6"/>
  <c r="J55" i="6"/>
  <c r="J56" i="6"/>
  <c r="J57" i="6"/>
  <c r="J58" i="6"/>
  <c r="I55" i="6"/>
  <c r="I56" i="6"/>
  <c r="I57" i="6"/>
  <c r="I58" i="6"/>
  <c r="I54" i="6"/>
  <c r="J54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M55" i="6"/>
  <c r="M56" i="6"/>
  <c r="M57" i="6"/>
  <c r="M58" i="6"/>
  <c r="M54" i="6"/>
  <c r="M34" i="6"/>
  <c r="G35" i="6"/>
  <c r="G37" i="6"/>
  <c r="G39" i="6"/>
  <c r="G36" i="6"/>
  <c r="G38" i="6"/>
  <c r="H55" i="6"/>
  <c r="H56" i="6"/>
  <c r="H57" i="6"/>
  <c r="H58" i="6"/>
  <c r="H54" i="6"/>
  <c r="H3" i="6"/>
  <c r="L33" i="6"/>
  <c r="H32" i="6"/>
  <c r="L29" i="6"/>
  <c r="H28" i="6"/>
  <c r="L25" i="6"/>
  <c r="H24" i="6"/>
  <c r="L21" i="6"/>
  <c r="H20" i="6"/>
  <c r="L17" i="6"/>
  <c r="H16" i="6"/>
  <c r="L13" i="6"/>
  <c r="H12" i="6"/>
  <c r="L9" i="6"/>
  <c r="H8" i="6"/>
  <c r="L5" i="6"/>
  <c r="H4" i="6"/>
  <c r="L26" i="6"/>
  <c r="H21" i="6"/>
  <c r="H17" i="6"/>
  <c r="H13" i="6"/>
  <c r="H9" i="6"/>
  <c r="G29" i="6"/>
  <c r="M19" i="6"/>
  <c r="G9" i="6"/>
  <c r="G32" i="6"/>
  <c r="M30" i="6"/>
  <c r="G28" i="6"/>
  <c r="M26" i="6"/>
  <c r="G24" i="6"/>
  <c r="M22" i="6"/>
  <c r="G20" i="6"/>
  <c r="M18" i="6"/>
  <c r="G16" i="6"/>
  <c r="M14" i="6"/>
  <c r="G12" i="6"/>
  <c r="M10" i="6"/>
  <c r="G8" i="6"/>
  <c r="M6" i="6"/>
  <c r="G4" i="6"/>
  <c r="H33" i="6"/>
  <c r="L30" i="6"/>
  <c r="H29" i="6"/>
  <c r="H25" i="6"/>
  <c r="L22" i="6"/>
  <c r="L18" i="6"/>
  <c r="L14" i="6"/>
  <c r="L10" i="6"/>
  <c r="L6" i="6"/>
  <c r="M31" i="6"/>
  <c r="G25" i="6"/>
  <c r="G21" i="6"/>
  <c r="M3" i="6"/>
  <c r="L34" i="6"/>
  <c r="M15" i="6"/>
  <c r="H34" i="6"/>
  <c r="L31" i="6"/>
  <c r="H30" i="6"/>
  <c r="L27" i="6"/>
  <c r="H26" i="6"/>
  <c r="L23" i="6"/>
  <c r="H22" i="6"/>
  <c r="L19" i="6"/>
  <c r="H18" i="6"/>
  <c r="L15" i="6"/>
  <c r="H14" i="6"/>
  <c r="L11" i="6"/>
  <c r="H10" i="6"/>
  <c r="L7" i="6"/>
  <c r="H6" i="6"/>
  <c r="L3" i="6"/>
  <c r="G23" i="6"/>
  <c r="G15" i="6"/>
  <c r="M9" i="6"/>
  <c r="H5" i="6"/>
  <c r="M27" i="6"/>
  <c r="G17" i="6"/>
  <c r="M7" i="6"/>
  <c r="G34" i="6"/>
  <c r="M32" i="6"/>
  <c r="G30" i="6"/>
  <c r="M28" i="6"/>
  <c r="G26" i="6"/>
  <c r="M24" i="6"/>
  <c r="G22" i="6"/>
  <c r="M20" i="6"/>
  <c r="G18" i="6"/>
  <c r="M16" i="6"/>
  <c r="G14" i="6"/>
  <c r="M12" i="6"/>
  <c r="G10" i="6"/>
  <c r="M8" i="6"/>
  <c r="G6" i="6"/>
  <c r="M4" i="6"/>
  <c r="G31" i="6"/>
  <c r="G19" i="6"/>
  <c r="M13" i="6"/>
  <c r="G11" i="6"/>
  <c r="M5" i="6"/>
  <c r="G3" i="6"/>
  <c r="M23" i="6"/>
  <c r="M11" i="6"/>
  <c r="G5" i="6"/>
  <c r="L32" i="6"/>
  <c r="H31" i="6"/>
  <c r="L28" i="6"/>
  <c r="H27" i="6"/>
  <c r="L24" i="6"/>
  <c r="H23" i="6"/>
  <c r="L20" i="6"/>
  <c r="H19" i="6"/>
  <c r="L16" i="6"/>
  <c r="H15" i="6"/>
  <c r="L12" i="6"/>
  <c r="H11" i="6"/>
  <c r="L8" i="6"/>
  <c r="H7" i="6"/>
  <c r="L4" i="6"/>
  <c r="M29" i="6"/>
  <c r="G27" i="6"/>
  <c r="M25" i="6"/>
  <c r="M21" i="6"/>
  <c r="M17" i="6"/>
  <c r="G7" i="6"/>
  <c r="G33" i="6"/>
  <c r="G13" i="6"/>
  <c r="M33" i="6"/>
  <c r="K7" i="5"/>
  <c r="K15" i="5"/>
  <c r="K23" i="5"/>
  <c r="K31" i="5"/>
  <c r="K9" i="5"/>
  <c r="K17" i="5"/>
  <c r="K33" i="5"/>
  <c r="K18" i="5"/>
  <c r="K26" i="5"/>
  <c r="K29" i="5"/>
  <c r="K14" i="5"/>
  <c r="K30" i="5"/>
  <c r="K8" i="5"/>
  <c r="K16" i="5"/>
  <c r="K24" i="5"/>
  <c r="K32" i="5"/>
  <c r="K25" i="5"/>
  <c r="K10" i="5"/>
  <c r="K34" i="5"/>
  <c r="K6" i="5"/>
  <c r="K11" i="5"/>
  <c r="K19" i="5"/>
  <c r="K27" i="5"/>
  <c r="K4" i="5"/>
  <c r="K12" i="5"/>
  <c r="K20" i="5"/>
  <c r="K28" i="5"/>
  <c r="K5" i="5"/>
  <c r="K13" i="5"/>
  <c r="K21" i="5"/>
  <c r="K22" i="5"/>
  <c r="K3" i="5"/>
  <c r="H3" i="5"/>
  <c r="J4" i="5"/>
  <c r="J12" i="5"/>
  <c r="J20" i="5"/>
  <c r="J28" i="5"/>
  <c r="J21" i="5"/>
  <c r="J24" i="5"/>
  <c r="J17" i="5"/>
  <c r="J18" i="5"/>
  <c r="J27" i="5"/>
  <c r="J5" i="5"/>
  <c r="J13" i="5"/>
  <c r="J29" i="5"/>
  <c r="J32" i="5"/>
  <c r="J10" i="5"/>
  <c r="J19" i="5"/>
  <c r="J6" i="5"/>
  <c r="J14" i="5"/>
  <c r="J22" i="5"/>
  <c r="J30" i="5"/>
  <c r="J33" i="5"/>
  <c r="J11" i="5"/>
  <c r="J7" i="5"/>
  <c r="J15" i="5"/>
  <c r="J23" i="5"/>
  <c r="J31" i="5"/>
  <c r="J8" i="5"/>
  <c r="J16" i="5"/>
  <c r="J25" i="5"/>
  <c r="J26" i="5"/>
  <c r="J9" i="5"/>
  <c r="J34" i="5"/>
  <c r="J3" i="5"/>
  <c r="G3" i="5"/>
  <c r="H22" i="5"/>
  <c r="H5" i="5"/>
  <c r="H13" i="5"/>
  <c r="H21" i="5"/>
  <c r="H29" i="5"/>
  <c r="H31" i="5"/>
  <c r="H24" i="5"/>
  <c r="H33" i="5"/>
  <c r="H4" i="5"/>
  <c r="H6" i="5"/>
  <c r="H14" i="5"/>
  <c r="H30" i="5"/>
  <c r="H7" i="5"/>
  <c r="H15" i="5"/>
  <c r="H23" i="5"/>
  <c r="H8" i="5"/>
  <c r="H16" i="5"/>
  <c r="H32" i="5"/>
  <c r="H19" i="5"/>
  <c r="H12" i="5"/>
  <c r="H9" i="5"/>
  <c r="H17" i="5"/>
  <c r="H25" i="5"/>
  <c r="H11" i="5"/>
  <c r="H20" i="5"/>
  <c r="H10" i="5"/>
  <c r="H18" i="5"/>
  <c r="H26" i="5"/>
  <c r="H34" i="5"/>
  <c r="H27" i="5"/>
  <c r="H28" i="5"/>
  <c r="G4" i="5"/>
  <c r="G12" i="5"/>
  <c r="G20" i="5"/>
  <c r="G28" i="5"/>
  <c r="G14" i="5"/>
  <c r="G16" i="5"/>
  <c r="G10" i="5"/>
  <c r="G27" i="5"/>
  <c r="G5" i="5"/>
  <c r="G13" i="5"/>
  <c r="G21" i="5"/>
  <c r="G29" i="5"/>
  <c r="G22" i="5"/>
  <c r="G24" i="5"/>
  <c r="G17" i="5"/>
  <c r="G11" i="5"/>
  <c r="G6" i="5"/>
  <c r="G30" i="5"/>
  <c r="G33" i="5"/>
  <c r="G19" i="5"/>
  <c r="G7" i="5"/>
  <c r="G15" i="5"/>
  <c r="G23" i="5"/>
  <c r="G31" i="5"/>
  <c r="G32" i="5"/>
  <c r="G25" i="5"/>
  <c r="G34" i="5"/>
  <c r="G8" i="5"/>
  <c r="G9" i="5"/>
  <c r="G26" i="5"/>
  <c r="G18" i="5"/>
  <c r="G4" i="7"/>
  <c r="G5" i="7"/>
  <c r="G7" i="7"/>
  <c r="G15" i="7"/>
  <c r="G23" i="7"/>
  <c r="G8" i="7"/>
  <c r="G16" i="7"/>
  <c r="G24" i="7"/>
  <c r="G26" i="7"/>
  <c r="G11" i="7"/>
  <c r="G27" i="7"/>
  <c r="G20" i="7"/>
  <c r="G13" i="7"/>
  <c r="G6" i="7"/>
  <c r="G22" i="7"/>
  <c r="G9" i="7"/>
  <c r="G17" i="7"/>
  <c r="G25" i="7"/>
  <c r="G2" i="7"/>
  <c r="G10" i="7"/>
  <c r="G18" i="7"/>
  <c r="G3" i="7"/>
  <c r="G19" i="7"/>
  <c r="G12" i="7"/>
  <c r="G28" i="7"/>
  <c r="G21" i="7"/>
  <c r="G14" i="7"/>
  <c r="F3" i="7"/>
  <c r="F11" i="7"/>
  <c r="F19" i="7"/>
  <c r="F27" i="7"/>
  <c r="F10" i="7"/>
  <c r="F4" i="7"/>
  <c r="F12" i="7"/>
  <c r="F20" i="7"/>
  <c r="F28" i="7"/>
  <c r="F17" i="7"/>
  <c r="F5" i="7"/>
  <c r="F13" i="7"/>
  <c r="F21" i="7"/>
  <c r="F15" i="7"/>
  <c r="F26" i="7"/>
  <c r="F6" i="7"/>
  <c r="F14" i="7"/>
  <c r="F22" i="7"/>
  <c r="F23" i="7"/>
  <c r="F18" i="7"/>
  <c r="F7" i="7"/>
  <c r="F8" i="7"/>
  <c r="F16" i="7"/>
  <c r="F24" i="7"/>
  <c r="F9" i="7"/>
  <c r="F25" i="7"/>
  <c r="F2" i="7"/>
  <c r="C2" i="7"/>
  <c r="C10" i="7"/>
  <c r="C18" i="7"/>
  <c r="C26" i="7"/>
  <c r="C11" i="7"/>
  <c r="C19" i="7"/>
  <c r="C27" i="7"/>
  <c r="C28" i="7"/>
  <c r="C15" i="7"/>
  <c r="C24" i="7"/>
  <c r="C3" i="7"/>
  <c r="C4" i="7"/>
  <c r="C12" i="7"/>
  <c r="C20" i="7"/>
  <c r="C14" i="7"/>
  <c r="C8" i="7"/>
  <c r="C17" i="7"/>
  <c r="C5" i="7"/>
  <c r="C13" i="7"/>
  <c r="C21" i="7"/>
  <c r="C22" i="7"/>
  <c r="C16" i="7"/>
  <c r="C25" i="7"/>
  <c r="C6" i="7"/>
  <c r="C23" i="7"/>
  <c r="C9" i="7"/>
  <c r="C7" i="7"/>
  <c r="B11" i="1"/>
  <c r="B2" i="7"/>
  <c r="B4" i="7"/>
  <c r="B12" i="7"/>
  <c r="B20" i="7"/>
  <c r="B28" i="7"/>
  <c r="B14" i="7"/>
  <c r="B7" i="7"/>
  <c r="B23" i="7"/>
  <c r="B10" i="7"/>
  <c r="B3" i="7"/>
  <c r="B5" i="7"/>
  <c r="B13" i="7"/>
  <c r="B21" i="7"/>
  <c r="B22" i="7"/>
  <c r="B15" i="7"/>
  <c r="B25" i="7"/>
  <c r="B26" i="7"/>
  <c r="B19" i="7"/>
  <c r="B6" i="7"/>
  <c r="B27" i="7"/>
  <c r="B8" i="7"/>
  <c r="B16" i="7"/>
  <c r="B24" i="7"/>
  <c r="B9" i="7"/>
  <c r="B17" i="7"/>
  <c r="B18" i="7"/>
  <c r="B11" i="7"/>
  <c r="B11" i="2"/>
  <c r="P34" i="6" l="1"/>
  <c r="K7" i="6"/>
  <c r="K11" i="6"/>
  <c r="K15" i="6"/>
  <c r="K19" i="6"/>
  <c r="K23" i="6"/>
  <c r="K27" i="6"/>
  <c r="K31" i="6"/>
  <c r="K5" i="6"/>
  <c r="K6" i="6"/>
  <c r="K10" i="6"/>
  <c r="K14" i="6"/>
  <c r="K18" i="6"/>
  <c r="K22" i="6"/>
  <c r="K26" i="6"/>
  <c r="K30" i="6"/>
  <c r="K34" i="6"/>
  <c r="K25" i="6"/>
  <c r="K29" i="6"/>
  <c r="K33" i="6"/>
  <c r="K9" i="6"/>
  <c r="K13" i="6"/>
  <c r="K17" i="6"/>
  <c r="K21" i="6"/>
  <c r="K4" i="6"/>
  <c r="K8" i="6"/>
  <c r="K12" i="6"/>
  <c r="K16" i="6"/>
  <c r="K20" i="6"/>
  <c r="K24" i="6"/>
  <c r="K28" i="6"/>
  <c r="K32" i="6"/>
  <c r="L22" i="5"/>
  <c r="L21" i="5"/>
  <c r="L13" i="5"/>
  <c r="L5" i="5"/>
  <c r="L28" i="5"/>
  <c r="L20" i="5"/>
  <c r="L12" i="5"/>
  <c r="L4" i="5"/>
  <c r="L27" i="5"/>
  <c r="L19" i="5"/>
  <c r="L11" i="5"/>
  <c r="L6" i="5"/>
  <c r="L34" i="5"/>
  <c r="L10" i="5"/>
  <c r="L25" i="5"/>
  <c r="L32" i="5"/>
  <c r="L24" i="5"/>
  <c r="L16" i="5"/>
  <c r="L8" i="5"/>
  <c r="L30" i="5"/>
  <c r="L14" i="5"/>
  <c r="L29" i="5"/>
  <c r="L26" i="5"/>
  <c r="L18" i="5"/>
  <c r="L33" i="5"/>
  <c r="L17" i="5"/>
  <c r="L9" i="5"/>
  <c r="L31" i="5"/>
  <c r="L23" i="5"/>
  <c r="L15" i="5"/>
  <c r="L7" i="5"/>
  <c r="L3" i="5"/>
  <c r="I3" i="5"/>
  <c r="I28" i="5"/>
  <c r="I27" i="5"/>
  <c r="I34" i="5"/>
  <c r="I26" i="5"/>
  <c r="I18" i="5"/>
  <c r="I10" i="5"/>
  <c r="I20" i="5"/>
  <c r="I11" i="5"/>
  <c r="I25" i="5"/>
  <c r="I17" i="5"/>
  <c r="I9" i="5"/>
  <c r="I12" i="5"/>
  <c r="I19" i="5"/>
  <c r="I32" i="5"/>
  <c r="I16" i="5"/>
  <c r="I8" i="5"/>
  <c r="I23" i="5"/>
  <c r="I15" i="5"/>
  <c r="I7" i="5"/>
  <c r="I30" i="5"/>
  <c r="I22" i="5"/>
  <c r="I14" i="5"/>
  <c r="I6" i="5"/>
  <c r="I4" i="5"/>
  <c r="I33" i="5"/>
  <c r="I24" i="5"/>
  <c r="I31" i="5"/>
  <c r="I29" i="5"/>
  <c r="I21" i="5"/>
  <c r="I13" i="5"/>
  <c r="I5" i="5"/>
  <c r="B7" i="2"/>
  <c r="B10" i="1"/>
  <c r="B12" i="2"/>
  <c r="B14" i="2"/>
  <c r="B15" i="2"/>
</calcChain>
</file>

<file path=xl/sharedStrings.xml><?xml version="1.0" encoding="utf-8"?>
<sst xmlns="http://schemas.openxmlformats.org/spreadsheetml/2006/main" count="113" uniqueCount="58">
  <si>
    <t>Function BS_put(S, sigma, rf, q, T, X)</t>
  </si>
  <si>
    <t>资产价格(S)</t>
  </si>
  <si>
    <t>资产波动率(sigma)</t>
  </si>
  <si>
    <t>无风险利率(rf)</t>
  </si>
  <si>
    <t>红利率(q)</t>
  </si>
  <si>
    <t>到期期限(T)</t>
  </si>
  <si>
    <t>执行价格(X)</t>
  </si>
  <si>
    <t>资产价格(S0)</t>
    <phoneticPr fontId="1" type="noConversion"/>
  </si>
  <si>
    <t>期数(N)</t>
    <phoneticPr fontId="1" type="noConversion"/>
  </si>
  <si>
    <t>无风险利率(r)</t>
    <phoneticPr fontId="1" type="noConversion"/>
  </si>
  <si>
    <t>到期期限(maturity)</t>
    <phoneticPr fontId="1" type="noConversion"/>
  </si>
  <si>
    <t>执行价格(x)</t>
    <phoneticPr fontId="1" type="noConversion"/>
  </si>
  <si>
    <t>Function BinaryTree_call(AmeEurFlag As String, S0, sigma, r, q, maturity, x, N)</t>
    <phoneticPr fontId="1" type="noConversion"/>
  </si>
  <si>
    <t>Function BinaryTree_put(AmeEurFlag As String, S0, sigma, r, q, maturity, x, N)</t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</si>
  <si>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</si>
  <si>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</si>
  <si>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</si>
  <si>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</si>
  <si>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</si>
  <si>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</si>
  <si>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t>股票初始价格</t>
    <phoneticPr fontId="1" type="noConversion"/>
  </si>
  <si>
    <t>执行价格</t>
    <phoneticPr fontId="1" type="noConversion"/>
  </si>
  <si>
    <t>S0</t>
    <phoneticPr fontId="1" type="noConversion"/>
  </si>
  <si>
    <t>X</t>
    <phoneticPr fontId="1" type="noConversion"/>
  </si>
  <si>
    <t>Rf</t>
    <phoneticPr fontId="1" type="noConversion"/>
  </si>
  <si>
    <t>无风险利率</t>
    <phoneticPr fontId="1" type="noConversion"/>
  </si>
  <si>
    <t>波动率</t>
    <phoneticPr fontId="1" type="noConversion"/>
  </si>
  <si>
    <t>σ</t>
    <phoneticPr fontId="1" type="noConversion"/>
  </si>
  <si>
    <t>到期期限</t>
    <phoneticPr fontId="1" type="noConversion"/>
  </si>
  <si>
    <t>T（单位：年）</t>
    <phoneticPr fontId="1" type="noConversion"/>
  </si>
  <si>
    <t>N</t>
    <phoneticPr fontId="1" type="noConversion"/>
  </si>
  <si>
    <t>二叉树期数</t>
    <phoneticPr fontId="1" type="noConversion"/>
  </si>
  <si>
    <t>欧式看涨期权</t>
    <phoneticPr fontId="1" type="noConversion"/>
  </si>
  <si>
    <t>Call_eur</t>
    <phoneticPr fontId="1" type="noConversion"/>
  </si>
  <si>
    <t>美式看涨期权</t>
    <phoneticPr fontId="1" type="noConversion"/>
  </si>
  <si>
    <t>Call_us</t>
    <phoneticPr fontId="1" type="noConversion"/>
  </si>
  <si>
    <t>看涨期权是否提前行权</t>
    <phoneticPr fontId="1" type="noConversion"/>
  </si>
  <si>
    <t>Yes/No</t>
    <phoneticPr fontId="1" type="noConversion"/>
  </si>
  <si>
    <t>看跌期权是否提前行权</t>
    <phoneticPr fontId="1" type="noConversion"/>
  </si>
  <si>
    <t>美式看跌期权</t>
    <phoneticPr fontId="1" type="noConversion"/>
  </si>
  <si>
    <t>欧式看跌期权</t>
    <phoneticPr fontId="1" type="noConversion"/>
  </si>
  <si>
    <t>Put_eur</t>
    <phoneticPr fontId="1" type="noConversion"/>
  </si>
  <si>
    <t>Put_us</t>
    <phoneticPr fontId="1" type="noConversion"/>
  </si>
  <si>
    <t>红利率</t>
    <phoneticPr fontId="1" type="noConversion"/>
  </si>
  <si>
    <t>q</t>
    <phoneticPr fontId="1" type="noConversion"/>
  </si>
  <si>
    <t>看涨期权是否满足上下限关系</t>
    <phoneticPr fontId="1" type="noConversion"/>
  </si>
  <si>
    <t>上限</t>
    <phoneticPr fontId="1" type="noConversion"/>
  </si>
  <si>
    <t>下限</t>
    <phoneticPr fontId="1" type="noConversion"/>
  </si>
  <si>
    <t>upper bound</t>
    <phoneticPr fontId="1" type="noConversion"/>
  </si>
  <si>
    <t>lower bound</t>
    <phoneticPr fontId="1" type="noConversion"/>
  </si>
  <si>
    <t>看跌期权是否满足上下限关系</t>
    <phoneticPr fontId="1" type="noConversion"/>
  </si>
  <si>
    <t>期权下限</t>
    <phoneticPr fontId="1" type="noConversion"/>
  </si>
  <si>
    <t>期权上限</t>
    <phoneticPr fontId="1" type="noConversion"/>
  </si>
  <si>
    <t>欧式看涨期权价格</t>
    <phoneticPr fontId="1" type="noConversion"/>
  </si>
  <si>
    <t>欧式看跌期权价格</t>
    <phoneticPr fontId="1" type="noConversion"/>
  </si>
  <si>
    <t>BS公式看涨期权理论价值</t>
    <phoneticPr fontId="1" type="noConversion"/>
  </si>
  <si>
    <t>Function BS_call(S, sigma, rf, q, T, X)</t>
    <phoneticPr fontId="1" type="noConversion"/>
  </si>
  <si>
    <t>BS公式看跌期权理论价值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</si>
</sst>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Geneva"/>
      <family val="2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59999389629810485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23">
    <xf numFmtId="0" fontId="0" fillId="0" borderId="0" xfId="0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7" borderId="0" xfId="0" applyNumberFormat="1" applyFill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_Sheet1" xfId="1" xr:uid="{00000000-0005-0000-0000-000000000000}"/>
    <cellStyle name="常规" xfId="0" builtinId="0"/>
  </cellStyles>
  <dxfs count="3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0" i="0" baseline="0">
                <a:effectLst/>
              </a:rPr>
              <a:t>二叉树计算期权价值与</a:t>
            </a:r>
            <a:r>
              <a:rPr lang="en-US" altLang="zh-CN" sz="1800" b="0" i="0" baseline="0">
                <a:effectLst/>
              </a:rPr>
              <a:t>BS</a:t>
            </a:r>
            <a:r>
              <a:rPr lang="zh-CN" altLang="zh-CN" sz="1800" b="0" i="0" baseline="0">
                <a:effectLst/>
              </a:rPr>
              <a:t>公式理论值之间差异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第三题实验表格!$B$1</c:f>
              <c:strCache>
                <c:ptCount val="1"/>
                <c:pt idx="0">
                  <c:v>欧式看涨期权价格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第三题实验表格!$A$2:$A$28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第三题实验表格!$B$2:$B$28</c:f>
              <c:numCache>
                <c:formatCode>General</c:formatCode>
                <c:ptCount val="27"/>
                <c:pt idx="0">
                  <c:v>11.823773536599544</c:v>
                </c:pt>
                <c:pt idx="1">
                  <c:v>11.482171632854145</c:v>
                </c:pt>
                <c:pt idx="2">
                  <c:v>11.853061279330634</c:v>
                </c:pt>
                <c:pt idx="3">
                  <c:v>11.22871291903594</c:v>
                </c:pt>
                <c:pt idx="4">
                  <c:v>11.786172619643324</c:v>
                </c:pt>
                <c:pt idx="5">
                  <c:v>11.118536503003062</c:v>
                </c:pt>
                <c:pt idx="6">
                  <c:v>11.720810882004184</c:v>
                </c:pt>
                <c:pt idx="7">
                  <c:v>11.08359279761688</c:v>
                </c:pt>
                <c:pt idx="8">
                  <c:v>11.665094429234021</c:v>
                </c:pt>
                <c:pt idx="9">
                  <c:v>11.487991406342442</c:v>
                </c:pt>
                <c:pt idx="10">
                  <c:v>11.392086882959683</c:v>
                </c:pt>
                <c:pt idx="11">
                  <c:v>11.402631856424795</c:v>
                </c:pt>
                <c:pt idx="12">
                  <c:v>11.454912442566865</c:v>
                </c:pt>
                <c:pt idx="13">
                  <c:v>11.47631598011694</c:v>
                </c:pt>
                <c:pt idx="14">
                  <c:v>11.482836265820643</c:v>
                </c:pt>
                <c:pt idx="15">
                  <c:v>11.481652953220108</c:v>
                </c:pt>
                <c:pt idx="16">
                  <c:v>11.476327644654955</c:v>
                </c:pt>
                <c:pt idx="17">
                  <c:v>11.468755869895585</c:v>
                </c:pt>
                <c:pt idx="18">
                  <c:v>11.450671289112886</c:v>
                </c:pt>
                <c:pt idx="19">
                  <c:v>11.43162233787575</c:v>
                </c:pt>
                <c:pt idx="20">
                  <c:v>11.44959318152095</c:v>
                </c:pt>
                <c:pt idx="21">
                  <c:v>11.459988977423542</c:v>
                </c:pt>
                <c:pt idx="22">
                  <c:v>11.464398381958777</c:v>
                </c:pt>
                <c:pt idx="23">
                  <c:v>11.464974407248722</c:v>
                </c:pt>
                <c:pt idx="24">
                  <c:v>11.463048234500727</c:v>
                </c:pt>
                <c:pt idx="25">
                  <c:v>11.459471949143103</c:v>
                </c:pt>
                <c:pt idx="26">
                  <c:v>11.45480631929583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82-49A6-89C3-05F61A912C25}"/>
            </c:ext>
          </c:extLst>
        </c:ser>
        <c:ser>
          <c:idx val="1"/>
          <c:order val="1"/>
          <c:tx>
            <c:strRef>
              <c:f>第三题实验表格!$C$1</c:f>
              <c:strCache>
                <c:ptCount val="1"/>
                <c:pt idx="0">
                  <c:v>BS公式看涨期权理论价值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第三题实验表格!$A$2:$A$28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第三题实验表格!$C$2:$C$28</c:f>
              <c:numCache>
                <c:formatCode>General</c:formatCode>
                <c:ptCount val="27"/>
                <c:pt idx="0">
                  <c:v>11.455455871603185</c:v>
                </c:pt>
                <c:pt idx="1">
                  <c:v>11.455455871603185</c:v>
                </c:pt>
                <c:pt idx="2">
                  <c:v>11.455455871603185</c:v>
                </c:pt>
                <c:pt idx="3">
                  <c:v>11.455455871603185</c:v>
                </c:pt>
                <c:pt idx="4">
                  <c:v>11.455455871603185</c:v>
                </c:pt>
                <c:pt idx="5">
                  <c:v>11.455455871603185</c:v>
                </c:pt>
                <c:pt idx="6">
                  <c:v>11.455455871603185</c:v>
                </c:pt>
                <c:pt idx="7">
                  <c:v>11.455455871603185</c:v>
                </c:pt>
                <c:pt idx="8">
                  <c:v>11.455455871603185</c:v>
                </c:pt>
                <c:pt idx="9">
                  <c:v>11.455455871603185</c:v>
                </c:pt>
                <c:pt idx="10">
                  <c:v>11.455455871603185</c:v>
                </c:pt>
                <c:pt idx="11">
                  <c:v>11.455455871603185</c:v>
                </c:pt>
                <c:pt idx="12">
                  <c:v>11.455455871603185</c:v>
                </c:pt>
                <c:pt idx="13">
                  <c:v>11.455455871603185</c:v>
                </c:pt>
                <c:pt idx="14">
                  <c:v>11.455455871603185</c:v>
                </c:pt>
                <c:pt idx="15">
                  <c:v>11.455455871603185</c:v>
                </c:pt>
                <c:pt idx="16">
                  <c:v>11.455455871603185</c:v>
                </c:pt>
                <c:pt idx="17">
                  <c:v>11.455455871603185</c:v>
                </c:pt>
                <c:pt idx="18">
                  <c:v>11.455455871603185</c:v>
                </c:pt>
                <c:pt idx="19">
                  <c:v>11.455455871603185</c:v>
                </c:pt>
                <c:pt idx="20">
                  <c:v>11.455455871603185</c:v>
                </c:pt>
                <c:pt idx="21">
                  <c:v>11.455455871603185</c:v>
                </c:pt>
                <c:pt idx="22">
                  <c:v>11.455455871603185</c:v>
                </c:pt>
                <c:pt idx="23">
                  <c:v>11.455455871603185</c:v>
                </c:pt>
                <c:pt idx="24">
                  <c:v>11.455455871603185</c:v>
                </c:pt>
                <c:pt idx="25">
                  <c:v>11.455455871603185</c:v>
                </c:pt>
                <c:pt idx="26">
                  <c:v>11.455455871603185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82-49A6-89C3-05F61A912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107328"/>
        <c:axId val="614108640"/>
      </c:scatterChart>
      <c:valAx>
        <c:axId val="61410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二叉树期数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4108640"/>
        <c:crosses val="autoZero"/>
        <c:crossBetween val="midCat"/>
      </c:valAx>
      <c:valAx>
        <c:axId val="6141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看涨期权价格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410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0" i="0" baseline="0">
                <a:effectLst/>
              </a:rPr>
              <a:t>二叉树计算期权价值与</a:t>
            </a:r>
            <a:r>
              <a:rPr lang="en-US" altLang="zh-CN" sz="1800" b="0" i="0" baseline="0">
                <a:effectLst/>
              </a:rPr>
              <a:t>BS</a:t>
            </a:r>
            <a:r>
              <a:rPr lang="zh-CN" altLang="zh-CN" sz="1800" b="0" i="0" baseline="0">
                <a:effectLst/>
              </a:rPr>
              <a:t>公式理论值之间差异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第三题实验表格!$F$1</c:f>
              <c:strCache>
                <c:ptCount val="1"/>
                <c:pt idx="0">
                  <c:v>欧式看跌期权价格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第三题实验表格!$E$2:$E$28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第三题实验表格!$F$2:$F$28</c:f>
              <c:numCache>
                <c:formatCode>General</c:formatCode>
                <c:ptCount val="27"/>
                <c:pt idx="0">
                  <c:v>11.355889520555086</c:v>
                </c:pt>
                <c:pt idx="1">
                  <c:v>11.014287616809703</c:v>
                </c:pt>
                <c:pt idx="2">
                  <c:v>11.385177263286176</c:v>
                </c:pt>
                <c:pt idx="3">
                  <c:v>10.7608289029915</c:v>
                </c:pt>
                <c:pt idx="4">
                  <c:v>11.318288603598916</c:v>
                </c:pt>
                <c:pt idx="5">
                  <c:v>10.650652486958682</c:v>
                </c:pt>
                <c:pt idx="6">
                  <c:v>11.252926865959704</c:v>
                </c:pt>
                <c:pt idx="7">
                  <c:v>10.615708781572518</c:v>
                </c:pt>
                <c:pt idx="8">
                  <c:v>11.197210413189694</c:v>
                </c:pt>
                <c:pt idx="9">
                  <c:v>11.020107390298209</c:v>
                </c:pt>
                <c:pt idx="10">
                  <c:v>10.924202866915422</c:v>
                </c:pt>
                <c:pt idx="11">
                  <c:v>10.934747840379938</c:v>
                </c:pt>
                <c:pt idx="12">
                  <c:v>10.987028426522221</c:v>
                </c:pt>
                <c:pt idx="13">
                  <c:v>11.00843196407301</c:v>
                </c:pt>
                <c:pt idx="14">
                  <c:v>11.014952249776277</c:v>
                </c:pt>
                <c:pt idx="15">
                  <c:v>11.013768937175225</c:v>
                </c:pt>
                <c:pt idx="16">
                  <c:v>11.008443628610147</c:v>
                </c:pt>
                <c:pt idx="17">
                  <c:v>11.000871853850692</c:v>
                </c:pt>
                <c:pt idx="18">
                  <c:v>10.982787273067096</c:v>
                </c:pt>
                <c:pt idx="19">
                  <c:v>10.963738321832198</c:v>
                </c:pt>
                <c:pt idx="20">
                  <c:v>10.981709165477747</c:v>
                </c:pt>
                <c:pt idx="21">
                  <c:v>10.992104961377787</c:v>
                </c:pt>
                <c:pt idx="22">
                  <c:v>10.996514365916022</c:v>
                </c:pt>
                <c:pt idx="23">
                  <c:v>10.997090391206061</c:v>
                </c:pt>
                <c:pt idx="24">
                  <c:v>10.995164218455651</c:v>
                </c:pt>
                <c:pt idx="25">
                  <c:v>10.991587933099689</c:v>
                </c:pt>
                <c:pt idx="26">
                  <c:v>10.986922303254019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DA-4171-A8C6-E418A4304054}"/>
            </c:ext>
          </c:extLst>
        </c:ser>
        <c:ser>
          <c:idx val="1"/>
          <c:order val="1"/>
          <c:tx>
            <c:strRef>
              <c:f>第三题实验表格!$G$1</c:f>
              <c:strCache>
                <c:ptCount val="1"/>
                <c:pt idx="0">
                  <c:v>BS公式看跌期权理论价值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第三题实验表格!$E$2:$E$28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第三题实验表格!$G$2:$G$28</c:f>
              <c:numCache>
                <c:formatCode>General</c:formatCode>
                <c:ptCount val="27"/>
                <c:pt idx="0">
                  <c:v>10.987571855558734</c:v>
                </c:pt>
                <c:pt idx="1">
                  <c:v>10.987571855558734</c:v>
                </c:pt>
                <c:pt idx="2">
                  <c:v>10.987571855558734</c:v>
                </c:pt>
                <c:pt idx="3">
                  <c:v>10.987571855558734</c:v>
                </c:pt>
                <c:pt idx="4">
                  <c:v>10.987571855558734</c:v>
                </c:pt>
                <c:pt idx="5">
                  <c:v>10.987571855558734</c:v>
                </c:pt>
                <c:pt idx="6">
                  <c:v>10.987571855558734</c:v>
                </c:pt>
                <c:pt idx="7">
                  <c:v>10.987571855558734</c:v>
                </c:pt>
                <c:pt idx="8">
                  <c:v>10.987571855558734</c:v>
                </c:pt>
                <c:pt idx="9">
                  <c:v>10.987571855558734</c:v>
                </c:pt>
                <c:pt idx="10">
                  <c:v>10.987571855558734</c:v>
                </c:pt>
                <c:pt idx="11">
                  <c:v>10.987571855558734</c:v>
                </c:pt>
                <c:pt idx="12">
                  <c:v>10.987571855558734</c:v>
                </c:pt>
                <c:pt idx="13">
                  <c:v>10.987571855558734</c:v>
                </c:pt>
                <c:pt idx="14">
                  <c:v>10.987571855558734</c:v>
                </c:pt>
                <c:pt idx="15">
                  <c:v>10.987571855558734</c:v>
                </c:pt>
                <c:pt idx="16">
                  <c:v>10.987571855558734</c:v>
                </c:pt>
                <c:pt idx="17">
                  <c:v>10.987571855558734</c:v>
                </c:pt>
                <c:pt idx="18">
                  <c:v>10.987571855558734</c:v>
                </c:pt>
                <c:pt idx="19">
                  <c:v>10.987571855558734</c:v>
                </c:pt>
                <c:pt idx="20">
                  <c:v>10.987571855558734</c:v>
                </c:pt>
                <c:pt idx="21">
                  <c:v>10.987571855558734</c:v>
                </c:pt>
                <c:pt idx="22">
                  <c:v>10.987571855558734</c:v>
                </c:pt>
                <c:pt idx="23">
                  <c:v>10.987571855558734</c:v>
                </c:pt>
                <c:pt idx="24">
                  <c:v>10.987571855558734</c:v>
                </c:pt>
                <c:pt idx="25">
                  <c:v>10.987571855558734</c:v>
                </c:pt>
                <c:pt idx="26">
                  <c:v>10.987571855558734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DA-4171-A8C6-E418A430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622088"/>
        <c:axId val="785624384"/>
      </c:scatterChart>
      <c:valAx>
        <c:axId val="7856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二叉树期数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624384"/>
        <c:crosses val="autoZero"/>
        <c:crossBetween val="midCat"/>
      </c:valAx>
      <c:valAx>
        <c:axId val="7856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看跌期权价格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622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37</xdr:row>
      <xdr:rowOff>7620</xdr:rowOff>
    </xdr:from>
    <xdr:to>
      <xdr:col>6</xdr:col>
      <xdr:colOff>624840</xdr:colOff>
      <xdr:row>56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0CD9DB-3BA5-4F7A-9C1A-34202B05D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655320</xdr:colOff>
      <xdr:row>30</xdr:row>
      <xdr:rowOff>38100</xdr:rowOff>
    </xdr:from>
    <xdr:to>
      <xdr:col>11</xdr:col>
      <xdr:colOff>350520</xdr:colOff>
      <xdr:row>51</xdr:row>
      <xdr:rowOff>68580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9216EA6-0ED2-418E-8858-A2CD75AAA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D399D9-A574-4139-A9BF-5677762D6B1F}" name="表3" displayName="表3" ref="A1:C28" totalsRowShown="0" headerRowDxfId="5" dataDxfId="6">
  <autoFilter ref="A1:C28" xr:uid="{CE4F17CA-E6A8-4ABB-B032-646D6223D676}">
    <filterColumn colId="0" hiddenButton="1"/>
    <filterColumn colId="1" hiddenButton="1"/>
    <filterColumn colId="2" hiddenButton="1"/>
  </autoFilter>
  <tableColumns count="3">
    <tableColumn id="1" xr3:uid="{0EB2F464-64C3-4B97-B9FD-7FACEF8CCFAD}" name="二叉树期数" dataDxfId="9"/>
    <tableColumn id="2" xr3:uid="{0FB53BFC-3B45-4D85-AC4F-50A0379CFE66}" name="欧式看涨期权价格" dataDxfId="8">
      <calculatedColumnFormula>BinaryTree_call("e",100,0.2,0.05,0,2,110,A2)</calculatedColumnFormula>
    </tableColumn>
    <tableColumn id="3" xr3:uid="{8D08E765-B155-48C6-AB20-E3A01E20C55F}" name="BS公式看涨期权理论价值" dataDxfId="7">
      <calculatedColumnFormula>BS_call(100,0.2,0.05,0,2,110)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E48E83-FD04-4F8A-A50A-7D2F5C35F61B}" name="表3_5" displayName="表3_5" ref="E1:G28" totalsRowShown="0" headerRowDxfId="4" dataDxfId="3">
  <autoFilter ref="E1:G28" xr:uid="{961613E6-38AE-414D-90C3-EB2B755A9E0F}">
    <filterColumn colId="0" hiddenButton="1"/>
    <filterColumn colId="1" hiddenButton="1"/>
    <filterColumn colId="2" hiddenButton="1"/>
  </autoFilter>
  <tableColumns count="3">
    <tableColumn id="1" xr3:uid="{1CCD4FAD-F7A0-499F-8AAE-1693640C611F}" name="二叉树期数" dataDxfId="2"/>
    <tableColumn id="2" xr3:uid="{E63BD5A1-C4B5-49CF-8945-AE30829A0882}" name="欧式看跌期权价格" dataDxfId="1">
      <calculatedColumnFormula>BinaryTree_put("e",100,0.2,0.05,0,2,110,E2)</calculatedColumnFormula>
    </tableColumn>
    <tableColumn id="3" xr3:uid="{255B5D91-4157-43E0-AFDD-9973CEEFC918}" name="BS公式看跌期权理论价值" dataDxfId="0">
      <calculatedColumnFormula>BS_put(100,0.2,0.05,0,2,110)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1599C5-A4AF-40D5-AA49-53B87948521A}" name="表1" displayName="表1" ref="G1:L34" totalsRowShown="0" headerRowDxfId="29" dataDxfId="28">
  <autoFilter ref="G1:L34" xr:uid="{85E4DBFD-8730-4B31-984A-C614C9304D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81299A-FB0C-4FAA-AB43-09A91E4C3B93}" name="欧式看涨期权" dataDxfId="27">
      <calculatedColumnFormula>BinaryTree_call("e",A2,D2,C2,0,E2,B2,F2)</calculatedColumnFormula>
    </tableColumn>
    <tableColumn id="2" xr3:uid="{B04C62F8-0306-481A-8F9B-9BCB8ED92381}" name="美式看涨期权" dataDxfId="26">
      <calculatedColumnFormula>BinaryTree_call("a",A2,D2,C2,0,E2,B2,F2)</calculatedColumnFormula>
    </tableColumn>
    <tableColumn id="3" xr3:uid="{FE80F520-9BD9-4CA1-8016-F24707B68E4C}" name="看涨期权是否提前行权" dataDxfId="25">
      <calculatedColumnFormula>IF(H2&gt;G2,"Yes","No")</calculatedColumnFormula>
    </tableColumn>
    <tableColumn id="4" xr3:uid="{1EB5DF61-B5DE-4CB8-83C3-8AFF6D985F1B}" name="欧式看跌期权" dataDxfId="24"/>
    <tableColumn id="5" xr3:uid="{3AD4829F-DCE5-4F2D-ADC4-2DB22C464A89}" name="美式看跌期权" dataDxfId="23"/>
    <tableColumn id="6" xr3:uid="{B94B4ECC-697B-44E0-88CD-B0D315E2C22C}" name="看跌期权是否提前行权" dataDxfId="2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C1086D-7BCB-4A03-8FC5-0FA6A87E5B9B}" name="表1_3" displayName="表1_3" ref="G1:P39" totalsRowShown="0" headerRowDxfId="21" dataDxfId="20">
  <autoFilter ref="G1:P39" xr:uid="{85E4DBFD-8730-4B31-984A-C614C9304D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F6CC237B-F9ED-4C89-8018-10A0B3B767D2}" name="欧式看涨期权" dataDxfId="19">
      <calculatedColumnFormula>BinaryTree_call("e",A2,D2,C2,0,E2,B2,F2)</calculatedColumnFormula>
    </tableColumn>
    <tableColumn id="2" xr3:uid="{4D4BF990-5F1D-4F18-B0C1-9B52EE2AB5C1}" name="美式看涨期权" dataDxfId="18">
      <calculatedColumnFormula>BinaryTree_call("a",A2,D2,C2,0,E2,B2,F2)</calculatedColumnFormula>
    </tableColumn>
    <tableColumn id="8" xr3:uid="{0A800E42-FF91-473E-81E5-860A1F12D289}" name="下限" dataDxfId="17"/>
    <tableColumn id="7" xr3:uid="{657AEE92-5EF4-4F06-9DB9-9CA78820E9F1}" name="上限" dataDxfId="16"/>
    <tableColumn id="3" xr3:uid="{CA81ADA1-E329-4DF0-87D4-0B0A41E2C76A}" name="看涨期权是否满足上下限关系" dataDxfId="15">
      <calculatedColumnFormula>IF(H2&gt;G2,"Yes","No")</calculatedColumnFormula>
    </tableColumn>
    <tableColumn id="4" xr3:uid="{3D2ED843-8101-4C29-A802-D6046AE4199B}" name="欧式看跌期权" dataDxfId="14"/>
    <tableColumn id="5" xr3:uid="{3131C512-88BF-4B73-96CE-D87CD286DC0E}" name="美式看跌期权" dataDxfId="13"/>
    <tableColumn id="10" xr3:uid="{25668439-682F-4E46-8202-6D13F78D0D79}" name="期权下限" dataDxfId="12"/>
    <tableColumn id="9" xr3:uid="{B318D37C-BAEA-4F23-AD79-0E4731904E11}" name="期权上限" dataDxfId="11"/>
    <tableColumn id="6" xr3:uid="{B6425181-43A3-4D45-AD74-EE28485101E1}" name="看跌期权是否满足上下限关系" dataDxfId="1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7"/>
  <sheetViews>
    <sheetView zoomScaleNormal="100" workbookViewId="0">
      <selection activeCell="B11" sqref="B11"/>
    </sheetView>
  </sheetViews>
  <sheetFormatPr defaultColWidth="9" defaultRowHeight="14.4"/>
  <cols>
    <col min="1" max="1" width="18.77734375" style="2" bestFit="1" customWidth="1"/>
    <col min="2" max="16384" width="9" style="2"/>
  </cols>
  <sheetData>
    <row r="1" spans="1:11">
      <c r="A1" s="22" t="s">
        <v>56</v>
      </c>
      <c r="B1" s="22"/>
      <c r="C1" s="22"/>
      <c r="D1" s="22"/>
      <c r="E1" s="22"/>
    </row>
    <row r="2" spans="1:11">
      <c r="A2" s="22" t="s">
        <v>0</v>
      </c>
      <c r="B2" s="22"/>
      <c r="C2" s="22"/>
      <c r="D2" s="22"/>
      <c r="E2" s="22"/>
    </row>
    <row r="3" spans="1:11">
      <c r="A3" s="3" t="s">
        <v>1</v>
      </c>
      <c r="B3" s="3">
        <v>74.625</v>
      </c>
      <c r="C3" s="1"/>
      <c r="D3" s="7"/>
      <c r="E3" s="6"/>
      <c r="F3" s="7"/>
      <c r="G3" s="7"/>
      <c r="H3" s="7"/>
      <c r="I3" s="7"/>
      <c r="J3" s="7"/>
      <c r="K3" s="7"/>
    </row>
    <row r="4" spans="1:11">
      <c r="A4" s="3" t="s">
        <v>2</v>
      </c>
      <c r="B4" s="3">
        <v>0.375</v>
      </c>
      <c r="C4" s="1"/>
      <c r="D4" s="7"/>
      <c r="E4" s="6"/>
      <c r="F4" s="7"/>
      <c r="G4" s="7"/>
      <c r="H4" s="7"/>
      <c r="I4" s="6"/>
      <c r="J4" s="7"/>
      <c r="K4" s="7"/>
    </row>
    <row r="5" spans="1:11">
      <c r="A5" s="3" t="s">
        <v>3</v>
      </c>
      <c r="B5" s="3">
        <v>0.05</v>
      </c>
      <c r="C5" s="1"/>
      <c r="D5" s="7"/>
      <c r="E5" s="7"/>
      <c r="F5" s="7"/>
      <c r="G5" s="7"/>
      <c r="H5" s="7"/>
      <c r="I5" s="7"/>
      <c r="J5" s="7"/>
      <c r="K5" s="7"/>
    </row>
    <row r="6" spans="1:11">
      <c r="A6" s="3" t="s">
        <v>4</v>
      </c>
      <c r="B6" s="3">
        <v>0.02</v>
      </c>
      <c r="C6" s="1"/>
      <c r="D6" s="7"/>
      <c r="E6" s="7"/>
      <c r="F6" s="7"/>
      <c r="G6" s="7"/>
      <c r="H6" s="7"/>
      <c r="I6" s="7"/>
      <c r="J6" s="7"/>
      <c r="K6" s="7"/>
    </row>
    <row r="7" spans="1:11">
      <c r="A7" s="3" t="s">
        <v>5</v>
      </c>
      <c r="B7" s="3">
        <v>1.6459999999999999</v>
      </c>
      <c r="C7" s="1"/>
      <c r="D7" s="7"/>
      <c r="E7" s="7"/>
      <c r="F7" s="7"/>
      <c r="G7" s="7"/>
      <c r="H7" s="7"/>
      <c r="I7" s="7"/>
      <c r="J7" s="7"/>
      <c r="K7" s="7"/>
    </row>
    <row r="8" spans="1:11">
      <c r="A8" s="3" t="s">
        <v>6</v>
      </c>
      <c r="B8" s="3">
        <v>100</v>
      </c>
      <c r="C8" s="1"/>
      <c r="D8" s="7"/>
      <c r="E8" s="7"/>
      <c r="F8" s="7"/>
      <c r="G8" s="7"/>
      <c r="H8" s="7"/>
      <c r="I8" s="7"/>
      <c r="J8" s="7"/>
      <c r="K8" s="7"/>
    </row>
    <row r="9" spans="1:11">
      <c r="D9" s="7"/>
      <c r="E9" s="7"/>
      <c r="F9" s="7"/>
      <c r="G9" s="7"/>
      <c r="H9" s="7"/>
      <c r="I9" s="7"/>
      <c r="J9" s="7"/>
      <c r="K9" s="7"/>
    </row>
    <row r="10" spans="1:11">
      <c r="A10" s="5" t="s">
        <v>14</v>
      </c>
      <c r="B10" s="4">
        <f>BS_put(bs_s,bs_sigma,bs_rf,bs_q,bs_T,bs_X)</f>
        <v>27.46969190298752</v>
      </c>
      <c r="D10" s="7"/>
      <c r="E10" s="7"/>
      <c r="F10" s="7"/>
      <c r="G10" s="7"/>
      <c r="H10" s="7"/>
      <c r="I10" s="7"/>
      <c r="J10" s="7"/>
      <c r="K10" s="7"/>
    </row>
    <row r="11" spans="1:11">
      <c r="A11" s="5" t="s">
        <v>15</v>
      </c>
      <c r="B11" s="4">
        <f>BS_call(bs_s,bs_sigma,bs_rf,bs_q,bs_T,bs_X)</f>
        <v>7.5784714923909107</v>
      </c>
      <c r="D11" s="7"/>
      <c r="E11" s="7"/>
      <c r="F11" s="7"/>
      <c r="G11" s="7"/>
      <c r="H11" s="7"/>
      <c r="I11" s="7"/>
      <c r="J11" s="7"/>
      <c r="K11" s="7"/>
    </row>
    <row r="12" spans="1:11">
      <c r="D12" s="7"/>
      <c r="E12" s="7"/>
      <c r="F12" s="7"/>
      <c r="G12" s="7"/>
      <c r="H12" s="7"/>
      <c r="I12" s="7"/>
      <c r="J12" s="7"/>
      <c r="K12" s="7"/>
    </row>
    <row r="13" spans="1:11">
      <c r="D13" s="7"/>
      <c r="E13" s="7"/>
      <c r="F13" s="7"/>
      <c r="G13" s="7"/>
      <c r="H13" s="7"/>
      <c r="I13" s="7"/>
      <c r="J13" s="7"/>
      <c r="K13" s="7"/>
    </row>
    <row r="14" spans="1:11">
      <c r="D14" s="7"/>
      <c r="E14" s="7"/>
      <c r="F14" s="7"/>
      <c r="G14" s="7"/>
      <c r="H14" s="7"/>
      <c r="I14" s="7"/>
      <c r="J14" s="7"/>
      <c r="K14" s="7"/>
    </row>
    <row r="15" spans="1:11">
      <c r="D15" s="7"/>
      <c r="E15" s="7"/>
      <c r="F15" s="7"/>
      <c r="G15" s="7"/>
      <c r="H15" s="7"/>
      <c r="I15" s="7"/>
      <c r="J15" s="7"/>
      <c r="K15" s="7"/>
    </row>
    <row r="16" spans="1:11">
      <c r="D16" s="7"/>
      <c r="E16" s="7"/>
      <c r="F16" s="7"/>
      <c r="G16" s="7"/>
      <c r="H16" s="7"/>
      <c r="I16" s="7"/>
      <c r="J16" s="7"/>
      <c r="K16" s="7"/>
    </row>
    <row r="17" spans="4:11">
      <c r="D17" s="7"/>
      <c r="E17" s="7"/>
      <c r="F17" s="7"/>
      <c r="G17" s="7"/>
      <c r="H17" s="7"/>
      <c r="I17" s="7"/>
      <c r="J17" s="7"/>
      <c r="K17" s="7"/>
    </row>
    <row r="18" spans="4:11">
      <c r="D18" s="7"/>
      <c r="E18" s="7"/>
      <c r="F18" s="7"/>
      <c r="G18" s="7"/>
      <c r="H18" s="7"/>
      <c r="I18" s="7"/>
      <c r="J18" s="7"/>
      <c r="K18" s="7"/>
    </row>
    <row r="19" spans="4:11">
      <c r="D19" s="7"/>
      <c r="E19" s="7"/>
      <c r="F19" s="7"/>
      <c r="G19" s="7"/>
      <c r="H19" s="7"/>
      <c r="I19" s="7"/>
      <c r="J19" s="7"/>
      <c r="K19" s="7"/>
    </row>
    <row r="20" spans="4:11">
      <c r="D20" s="7"/>
      <c r="E20" s="7"/>
      <c r="F20" s="7"/>
      <c r="G20" s="7"/>
      <c r="H20" s="7"/>
      <c r="I20" s="7"/>
      <c r="J20" s="7"/>
      <c r="K20" s="7"/>
    </row>
    <row r="21" spans="4:11">
      <c r="D21" s="7"/>
      <c r="E21" s="7"/>
      <c r="F21" s="7"/>
      <c r="G21" s="7"/>
      <c r="H21" s="7"/>
      <c r="I21" s="7"/>
      <c r="J21" s="7"/>
      <c r="K21" s="7"/>
    </row>
    <row r="22" spans="4:11">
      <c r="D22" s="7"/>
      <c r="E22" s="7"/>
      <c r="F22" s="7"/>
      <c r="G22" s="7"/>
      <c r="H22" s="7"/>
      <c r="I22" s="7"/>
      <c r="J22" s="7"/>
      <c r="K22" s="7"/>
    </row>
    <row r="23" spans="4:11">
      <c r="D23" s="7"/>
      <c r="E23" s="7"/>
      <c r="F23" s="7"/>
      <c r="G23" s="7"/>
      <c r="H23" s="7"/>
      <c r="I23" s="7"/>
      <c r="J23" s="7"/>
      <c r="K23" s="7"/>
    </row>
    <row r="24" spans="4:11">
      <c r="D24" s="7"/>
      <c r="E24" s="7"/>
      <c r="F24" s="7"/>
      <c r="G24" s="7"/>
      <c r="H24" s="7"/>
      <c r="I24" s="7"/>
      <c r="J24" s="7"/>
      <c r="K24" s="7"/>
    </row>
    <row r="25" spans="4:11">
      <c r="D25" s="7"/>
      <c r="E25" s="7"/>
      <c r="F25" s="7"/>
      <c r="G25" s="7"/>
      <c r="H25" s="7"/>
      <c r="I25" s="7"/>
      <c r="J25" s="7"/>
      <c r="K25" s="7"/>
    </row>
    <row r="26" spans="4:11">
      <c r="D26" s="7"/>
      <c r="E26" s="7"/>
      <c r="F26" s="7"/>
      <c r="G26" s="7"/>
      <c r="H26" s="7"/>
      <c r="I26" s="7"/>
      <c r="J26" s="7"/>
      <c r="K26" s="7"/>
    </row>
    <row r="27" spans="4:11">
      <c r="D27" s="7"/>
      <c r="E27" s="7"/>
      <c r="F27" s="7"/>
      <c r="G27" s="7"/>
      <c r="H27" s="7"/>
      <c r="I27" s="7"/>
      <c r="J27" s="7"/>
      <c r="K27" s="7"/>
    </row>
    <row r="28" spans="4:11">
      <c r="D28" s="7"/>
      <c r="E28" s="7"/>
      <c r="F28" s="7"/>
      <c r="G28" s="7"/>
      <c r="H28" s="7"/>
      <c r="I28" s="7"/>
      <c r="J28" s="7"/>
      <c r="K28" s="7"/>
    </row>
    <row r="29" spans="4:11">
      <c r="D29" s="7"/>
      <c r="E29" s="7"/>
      <c r="F29" s="7"/>
      <c r="G29" s="7"/>
      <c r="H29" s="7"/>
      <c r="I29" s="7"/>
      <c r="J29" s="7"/>
      <c r="K29" s="7"/>
    </row>
    <row r="30" spans="4:11">
      <c r="D30" s="7"/>
      <c r="E30" s="7"/>
      <c r="F30" s="7"/>
      <c r="G30" s="7"/>
      <c r="H30" s="7"/>
      <c r="I30" s="7"/>
      <c r="J30" s="7"/>
      <c r="K30" s="7"/>
    </row>
    <row r="31" spans="4:11">
      <c r="D31" s="7"/>
      <c r="E31" s="7"/>
      <c r="F31" s="7"/>
      <c r="G31" s="7"/>
      <c r="H31" s="7"/>
      <c r="I31" s="7"/>
      <c r="J31" s="7"/>
      <c r="K31" s="7"/>
    </row>
    <row r="32" spans="4:11">
      <c r="D32" s="7"/>
      <c r="E32" s="7"/>
      <c r="F32" s="7"/>
      <c r="G32" s="7"/>
      <c r="H32" s="7"/>
      <c r="I32" s="7"/>
      <c r="J32" s="7"/>
      <c r="K32" s="7"/>
    </row>
    <row r="33" spans="4:11">
      <c r="D33" s="7"/>
      <c r="E33" s="7"/>
      <c r="F33" s="7"/>
      <c r="G33" s="7"/>
      <c r="H33" s="7"/>
      <c r="I33" s="7"/>
      <c r="J33" s="7"/>
      <c r="K33" s="7"/>
    </row>
    <row r="34" spans="4:11">
      <c r="D34" s="7"/>
      <c r="E34" s="7"/>
      <c r="F34" s="7"/>
      <c r="G34" s="7"/>
      <c r="H34" s="7"/>
      <c r="I34" s="7"/>
      <c r="J34" s="7"/>
      <c r="K34" s="7"/>
    </row>
    <row r="35" spans="4:11">
      <c r="D35" s="7"/>
      <c r="E35" s="7"/>
      <c r="F35" s="7"/>
      <c r="G35" s="7"/>
      <c r="H35" s="7"/>
      <c r="I35" s="7"/>
      <c r="J35" s="7"/>
      <c r="K35" s="7"/>
    </row>
    <row r="36" spans="4:11">
      <c r="D36" s="7"/>
      <c r="E36" s="7"/>
      <c r="F36" s="7"/>
      <c r="G36" s="7"/>
      <c r="H36" s="7"/>
      <c r="I36" s="7"/>
      <c r="J36" s="7"/>
      <c r="K36" s="7"/>
    </row>
    <row r="37" spans="4:11">
      <c r="D37" s="7"/>
      <c r="E37" s="7"/>
      <c r="F37" s="7"/>
      <c r="G37" s="7"/>
      <c r="H37" s="7"/>
      <c r="I37" s="7"/>
      <c r="J37" s="7"/>
      <c r="K37" s="7"/>
    </row>
    <row r="38" spans="4:11">
      <c r="D38" s="7"/>
      <c r="E38" s="7"/>
      <c r="F38" s="7"/>
      <c r="G38" s="7"/>
      <c r="H38" s="7"/>
      <c r="I38" s="7"/>
      <c r="J38" s="7"/>
      <c r="K38" s="7"/>
    </row>
    <row r="39" spans="4:11">
      <c r="D39" s="7"/>
      <c r="E39" s="7"/>
      <c r="F39" s="7"/>
      <c r="G39" s="7"/>
      <c r="H39" s="7"/>
      <c r="I39" s="7"/>
      <c r="J39" s="7"/>
      <c r="K39" s="7"/>
    </row>
    <row r="40" spans="4:11">
      <c r="D40" s="7"/>
      <c r="E40" s="7"/>
      <c r="F40" s="7"/>
      <c r="G40" s="7"/>
      <c r="H40" s="7"/>
      <c r="I40" s="7"/>
      <c r="J40" s="7"/>
      <c r="K40" s="7"/>
    </row>
    <row r="41" spans="4:11">
      <c r="D41" s="7"/>
      <c r="E41" s="7"/>
      <c r="F41" s="7"/>
      <c r="G41" s="7"/>
      <c r="H41" s="7"/>
      <c r="I41" s="7"/>
      <c r="J41" s="7"/>
      <c r="K41" s="7"/>
    </row>
    <row r="42" spans="4:11">
      <c r="D42" s="7"/>
      <c r="E42" s="7"/>
      <c r="F42" s="7"/>
      <c r="G42" s="7"/>
      <c r="H42" s="7"/>
      <c r="I42" s="7"/>
      <c r="J42" s="7"/>
      <c r="K42" s="7"/>
    </row>
    <row r="43" spans="4:11">
      <c r="D43" s="7"/>
      <c r="E43" s="7"/>
      <c r="F43" s="7"/>
      <c r="G43" s="7"/>
      <c r="H43" s="7"/>
      <c r="I43" s="7"/>
      <c r="J43" s="7"/>
      <c r="K43" s="7"/>
    </row>
    <row r="44" spans="4:11">
      <c r="D44" s="7"/>
      <c r="E44" s="7"/>
      <c r="F44" s="7"/>
      <c r="G44" s="7"/>
      <c r="H44" s="7"/>
      <c r="I44" s="7"/>
      <c r="J44" s="7"/>
      <c r="K44" s="7"/>
    </row>
    <row r="45" spans="4:11">
      <c r="D45" s="7"/>
      <c r="E45" s="7"/>
      <c r="F45" s="7"/>
      <c r="G45" s="7"/>
      <c r="H45" s="7"/>
      <c r="I45" s="7"/>
      <c r="J45" s="7"/>
      <c r="K45" s="7"/>
    </row>
    <row r="46" spans="4:11">
      <c r="D46" s="7"/>
      <c r="E46" s="7"/>
      <c r="F46" s="7"/>
      <c r="G46" s="7"/>
      <c r="H46" s="7"/>
      <c r="I46" s="7"/>
      <c r="J46" s="7"/>
      <c r="K46" s="7"/>
    </row>
    <row r="47" spans="4:11">
      <c r="D47" s="7"/>
      <c r="E47" s="7"/>
      <c r="F47" s="7"/>
      <c r="G47" s="7"/>
      <c r="H47" s="7"/>
      <c r="I47" s="7"/>
      <c r="J47" s="7"/>
      <c r="K47" s="7"/>
    </row>
    <row r="48" spans="4:11">
      <c r="D48" s="7"/>
      <c r="E48" s="7"/>
      <c r="F48" s="7"/>
      <c r="G48" s="7"/>
      <c r="H48" s="7"/>
      <c r="I48" s="7"/>
      <c r="J48" s="7"/>
      <c r="K48" s="7"/>
    </row>
    <row r="49" spans="4:11">
      <c r="D49" s="7"/>
      <c r="E49" s="7"/>
      <c r="F49" s="7"/>
      <c r="G49" s="7"/>
      <c r="H49" s="7"/>
      <c r="I49" s="7"/>
      <c r="J49" s="7"/>
      <c r="K49" s="7"/>
    </row>
    <row r="50" spans="4:11">
      <c r="D50" s="7"/>
      <c r="E50" s="7"/>
      <c r="F50" s="7"/>
      <c r="G50" s="7"/>
      <c r="H50" s="7"/>
      <c r="I50" s="7"/>
      <c r="J50" s="7"/>
      <c r="K50" s="7"/>
    </row>
    <row r="51" spans="4:11">
      <c r="D51" s="7"/>
      <c r="E51" s="7"/>
      <c r="F51" s="7"/>
      <c r="G51" s="7"/>
      <c r="H51" s="7"/>
      <c r="I51" s="7"/>
      <c r="J51" s="7"/>
      <c r="K51" s="7"/>
    </row>
    <row r="52" spans="4:11">
      <c r="D52" s="7"/>
      <c r="E52" s="7"/>
      <c r="F52" s="7"/>
      <c r="G52" s="7"/>
      <c r="H52" s="7"/>
      <c r="I52" s="7"/>
      <c r="J52" s="7"/>
      <c r="K52" s="7"/>
    </row>
    <row r="53" spans="4:11">
      <c r="D53" s="7"/>
      <c r="E53" s="7"/>
      <c r="F53" s="7"/>
      <c r="G53" s="7"/>
      <c r="H53" s="7"/>
      <c r="I53" s="7"/>
      <c r="J53" s="7"/>
      <c r="K53" s="7"/>
    </row>
    <row r="54" spans="4:11">
      <c r="D54" s="7"/>
      <c r="E54" s="7"/>
      <c r="F54" s="7"/>
      <c r="G54" s="7"/>
      <c r="H54" s="7"/>
      <c r="I54" s="7"/>
      <c r="J54" s="7"/>
      <c r="K54" s="7"/>
    </row>
    <row r="55" spans="4:11">
      <c r="D55" s="7"/>
      <c r="E55" s="7"/>
      <c r="F55" s="7"/>
      <c r="G55" s="7"/>
      <c r="H55" s="7"/>
      <c r="I55" s="7"/>
      <c r="J55" s="7"/>
      <c r="K55" s="7"/>
    </row>
    <row r="56" spans="4:11">
      <c r="D56" s="7"/>
      <c r="E56" s="6"/>
      <c r="F56" s="7"/>
      <c r="G56" s="7"/>
      <c r="H56" s="7"/>
      <c r="I56" s="7"/>
      <c r="J56" s="7"/>
      <c r="K56" s="7"/>
    </row>
    <row r="57" spans="4:11">
      <c r="E57" s="6"/>
      <c r="F57" s="7"/>
      <c r="G57" s="7"/>
      <c r="H57" s="7"/>
    </row>
    <row r="58" spans="4:11">
      <c r="E58" s="6"/>
      <c r="F58" s="7"/>
      <c r="G58" s="7"/>
      <c r="H58" s="7"/>
    </row>
    <row r="59" spans="4:11">
      <c r="E59" s="6"/>
      <c r="F59" s="7"/>
      <c r="G59" s="7"/>
      <c r="H59" s="7"/>
    </row>
    <row r="60" spans="4:11">
      <c r="E60" s="6"/>
      <c r="F60" s="7"/>
      <c r="G60" s="7"/>
      <c r="H60" s="7"/>
    </row>
    <row r="61" spans="4:11">
      <c r="E61" s="6"/>
      <c r="F61" s="7"/>
      <c r="G61" s="7"/>
      <c r="H61" s="7"/>
    </row>
    <row r="62" spans="4:11">
      <c r="E62" s="6"/>
      <c r="F62" s="7"/>
      <c r="G62" s="7"/>
      <c r="H62" s="7"/>
    </row>
    <row r="63" spans="4:11">
      <c r="E63" s="6"/>
      <c r="F63" s="7"/>
      <c r="G63" s="7"/>
      <c r="H63" s="7"/>
    </row>
    <row r="64" spans="4:11">
      <c r="E64" s="6"/>
      <c r="F64" s="7"/>
      <c r="G64" s="7"/>
      <c r="H64" s="7"/>
    </row>
    <row r="65" spans="5:8">
      <c r="E65" s="6"/>
      <c r="F65" s="7"/>
      <c r="G65" s="7"/>
      <c r="H65" s="7"/>
    </row>
    <row r="66" spans="5:8">
      <c r="E66" s="6"/>
      <c r="F66" s="7"/>
      <c r="G66" s="7"/>
      <c r="H66" s="7"/>
    </row>
    <row r="67" spans="5:8">
      <c r="E67" s="6"/>
      <c r="F67" s="7"/>
      <c r="G67" s="7"/>
      <c r="H67" s="7"/>
    </row>
    <row r="68" spans="5:8">
      <c r="E68" s="6"/>
      <c r="F68" s="7"/>
      <c r="G68" s="7"/>
      <c r="H68" s="7"/>
    </row>
    <row r="69" spans="5:8">
      <c r="E69" s="6"/>
      <c r="F69" s="7"/>
      <c r="G69" s="7"/>
      <c r="H69" s="7"/>
    </row>
    <row r="70" spans="5:8">
      <c r="E70" s="6"/>
      <c r="F70" s="7"/>
      <c r="G70" s="7"/>
      <c r="H70" s="7"/>
    </row>
    <row r="71" spans="5:8">
      <c r="E71" s="6"/>
      <c r="F71" s="7"/>
      <c r="G71" s="7"/>
      <c r="H71" s="7"/>
    </row>
    <row r="72" spans="5:8">
      <c r="E72" s="6"/>
      <c r="F72" s="7"/>
      <c r="G72" s="7"/>
      <c r="H72" s="7"/>
    </row>
    <row r="73" spans="5:8">
      <c r="E73" s="6"/>
      <c r="F73" s="7"/>
      <c r="G73" s="7"/>
      <c r="H73" s="7"/>
    </row>
    <row r="74" spans="5:8">
      <c r="E74" s="6"/>
      <c r="F74" s="7"/>
      <c r="G74" s="7"/>
      <c r="H74" s="7"/>
    </row>
    <row r="75" spans="5:8">
      <c r="E75" s="6"/>
      <c r="F75" s="7"/>
      <c r="G75" s="7"/>
      <c r="H75" s="7"/>
    </row>
    <row r="76" spans="5:8">
      <c r="E76" s="6"/>
      <c r="F76" s="7"/>
      <c r="G76" s="7"/>
      <c r="H76" s="7"/>
    </row>
    <row r="77" spans="5:8">
      <c r="E77" s="6"/>
      <c r="F77" s="7"/>
      <c r="G77" s="7"/>
      <c r="H77" s="7"/>
    </row>
    <row r="78" spans="5:8">
      <c r="E78" s="6"/>
      <c r="F78" s="7"/>
      <c r="G78" s="7"/>
      <c r="H78" s="7"/>
    </row>
    <row r="79" spans="5:8">
      <c r="E79" s="6"/>
      <c r="F79" s="7"/>
      <c r="G79" s="7"/>
      <c r="H79" s="7"/>
    </row>
    <row r="80" spans="5:8">
      <c r="E80" s="6"/>
      <c r="F80" s="7"/>
      <c r="G80" s="7"/>
      <c r="H80" s="7"/>
    </row>
    <row r="81" spans="5:8">
      <c r="E81" s="6"/>
      <c r="F81" s="7"/>
      <c r="G81" s="7"/>
      <c r="H81" s="7"/>
    </row>
    <row r="82" spans="5:8">
      <c r="E82" s="6"/>
      <c r="F82" s="7"/>
      <c r="G82" s="7"/>
      <c r="H82" s="7"/>
    </row>
    <row r="83" spans="5:8">
      <c r="E83" s="6"/>
      <c r="F83" s="7"/>
      <c r="G83" s="7"/>
      <c r="H83" s="7"/>
    </row>
    <row r="84" spans="5:8">
      <c r="E84" s="6"/>
      <c r="F84" s="7"/>
      <c r="G84" s="7"/>
      <c r="H84" s="7"/>
    </row>
    <row r="85" spans="5:8">
      <c r="E85" s="6"/>
      <c r="F85" s="7"/>
      <c r="G85" s="7"/>
      <c r="H85" s="7"/>
    </row>
    <row r="86" spans="5:8">
      <c r="E86" s="6"/>
      <c r="F86" s="7"/>
      <c r="G86" s="7"/>
      <c r="H86" s="7"/>
    </row>
    <row r="87" spans="5:8">
      <c r="E87" s="6"/>
      <c r="F87" s="7"/>
      <c r="G87" s="7"/>
      <c r="H87" s="7"/>
    </row>
    <row r="88" spans="5:8">
      <c r="E88" s="6"/>
      <c r="F88" s="7"/>
      <c r="G88" s="7"/>
      <c r="H88" s="7"/>
    </row>
    <row r="89" spans="5:8">
      <c r="E89" s="6"/>
      <c r="F89" s="7"/>
      <c r="G89" s="7"/>
      <c r="H89" s="7"/>
    </row>
    <row r="90" spans="5:8">
      <c r="E90" s="6"/>
      <c r="F90" s="7"/>
      <c r="G90" s="7"/>
      <c r="H90" s="7"/>
    </row>
    <row r="91" spans="5:8">
      <c r="E91" s="6"/>
      <c r="F91" s="7"/>
      <c r="G91" s="7"/>
      <c r="H91" s="7"/>
    </row>
    <row r="92" spans="5:8">
      <c r="E92" s="6"/>
      <c r="F92" s="7"/>
      <c r="G92" s="7"/>
      <c r="H92" s="7"/>
    </row>
    <row r="93" spans="5:8">
      <c r="E93" s="6"/>
      <c r="F93" s="7"/>
      <c r="G93" s="7"/>
      <c r="H93" s="7"/>
    </row>
    <row r="94" spans="5:8">
      <c r="E94" s="6"/>
      <c r="F94" s="7"/>
      <c r="G94" s="7"/>
      <c r="H94" s="7"/>
    </row>
    <row r="95" spans="5:8">
      <c r="E95" s="6"/>
      <c r="F95" s="7"/>
      <c r="G95" s="7"/>
      <c r="H95" s="7"/>
    </row>
    <row r="96" spans="5:8">
      <c r="E96" s="6"/>
      <c r="F96" s="7"/>
      <c r="G96" s="7"/>
      <c r="H96" s="7"/>
    </row>
    <row r="97" spans="5:8">
      <c r="E97" s="6"/>
      <c r="F97" s="7"/>
      <c r="G97" s="7"/>
      <c r="H97" s="7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7"/>
  <sheetViews>
    <sheetView zoomScale="115" zoomScaleNormal="115" workbookViewId="0">
      <selection activeCell="B11" sqref="B11"/>
    </sheetView>
  </sheetViews>
  <sheetFormatPr defaultColWidth="9" defaultRowHeight="14.4"/>
  <cols>
    <col min="1" max="1" width="26.33203125" style="2" bestFit="1" customWidth="1"/>
    <col min="2" max="4" width="9" style="2"/>
    <col min="5" max="5" width="13" style="2" bestFit="1" customWidth="1"/>
    <col min="6" max="6" width="11.33203125" style="2" customWidth="1"/>
    <col min="7" max="7" width="8.44140625" style="2" customWidth="1"/>
    <col min="8" max="8" width="6.44140625" style="2" bestFit="1" customWidth="1"/>
    <col min="9" max="16384" width="9" style="2"/>
  </cols>
  <sheetData>
    <row r="1" spans="1:11">
      <c r="A1" s="22" t="s">
        <v>12</v>
      </c>
      <c r="B1" s="22"/>
      <c r="C1" s="22"/>
      <c r="D1" s="22"/>
      <c r="E1" s="22"/>
      <c r="F1" s="22"/>
      <c r="G1" s="22"/>
    </row>
    <row r="2" spans="1:11">
      <c r="A2" s="22" t="s">
        <v>13</v>
      </c>
      <c r="B2" s="22"/>
      <c r="C2" s="22"/>
      <c r="D2" s="22"/>
      <c r="E2" s="22"/>
      <c r="F2" s="22"/>
      <c r="G2" s="22"/>
    </row>
    <row r="3" spans="1:11">
      <c r="A3" s="3" t="s">
        <v>7</v>
      </c>
      <c r="B3" s="3">
        <v>3325</v>
      </c>
      <c r="C3" s="1"/>
      <c r="E3" s="1"/>
    </row>
    <row r="4" spans="1:11">
      <c r="A4" s="3" t="s">
        <v>2</v>
      </c>
      <c r="B4" s="3">
        <v>0.14105799999999999</v>
      </c>
      <c r="C4" s="1"/>
      <c r="D4" s="6"/>
      <c r="E4" s="7"/>
      <c r="F4" s="7"/>
      <c r="G4" s="7"/>
      <c r="H4" s="7"/>
      <c r="I4" s="7"/>
    </row>
    <row r="5" spans="1:11">
      <c r="A5" s="3" t="s">
        <v>9</v>
      </c>
      <c r="B5" s="3">
        <v>0.05</v>
      </c>
      <c r="C5" s="1"/>
      <c r="D5" s="6"/>
      <c r="E5" s="7"/>
      <c r="F5" s="7"/>
      <c r="G5" s="7"/>
      <c r="H5" s="7"/>
      <c r="I5" s="7"/>
      <c r="J5" s="7"/>
      <c r="K5" s="7"/>
    </row>
    <row r="6" spans="1:11">
      <c r="A6" s="3" t="s">
        <v>4</v>
      </c>
      <c r="B6" s="3">
        <v>0.05</v>
      </c>
      <c r="C6" s="1"/>
      <c r="D6" s="6"/>
      <c r="E6" s="7"/>
      <c r="F6" s="7"/>
      <c r="G6" s="7"/>
      <c r="H6" s="7"/>
      <c r="I6" s="7"/>
      <c r="J6" s="7"/>
      <c r="K6" s="7"/>
    </row>
    <row r="7" spans="1:11">
      <c r="A7" s="3" t="s">
        <v>10</v>
      </c>
      <c r="B7" s="3">
        <f>20/365</f>
        <v>5.4794520547945202E-2</v>
      </c>
      <c r="C7" s="1"/>
      <c r="D7" s="6"/>
      <c r="E7" s="8"/>
      <c r="F7" s="7"/>
      <c r="G7" s="7"/>
      <c r="H7" s="7"/>
      <c r="I7" s="7"/>
      <c r="J7" s="7"/>
      <c r="K7" s="7"/>
    </row>
    <row r="8" spans="1:11">
      <c r="A8" s="3" t="s">
        <v>11</v>
      </c>
      <c r="B8" s="3">
        <v>3330</v>
      </c>
      <c r="C8" s="1"/>
      <c r="D8" s="6"/>
      <c r="E8" s="8"/>
      <c r="F8" s="7"/>
      <c r="G8" s="7"/>
      <c r="H8" s="7"/>
      <c r="I8" s="7"/>
      <c r="J8" s="7"/>
      <c r="K8" s="7"/>
    </row>
    <row r="9" spans="1:11">
      <c r="A9" s="3" t="s">
        <v>8</v>
      </c>
      <c r="B9" s="3">
        <v>50</v>
      </c>
      <c r="D9" s="6"/>
      <c r="E9" s="7"/>
      <c r="F9" s="7"/>
      <c r="G9" s="7"/>
      <c r="H9" s="7"/>
      <c r="I9" s="7"/>
      <c r="J9" s="7"/>
      <c r="K9" s="7"/>
    </row>
    <row r="10" spans="1:11">
      <c r="D10" s="6"/>
      <c r="E10" s="7"/>
      <c r="F10" s="7"/>
      <c r="G10" s="7"/>
      <c r="H10" s="7"/>
      <c r="I10" s="7"/>
      <c r="J10" s="7"/>
      <c r="K10" s="7"/>
    </row>
    <row r="11" spans="1:11">
      <c r="A11" s="5" t="s">
        <v>16</v>
      </c>
      <c r="B11" s="4">
        <f>BinaryTree_call("e",S0,Sigma,rf,q,T,X,N)</f>
        <v>41.279135751179709</v>
      </c>
      <c r="D11" s="6"/>
      <c r="E11" s="7"/>
      <c r="F11" s="7"/>
      <c r="G11" s="7"/>
      <c r="H11" s="7"/>
      <c r="I11" s="7"/>
      <c r="J11" s="7"/>
      <c r="K11" s="7"/>
    </row>
    <row r="12" spans="1:11">
      <c r="A12" s="5" t="s">
        <v>18</v>
      </c>
      <c r="B12" s="4">
        <f>BinaryTree_put("e",S0,Sigma,rf,q,T,X,N)</f>
        <v>46.265455869164086</v>
      </c>
      <c r="D12" s="6"/>
      <c r="E12" s="7"/>
      <c r="F12" s="7"/>
      <c r="G12" s="7"/>
      <c r="H12" s="7"/>
      <c r="I12" s="7"/>
      <c r="J12" s="7"/>
      <c r="K12" s="7"/>
    </row>
    <row r="13" spans="1:11">
      <c r="D13" s="6"/>
      <c r="E13" s="7"/>
      <c r="F13" s="7"/>
      <c r="G13" s="7"/>
      <c r="H13" s="7"/>
      <c r="I13" s="7"/>
      <c r="J13" s="7"/>
      <c r="K13" s="7"/>
    </row>
    <row r="14" spans="1:11">
      <c r="A14" s="5" t="s">
        <v>17</v>
      </c>
      <c r="B14" s="4">
        <f>BinaryTree_call("a",S0,Sigma,rf,q,T,X,N)</f>
        <v>41.296195980320981</v>
      </c>
      <c r="D14" s="6"/>
      <c r="E14" s="7"/>
      <c r="F14" s="7"/>
      <c r="G14" s="7"/>
      <c r="H14" s="7"/>
      <c r="I14" s="7"/>
      <c r="J14" s="7"/>
      <c r="K14" s="7"/>
    </row>
    <row r="15" spans="1:11">
      <c r="A15" s="5" t="s">
        <v>19</v>
      </c>
      <c r="B15" s="4">
        <f>BinaryTree_put("a",S0,Sigma,rf,q,T,X,N)</f>
        <v>46.287578857156753</v>
      </c>
      <c r="D15" s="6"/>
      <c r="E15" s="7"/>
      <c r="F15" s="7"/>
      <c r="G15" s="7"/>
      <c r="H15" s="7"/>
      <c r="I15" s="7"/>
      <c r="J15" s="7"/>
      <c r="K15" s="7"/>
    </row>
    <row r="16" spans="1:11">
      <c r="D16" s="6"/>
      <c r="E16" s="7"/>
      <c r="F16" s="7"/>
      <c r="G16" s="7"/>
      <c r="H16" s="7"/>
      <c r="I16" s="7"/>
      <c r="J16" s="7"/>
      <c r="K16" s="7"/>
    </row>
    <row r="17" spans="4:11">
      <c r="D17" s="6"/>
      <c r="E17" s="7"/>
      <c r="F17" s="7"/>
      <c r="G17" s="7"/>
      <c r="H17" s="7"/>
      <c r="I17" s="7"/>
      <c r="J17" s="7"/>
      <c r="K17" s="7"/>
    </row>
    <row r="18" spans="4:11">
      <c r="D18" s="6"/>
      <c r="E18" s="7"/>
      <c r="F18" s="7"/>
      <c r="G18" s="7"/>
      <c r="H18" s="7"/>
      <c r="I18" s="7"/>
      <c r="J18" s="7"/>
      <c r="K18" s="7"/>
    </row>
    <row r="19" spans="4:11">
      <c r="D19" s="6"/>
      <c r="E19" s="7"/>
      <c r="F19" s="7"/>
      <c r="G19" s="7"/>
      <c r="H19" s="7"/>
      <c r="I19" s="7"/>
      <c r="J19" s="7"/>
      <c r="K19" s="7"/>
    </row>
    <row r="20" spans="4:11">
      <c r="D20" s="6"/>
      <c r="E20" s="7"/>
      <c r="F20" s="7"/>
      <c r="G20" s="7"/>
      <c r="H20" s="7"/>
      <c r="I20" s="7"/>
      <c r="J20" s="7"/>
      <c r="K20" s="7"/>
    </row>
    <row r="21" spans="4:11">
      <c r="D21" s="6"/>
      <c r="E21" s="7"/>
      <c r="F21" s="7"/>
      <c r="G21" s="7"/>
      <c r="H21" s="7"/>
      <c r="I21" s="7"/>
      <c r="J21" s="7"/>
      <c r="K21" s="7"/>
    </row>
    <row r="22" spans="4:11">
      <c r="D22" s="6"/>
      <c r="E22" s="7"/>
      <c r="F22" s="7"/>
      <c r="G22" s="7"/>
      <c r="H22" s="7"/>
      <c r="I22" s="7"/>
      <c r="J22" s="7"/>
      <c r="K22" s="7"/>
    </row>
    <row r="23" spans="4:11">
      <c r="D23" s="6"/>
      <c r="E23" s="7"/>
      <c r="F23" s="7"/>
      <c r="G23" s="7"/>
      <c r="H23" s="7"/>
      <c r="I23" s="7"/>
      <c r="J23" s="7"/>
      <c r="K23" s="7"/>
    </row>
    <row r="24" spans="4:11">
      <c r="D24" s="6"/>
      <c r="E24" s="7"/>
      <c r="F24" s="7"/>
      <c r="G24" s="7"/>
      <c r="H24" s="7"/>
      <c r="I24" s="7"/>
      <c r="J24" s="7"/>
      <c r="K24" s="7"/>
    </row>
    <row r="25" spans="4:11">
      <c r="D25" s="6"/>
      <c r="E25" s="7"/>
      <c r="F25" s="7"/>
      <c r="G25" s="7"/>
      <c r="H25" s="7"/>
      <c r="I25" s="7"/>
      <c r="J25" s="7"/>
      <c r="K25" s="7"/>
    </row>
    <row r="26" spans="4:11">
      <c r="D26" s="6"/>
      <c r="E26" s="7"/>
      <c r="F26" s="7"/>
      <c r="G26" s="7"/>
      <c r="H26" s="7"/>
      <c r="I26" s="7"/>
      <c r="J26" s="7"/>
      <c r="K26" s="7"/>
    </row>
    <row r="27" spans="4:11">
      <c r="D27" s="6"/>
      <c r="E27" s="7"/>
      <c r="F27" s="7"/>
    </row>
  </sheetData>
  <mergeCells count="2">
    <mergeCell ref="A1:G1"/>
    <mergeCell ref="A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15A2-3910-4E40-80ED-34CD40C36802}">
  <dimension ref="A1:G28"/>
  <sheetViews>
    <sheetView tabSelected="1" topLeftCell="A27" workbookViewId="0">
      <selection activeCell="I39" sqref="I39"/>
    </sheetView>
  </sheetViews>
  <sheetFormatPr defaultRowHeight="14.4"/>
  <cols>
    <col min="1" max="1" width="13.88671875" bestFit="1" customWidth="1"/>
    <col min="2" max="2" width="18.88671875" customWidth="1"/>
    <col min="3" max="3" width="24.88671875" bestFit="1" customWidth="1"/>
    <col min="4" max="4" width="12.77734375" bestFit="1" customWidth="1"/>
    <col min="5" max="5" width="16.77734375" bestFit="1" customWidth="1"/>
    <col min="6" max="6" width="23.6640625" bestFit="1" customWidth="1"/>
    <col min="7" max="7" width="30.77734375" bestFit="1" customWidth="1"/>
  </cols>
  <sheetData>
    <row r="1" spans="1:7">
      <c r="A1" s="2" t="s">
        <v>31</v>
      </c>
      <c r="B1" s="2" t="s">
        <v>53</v>
      </c>
      <c r="C1" s="2" t="s">
        <v>55</v>
      </c>
      <c r="E1" s="2" t="s">
        <v>31</v>
      </c>
      <c r="F1" s="2" t="s">
        <v>54</v>
      </c>
      <c r="G1" s="2" t="s">
        <v>57</v>
      </c>
    </row>
    <row r="2" spans="1:7">
      <c r="A2" s="2">
        <v>2</v>
      </c>
      <c r="B2" s="2">
        <f t="shared" ref="B2:B28" si="0">BinaryTree_call("e",100,0.2,0.05,0,2,110,A2)</f>
        <v>11.823773536599544</v>
      </c>
      <c r="C2" s="2">
        <f t="shared" ref="C2:C28" si="1">BS_call(100,0.2,0.05,0,2,110)</f>
        <v>11.455455871603185</v>
      </c>
      <c r="E2" s="2">
        <v>2</v>
      </c>
      <c r="F2" s="2">
        <f t="shared" ref="F2:F28" si="2">BinaryTree_put("e",100,0.2,0.05,0,2,110,E2)</f>
        <v>11.355889520555086</v>
      </c>
      <c r="G2" s="2">
        <f t="shared" ref="G2:G28" si="3">BS_put(100,0.2,0.05,0,2,110)</f>
        <v>10.987571855558734</v>
      </c>
    </row>
    <row r="3" spans="1:7">
      <c r="A3" s="2">
        <v>3</v>
      </c>
      <c r="B3" s="2">
        <f t="shared" si="0"/>
        <v>11.482171632854145</v>
      </c>
      <c r="C3" s="2">
        <f t="shared" si="1"/>
        <v>11.455455871603185</v>
      </c>
      <c r="E3" s="2">
        <v>3</v>
      </c>
      <c r="F3" s="2">
        <f t="shared" si="2"/>
        <v>11.014287616809703</v>
      </c>
      <c r="G3" s="2">
        <f t="shared" si="3"/>
        <v>10.987571855558734</v>
      </c>
    </row>
    <row r="4" spans="1:7">
      <c r="A4" s="2">
        <v>4</v>
      </c>
      <c r="B4" s="2">
        <f t="shared" si="0"/>
        <v>11.853061279330634</v>
      </c>
      <c r="C4" s="2">
        <f t="shared" si="1"/>
        <v>11.455455871603185</v>
      </c>
      <c r="E4" s="2">
        <v>4</v>
      </c>
      <c r="F4" s="2">
        <f t="shared" si="2"/>
        <v>11.385177263286176</v>
      </c>
      <c r="G4" s="2">
        <f t="shared" si="3"/>
        <v>10.987571855558734</v>
      </c>
    </row>
    <row r="5" spans="1:7">
      <c r="A5" s="2">
        <v>5</v>
      </c>
      <c r="B5" s="2">
        <f t="shared" si="0"/>
        <v>11.22871291903594</v>
      </c>
      <c r="C5" s="2">
        <f t="shared" si="1"/>
        <v>11.455455871603185</v>
      </c>
      <c r="E5" s="2">
        <v>5</v>
      </c>
      <c r="F5" s="2">
        <f t="shared" si="2"/>
        <v>10.7608289029915</v>
      </c>
      <c r="G5" s="2">
        <f t="shared" si="3"/>
        <v>10.987571855558734</v>
      </c>
    </row>
    <row r="6" spans="1:7">
      <c r="A6" s="2">
        <v>6</v>
      </c>
      <c r="B6" s="2">
        <f t="shared" si="0"/>
        <v>11.786172619643324</v>
      </c>
      <c r="C6" s="2">
        <f t="shared" si="1"/>
        <v>11.455455871603185</v>
      </c>
      <c r="E6" s="2">
        <v>6</v>
      </c>
      <c r="F6" s="2">
        <f t="shared" si="2"/>
        <v>11.318288603598916</v>
      </c>
      <c r="G6" s="2">
        <f t="shared" si="3"/>
        <v>10.987571855558734</v>
      </c>
    </row>
    <row r="7" spans="1:7">
      <c r="A7" s="2">
        <v>7</v>
      </c>
      <c r="B7" s="2">
        <f t="shared" si="0"/>
        <v>11.118536503003062</v>
      </c>
      <c r="C7" s="2">
        <f t="shared" si="1"/>
        <v>11.455455871603185</v>
      </c>
      <c r="E7" s="2">
        <v>7</v>
      </c>
      <c r="F7" s="2">
        <f t="shared" si="2"/>
        <v>10.650652486958682</v>
      </c>
      <c r="G7" s="2">
        <f t="shared" si="3"/>
        <v>10.987571855558734</v>
      </c>
    </row>
    <row r="8" spans="1:7">
      <c r="A8" s="2">
        <v>8</v>
      </c>
      <c r="B8" s="2">
        <f t="shared" si="0"/>
        <v>11.720810882004184</v>
      </c>
      <c r="C8" s="2">
        <f t="shared" si="1"/>
        <v>11.455455871603185</v>
      </c>
      <c r="E8" s="2">
        <v>8</v>
      </c>
      <c r="F8" s="2">
        <f t="shared" si="2"/>
        <v>11.252926865959704</v>
      </c>
      <c r="G8" s="2">
        <f t="shared" si="3"/>
        <v>10.987571855558734</v>
      </c>
    </row>
    <row r="9" spans="1:7">
      <c r="A9" s="2">
        <v>9</v>
      </c>
      <c r="B9" s="2">
        <f t="shared" si="0"/>
        <v>11.08359279761688</v>
      </c>
      <c r="C9" s="2">
        <f t="shared" si="1"/>
        <v>11.455455871603185</v>
      </c>
      <c r="E9" s="2">
        <v>9</v>
      </c>
      <c r="F9" s="2">
        <f t="shared" si="2"/>
        <v>10.615708781572518</v>
      </c>
      <c r="G9" s="2">
        <f t="shared" si="3"/>
        <v>10.987571855558734</v>
      </c>
    </row>
    <row r="10" spans="1:7">
      <c r="A10" s="2">
        <v>10</v>
      </c>
      <c r="B10" s="2">
        <f t="shared" si="0"/>
        <v>11.665094429234021</v>
      </c>
      <c r="C10" s="2">
        <f t="shared" si="1"/>
        <v>11.455455871603185</v>
      </c>
      <c r="E10" s="2">
        <v>10</v>
      </c>
      <c r="F10" s="2">
        <f t="shared" si="2"/>
        <v>11.197210413189694</v>
      </c>
      <c r="G10" s="2">
        <f t="shared" si="3"/>
        <v>10.987571855558734</v>
      </c>
    </row>
    <row r="11" spans="1:7">
      <c r="A11" s="2">
        <v>20</v>
      </c>
      <c r="B11" s="2">
        <f t="shared" si="0"/>
        <v>11.487991406342442</v>
      </c>
      <c r="C11" s="2">
        <f t="shared" si="1"/>
        <v>11.455455871603185</v>
      </c>
      <c r="E11" s="2">
        <v>20</v>
      </c>
      <c r="F11" s="2">
        <f t="shared" si="2"/>
        <v>11.020107390298209</v>
      </c>
      <c r="G11" s="2">
        <f t="shared" si="3"/>
        <v>10.987571855558734</v>
      </c>
    </row>
    <row r="12" spans="1:7">
      <c r="A12" s="2">
        <v>30</v>
      </c>
      <c r="B12" s="2">
        <f t="shared" si="0"/>
        <v>11.392086882959683</v>
      </c>
      <c r="C12" s="2">
        <f t="shared" si="1"/>
        <v>11.455455871603185</v>
      </c>
      <c r="E12" s="2">
        <v>30</v>
      </c>
      <c r="F12" s="2">
        <f t="shared" si="2"/>
        <v>10.924202866915422</v>
      </c>
      <c r="G12" s="2">
        <f t="shared" si="3"/>
        <v>10.987571855558734</v>
      </c>
    </row>
    <row r="13" spans="1:7">
      <c r="A13" s="2">
        <v>40</v>
      </c>
      <c r="B13" s="2">
        <f t="shared" si="0"/>
        <v>11.402631856424795</v>
      </c>
      <c r="C13" s="2">
        <f t="shared" si="1"/>
        <v>11.455455871603185</v>
      </c>
      <c r="E13" s="2">
        <v>40</v>
      </c>
      <c r="F13" s="2">
        <f t="shared" si="2"/>
        <v>10.934747840379938</v>
      </c>
      <c r="G13" s="2">
        <f t="shared" si="3"/>
        <v>10.987571855558734</v>
      </c>
    </row>
    <row r="14" spans="1:7">
      <c r="A14" s="2">
        <v>50</v>
      </c>
      <c r="B14" s="2">
        <f t="shared" si="0"/>
        <v>11.454912442566865</v>
      </c>
      <c r="C14" s="2">
        <f t="shared" si="1"/>
        <v>11.455455871603185</v>
      </c>
      <c r="E14" s="2">
        <v>50</v>
      </c>
      <c r="F14" s="2">
        <f t="shared" si="2"/>
        <v>10.987028426522221</v>
      </c>
      <c r="G14" s="2">
        <f t="shared" si="3"/>
        <v>10.987571855558734</v>
      </c>
    </row>
    <row r="15" spans="1:7">
      <c r="A15" s="2">
        <v>60</v>
      </c>
      <c r="B15" s="2">
        <f t="shared" si="0"/>
        <v>11.47631598011694</v>
      </c>
      <c r="C15" s="2">
        <f t="shared" si="1"/>
        <v>11.455455871603185</v>
      </c>
      <c r="E15" s="2">
        <v>60</v>
      </c>
      <c r="F15" s="2">
        <f t="shared" si="2"/>
        <v>11.00843196407301</v>
      </c>
      <c r="G15" s="2">
        <f t="shared" si="3"/>
        <v>10.987571855558734</v>
      </c>
    </row>
    <row r="16" spans="1:7">
      <c r="A16" s="2">
        <v>70</v>
      </c>
      <c r="B16" s="2">
        <f t="shared" si="0"/>
        <v>11.482836265820643</v>
      </c>
      <c r="C16" s="2">
        <f t="shared" si="1"/>
        <v>11.455455871603185</v>
      </c>
      <c r="E16" s="2">
        <v>70</v>
      </c>
      <c r="F16" s="2">
        <f t="shared" si="2"/>
        <v>11.014952249776277</v>
      </c>
      <c r="G16" s="2">
        <f t="shared" si="3"/>
        <v>10.987571855558734</v>
      </c>
    </row>
    <row r="17" spans="1:7">
      <c r="A17" s="2">
        <v>80</v>
      </c>
      <c r="B17" s="2">
        <f t="shared" si="0"/>
        <v>11.481652953220108</v>
      </c>
      <c r="C17" s="2">
        <f t="shared" si="1"/>
        <v>11.455455871603185</v>
      </c>
      <c r="E17" s="2">
        <v>80</v>
      </c>
      <c r="F17" s="2">
        <f t="shared" si="2"/>
        <v>11.013768937175225</v>
      </c>
      <c r="G17" s="2">
        <f t="shared" si="3"/>
        <v>10.987571855558734</v>
      </c>
    </row>
    <row r="18" spans="1:7">
      <c r="A18" s="2">
        <v>90</v>
      </c>
      <c r="B18" s="2">
        <f t="shared" si="0"/>
        <v>11.476327644654955</v>
      </c>
      <c r="C18" s="2">
        <f t="shared" si="1"/>
        <v>11.455455871603185</v>
      </c>
      <c r="E18" s="2">
        <v>90</v>
      </c>
      <c r="F18" s="2">
        <f t="shared" si="2"/>
        <v>11.008443628610147</v>
      </c>
      <c r="G18" s="2">
        <f t="shared" si="3"/>
        <v>10.987571855558734</v>
      </c>
    </row>
    <row r="19" spans="1:7">
      <c r="A19" s="2">
        <v>100</v>
      </c>
      <c r="B19" s="2">
        <f t="shared" si="0"/>
        <v>11.468755869895585</v>
      </c>
      <c r="C19" s="2">
        <f t="shared" si="1"/>
        <v>11.455455871603185</v>
      </c>
      <c r="E19" s="2">
        <v>100</v>
      </c>
      <c r="F19" s="2">
        <f t="shared" si="2"/>
        <v>11.000871853850692</v>
      </c>
      <c r="G19" s="2">
        <f t="shared" si="3"/>
        <v>10.987571855558734</v>
      </c>
    </row>
    <row r="20" spans="1:7">
      <c r="A20" s="2">
        <v>120</v>
      </c>
      <c r="B20" s="2">
        <f t="shared" si="0"/>
        <v>11.450671289112886</v>
      </c>
      <c r="C20" s="2">
        <f t="shared" si="1"/>
        <v>11.455455871603185</v>
      </c>
      <c r="E20" s="2">
        <v>120</v>
      </c>
      <c r="F20" s="2">
        <f t="shared" si="2"/>
        <v>10.982787273067096</v>
      </c>
      <c r="G20" s="2">
        <f t="shared" si="3"/>
        <v>10.987571855558734</v>
      </c>
    </row>
    <row r="21" spans="1:7">
      <c r="A21" s="2">
        <v>140</v>
      </c>
      <c r="B21" s="2">
        <f t="shared" si="0"/>
        <v>11.43162233787575</v>
      </c>
      <c r="C21" s="2">
        <f t="shared" si="1"/>
        <v>11.455455871603185</v>
      </c>
      <c r="E21" s="2">
        <v>140</v>
      </c>
      <c r="F21" s="2">
        <f t="shared" si="2"/>
        <v>10.963738321832198</v>
      </c>
      <c r="G21" s="2">
        <f t="shared" si="3"/>
        <v>10.987571855558734</v>
      </c>
    </row>
    <row r="22" spans="1:7">
      <c r="A22" s="2">
        <v>160</v>
      </c>
      <c r="B22" s="2">
        <f t="shared" si="0"/>
        <v>11.44959318152095</v>
      </c>
      <c r="C22" s="2">
        <f t="shared" si="1"/>
        <v>11.455455871603185</v>
      </c>
      <c r="E22" s="2">
        <v>160</v>
      </c>
      <c r="F22" s="2">
        <f t="shared" si="2"/>
        <v>10.981709165477747</v>
      </c>
      <c r="G22" s="2">
        <f t="shared" si="3"/>
        <v>10.987571855558734</v>
      </c>
    </row>
    <row r="23" spans="1:7">
      <c r="A23" s="2">
        <v>180</v>
      </c>
      <c r="B23" s="2">
        <f t="shared" si="0"/>
        <v>11.459988977423542</v>
      </c>
      <c r="C23" s="2">
        <f t="shared" si="1"/>
        <v>11.455455871603185</v>
      </c>
      <c r="E23" s="2">
        <v>180</v>
      </c>
      <c r="F23" s="2">
        <f t="shared" si="2"/>
        <v>10.992104961377787</v>
      </c>
      <c r="G23" s="2">
        <f t="shared" si="3"/>
        <v>10.987571855558734</v>
      </c>
    </row>
    <row r="24" spans="1:7">
      <c r="A24" s="2">
        <v>200</v>
      </c>
      <c r="B24" s="2">
        <f t="shared" si="0"/>
        <v>11.464398381958777</v>
      </c>
      <c r="C24" s="2">
        <f t="shared" si="1"/>
        <v>11.455455871603185</v>
      </c>
      <c r="E24" s="2">
        <v>200</v>
      </c>
      <c r="F24" s="2">
        <f t="shared" si="2"/>
        <v>10.996514365916022</v>
      </c>
      <c r="G24" s="2">
        <f t="shared" si="3"/>
        <v>10.987571855558734</v>
      </c>
    </row>
    <row r="25" spans="1:7">
      <c r="A25" s="2">
        <v>220</v>
      </c>
      <c r="B25" s="2">
        <f t="shared" si="0"/>
        <v>11.464974407248722</v>
      </c>
      <c r="C25" s="2">
        <f t="shared" si="1"/>
        <v>11.455455871603185</v>
      </c>
      <c r="E25" s="2">
        <v>220</v>
      </c>
      <c r="F25" s="2">
        <f t="shared" si="2"/>
        <v>10.997090391206061</v>
      </c>
      <c r="G25" s="2">
        <f t="shared" si="3"/>
        <v>10.987571855558734</v>
      </c>
    </row>
    <row r="26" spans="1:7">
      <c r="A26" s="2">
        <v>240</v>
      </c>
      <c r="B26" s="2">
        <f t="shared" si="0"/>
        <v>11.463048234500727</v>
      </c>
      <c r="C26" s="2">
        <f t="shared" si="1"/>
        <v>11.455455871603185</v>
      </c>
      <c r="E26" s="2">
        <v>240</v>
      </c>
      <c r="F26" s="2">
        <f t="shared" si="2"/>
        <v>10.995164218455651</v>
      </c>
      <c r="G26" s="2">
        <f t="shared" si="3"/>
        <v>10.987571855558734</v>
      </c>
    </row>
    <row r="27" spans="1:7">
      <c r="A27" s="2">
        <v>260</v>
      </c>
      <c r="B27" s="2">
        <f t="shared" si="0"/>
        <v>11.459471949143103</v>
      </c>
      <c r="C27" s="2">
        <f t="shared" si="1"/>
        <v>11.455455871603185</v>
      </c>
      <c r="E27" s="2">
        <v>260</v>
      </c>
      <c r="F27" s="2">
        <f t="shared" si="2"/>
        <v>10.991587933099689</v>
      </c>
      <c r="G27" s="2">
        <f t="shared" si="3"/>
        <v>10.987571855558734</v>
      </c>
    </row>
    <row r="28" spans="1:7">
      <c r="A28" s="2">
        <v>280</v>
      </c>
      <c r="B28" s="2">
        <f t="shared" si="0"/>
        <v>11.45480631929583</v>
      </c>
      <c r="C28" s="2">
        <f t="shared" si="1"/>
        <v>11.455455871603185</v>
      </c>
      <c r="E28" s="2">
        <v>280</v>
      </c>
      <c r="F28" s="2">
        <f t="shared" si="2"/>
        <v>10.986922303254019</v>
      </c>
      <c r="G28" s="2">
        <f t="shared" si="3"/>
        <v>10.987571855558734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2"/>
  <sheetViews>
    <sheetView topLeftCell="A8" workbookViewId="0">
      <selection sqref="A1:F34"/>
    </sheetView>
  </sheetViews>
  <sheetFormatPr defaultRowHeight="14.4"/>
  <cols>
    <col min="1" max="1" width="13.88671875" bestFit="1" customWidth="1"/>
    <col min="3" max="3" width="11.6640625" bestFit="1" customWidth="1"/>
    <col min="5" max="5" width="15" bestFit="1" customWidth="1"/>
    <col min="6" max="6" width="11.6640625" bestFit="1" customWidth="1"/>
    <col min="7" max="8" width="14.88671875" customWidth="1"/>
    <col min="9" max="9" width="22.88671875" customWidth="1"/>
    <col min="10" max="11" width="15.88671875" bestFit="1" customWidth="1"/>
    <col min="12" max="12" width="25.109375" bestFit="1" customWidth="1"/>
  </cols>
  <sheetData>
    <row r="1" spans="1:12">
      <c r="A1" s="2" t="s">
        <v>20</v>
      </c>
      <c r="B1" s="2" t="s">
        <v>21</v>
      </c>
      <c r="C1" s="2" t="s">
        <v>25</v>
      </c>
      <c r="D1" s="2" t="s">
        <v>26</v>
      </c>
      <c r="E1" s="2" t="s">
        <v>28</v>
      </c>
      <c r="F1" s="2" t="s">
        <v>31</v>
      </c>
      <c r="G1" s="2" t="s">
        <v>32</v>
      </c>
      <c r="H1" s="2" t="s">
        <v>34</v>
      </c>
      <c r="I1" s="2" t="s">
        <v>36</v>
      </c>
      <c r="J1" s="2" t="s">
        <v>40</v>
      </c>
      <c r="K1" s="2" t="s">
        <v>39</v>
      </c>
      <c r="L1" s="2" t="s">
        <v>38</v>
      </c>
    </row>
    <row r="2" spans="1:12">
      <c r="A2" s="2" t="s">
        <v>22</v>
      </c>
      <c r="B2" s="2" t="s">
        <v>23</v>
      </c>
      <c r="C2" s="2" t="s">
        <v>24</v>
      </c>
      <c r="D2" s="2" t="s">
        <v>27</v>
      </c>
      <c r="E2" s="2" t="s">
        <v>29</v>
      </c>
      <c r="F2" s="2" t="s">
        <v>30</v>
      </c>
      <c r="G2" s="2" t="s">
        <v>33</v>
      </c>
      <c r="H2" s="2" t="s">
        <v>35</v>
      </c>
      <c r="I2" s="2" t="s">
        <v>37</v>
      </c>
      <c r="J2" s="2" t="s">
        <v>41</v>
      </c>
      <c r="K2" s="2" t="s">
        <v>42</v>
      </c>
      <c r="L2" s="2" t="s">
        <v>37</v>
      </c>
    </row>
    <row r="3" spans="1:12">
      <c r="A3" s="15">
        <v>80</v>
      </c>
      <c r="B3" s="2">
        <v>100</v>
      </c>
      <c r="C3" s="9">
        <v>0.03</v>
      </c>
      <c r="D3" s="2">
        <v>0.2</v>
      </c>
      <c r="E3" s="2">
        <v>2</v>
      </c>
      <c r="F3" s="2">
        <v>100</v>
      </c>
      <c r="G3" s="2">
        <f>BinaryTree_call("e",A3,D3,C3,0,E3,B3,F3)</f>
        <v>4.2573373087825583</v>
      </c>
      <c r="H3" s="2">
        <f>BinaryTree_call("a",A3,D3,C3,0,E3,B3,F3)</f>
        <v>4.2573373087825583</v>
      </c>
      <c r="I3" s="2" t="str">
        <f>IF(H3&gt;G3,"Yes","No")</f>
        <v>No</v>
      </c>
      <c r="J3" s="2">
        <f>BinaryTree_put("e",A3,D3,C3,0,E3,B3,F3)</f>
        <v>18.433790667207703</v>
      </c>
      <c r="K3" s="2">
        <f>BinaryTree_put("a",A3,D3,C3,0,E3,B3,F3)</f>
        <v>20.694256730881097</v>
      </c>
      <c r="L3" s="2" t="str">
        <f>IF(K3&gt;J3,"Yes","No")</f>
        <v>Yes</v>
      </c>
    </row>
    <row r="4" spans="1:12">
      <c r="A4" s="15">
        <v>82</v>
      </c>
      <c r="B4" s="2">
        <v>100</v>
      </c>
      <c r="C4" s="9">
        <v>0.03</v>
      </c>
      <c r="D4" s="2">
        <v>0.2</v>
      </c>
      <c r="E4" s="2">
        <v>2</v>
      </c>
      <c r="F4" s="2">
        <v>100</v>
      </c>
      <c r="G4" s="2">
        <f t="shared" ref="G4:G34" si="0">BinaryTree_call("e",A4,D4,C4,0,E4,B4,F4)</f>
        <v>4.9870835430501614</v>
      </c>
      <c r="H4" s="2">
        <f t="shared" ref="H4:H34" si="1">BinaryTree_call("a",A4,D4,C4,0,E4,B4,F4)</f>
        <v>4.9870835430501614</v>
      </c>
      <c r="I4" s="2" t="str">
        <f t="shared" ref="I4:I34" si="2">IF(H4&gt;G4,"Yes","No")</f>
        <v>No</v>
      </c>
      <c r="J4" s="2">
        <f t="shared" ref="J4:J34" si="3">BinaryTree_put("e",A4,D4,C4,0,E4,B4,F4)</f>
        <v>17.163536901475304</v>
      </c>
      <c r="K4" s="2">
        <f t="shared" ref="K4:K34" si="4">BinaryTree_put("a",A4,D4,C4,0,E4,B4,F4)</f>
        <v>19.137821631245089</v>
      </c>
      <c r="L4" s="2" t="str">
        <f t="shared" ref="L4:L34" si="5">IF(K4&gt;J4,"Yes","No")</f>
        <v>Yes</v>
      </c>
    </row>
    <row r="5" spans="1:12">
      <c r="A5" s="15">
        <v>84</v>
      </c>
      <c r="B5" s="2">
        <v>100</v>
      </c>
      <c r="C5" s="9">
        <v>0.03</v>
      </c>
      <c r="D5" s="2">
        <v>0.2</v>
      </c>
      <c r="E5" s="2">
        <v>2</v>
      </c>
      <c r="F5" s="2">
        <v>100</v>
      </c>
      <c r="G5" s="2">
        <f t="shared" si="0"/>
        <v>5.716829777317769</v>
      </c>
      <c r="H5" s="2">
        <f t="shared" si="1"/>
        <v>5.716829777317769</v>
      </c>
      <c r="I5" s="2" t="str">
        <f t="shared" si="2"/>
        <v>No</v>
      </c>
      <c r="J5" s="2">
        <f t="shared" si="3"/>
        <v>15.893283135742919</v>
      </c>
      <c r="K5" s="2">
        <f t="shared" si="4"/>
        <v>17.653007022112103</v>
      </c>
      <c r="L5" s="2" t="str">
        <f t="shared" si="5"/>
        <v>Yes</v>
      </c>
    </row>
    <row r="6" spans="1:12">
      <c r="A6" s="15">
        <v>86</v>
      </c>
      <c r="B6" s="2">
        <v>100</v>
      </c>
      <c r="C6" s="9">
        <v>0.03</v>
      </c>
      <c r="D6" s="2">
        <v>0.2</v>
      </c>
      <c r="E6" s="2">
        <v>2</v>
      </c>
      <c r="F6" s="2">
        <v>100</v>
      </c>
      <c r="G6" s="2">
        <f t="shared" si="0"/>
        <v>6.5709921589041915</v>
      </c>
      <c r="H6" s="2">
        <f t="shared" si="1"/>
        <v>6.5709921589041915</v>
      </c>
      <c r="I6" s="2" t="str">
        <f t="shared" si="2"/>
        <v>No</v>
      </c>
      <c r="J6" s="2">
        <f t="shared" si="3"/>
        <v>14.74744551732933</v>
      </c>
      <c r="K6" s="2">
        <f t="shared" si="4"/>
        <v>16.281728730368407</v>
      </c>
      <c r="L6" s="2" t="str">
        <f t="shared" si="5"/>
        <v>Yes</v>
      </c>
    </row>
    <row r="7" spans="1:12">
      <c r="A7" s="15">
        <v>88</v>
      </c>
      <c r="B7" s="2">
        <v>100</v>
      </c>
      <c r="C7" s="9">
        <v>0.03</v>
      </c>
      <c r="D7" s="2">
        <v>0.2</v>
      </c>
      <c r="E7" s="2">
        <v>2</v>
      </c>
      <c r="F7" s="2">
        <v>100</v>
      </c>
      <c r="G7" s="2">
        <f t="shared" si="0"/>
        <v>7.4554194796811313</v>
      </c>
      <c r="H7" s="2">
        <f t="shared" si="1"/>
        <v>7.4554194796811313</v>
      </c>
      <c r="I7" s="2" t="str">
        <f t="shared" si="2"/>
        <v>No</v>
      </c>
      <c r="J7" s="2">
        <f t="shared" si="3"/>
        <v>13.631872838106279</v>
      </c>
      <c r="K7" s="2">
        <f t="shared" si="4"/>
        <v>14.991476760448016</v>
      </c>
      <c r="L7" s="2" t="str">
        <f t="shared" si="5"/>
        <v>Yes</v>
      </c>
    </row>
    <row r="8" spans="1:12">
      <c r="A8" s="15">
        <v>90</v>
      </c>
      <c r="B8" s="2">
        <v>100</v>
      </c>
      <c r="C8" s="9">
        <v>0.03</v>
      </c>
      <c r="D8" s="2">
        <v>0.2</v>
      </c>
      <c r="E8" s="2">
        <v>2</v>
      </c>
      <c r="F8" s="2">
        <v>100</v>
      </c>
      <c r="G8" s="2">
        <f t="shared" si="0"/>
        <v>8.3953185153008594</v>
      </c>
      <c r="H8" s="2">
        <f t="shared" si="1"/>
        <v>8.3953185153008594</v>
      </c>
      <c r="I8" s="2" t="str">
        <f t="shared" si="2"/>
        <v>No</v>
      </c>
      <c r="J8" s="2">
        <f t="shared" si="3"/>
        <v>12.571771873725996</v>
      </c>
      <c r="K8" s="2">
        <f t="shared" si="4"/>
        <v>13.77276461802945</v>
      </c>
      <c r="L8" s="2" t="str">
        <f t="shared" si="5"/>
        <v>Yes</v>
      </c>
    </row>
    <row r="9" spans="1:12">
      <c r="A9" s="15">
        <v>92</v>
      </c>
      <c r="B9" s="2">
        <v>100</v>
      </c>
      <c r="C9" s="9">
        <v>0.03</v>
      </c>
      <c r="D9" s="2">
        <v>0.2</v>
      </c>
      <c r="E9" s="2">
        <v>2</v>
      </c>
      <c r="F9" s="2">
        <v>100</v>
      </c>
      <c r="G9" s="2">
        <f t="shared" si="0"/>
        <v>9.4388782299183145</v>
      </c>
      <c r="H9" s="2">
        <f t="shared" si="1"/>
        <v>9.4388782299183145</v>
      </c>
      <c r="I9" s="2" t="str">
        <f t="shared" si="2"/>
        <v>No</v>
      </c>
      <c r="J9" s="2">
        <f t="shared" si="3"/>
        <v>11.615331588343455</v>
      </c>
      <c r="K9" s="2">
        <f t="shared" si="4"/>
        <v>12.666022582046025</v>
      </c>
      <c r="L9" s="2" t="str">
        <f t="shared" si="5"/>
        <v>Yes</v>
      </c>
    </row>
    <row r="10" spans="1:12">
      <c r="A10" s="15">
        <v>94</v>
      </c>
      <c r="B10" s="2">
        <v>100</v>
      </c>
      <c r="C10" s="9">
        <v>0.03</v>
      </c>
      <c r="D10" s="2">
        <v>0.2</v>
      </c>
      <c r="E10" s="2">
        <v>2</v>
      </c>
      <c r="F10" s="2">
        <v>100</v>
      </c>
      <c r="G10" s="2">
        <f t="shared" si="0"/>
        <v>10.482437944535773</v>
      </c>
      <c r="H10" s="2">
        <f t="shared" si="1"/>
        <v>10.482437944535773</v>
      </c>
      <c r="I10" s="2" t="str">
        <f t="shared" si="2"/>
        <v>No</v>
      </c>
      <c r="J10" s="2">
        <f t="shared" si="3"/>
        <v>10.658891302960916</v>
      </c>
      <c r="K10" s="2">
        <f t="shared" si="4"/>
        <v>11.600420219952182</v>
      </c>
      <c r="L10" s="2" t="str">
        <f t="shared" si="5"/>
        <v>Yes</v>
      </c>
    </row>
    <row r="11" spans="1:12">
      <c r="A11" s="15">
        <v>96</v>
      </c>
      <c r="B11" s="2">
        <v>100</v>
      </c>
      <c r="C11" s="9">
        <v>0.03</v>
      </c>
      <c r="D11" s="2">
        <v>0.2</v>
      </c>
      <c r="E11" s="2">
        <v>2</v>
      </c>
      <c r="F11" s="2">
        <v>100</v>
      </c>
      <c r="G11" s="2">
        <f t="shared" si="0"/>
        <v>11.643992868401986</v>
      </c>
      <c r="H11" s="2">
        <f t="shared" si="1"/>
        <v>11.643992868401986</v>
      </c>
      <c r="I11" s="2" t="str">
        <f t="shared" si="2"/>
        <v>No</v>
      </c>
      <c r="J11" s="2">
        <f t="shared" si="3"/>
        <v>9.8204462268271229</v>
      </c>
      <c r="K11" s="2">
        <f t="shared" si="4"/>
        <v>10.637225192913455</v>
      </c>
      <c r="L11" s="2" t="str">
        <f t="shared" si="5"/>
        <v>Yes</v>
      </c>
    </row>
    <row r="12" spans="1:12">
      <c r="A12" s="15">
        <v>98</v>
      </c>
      <c r="B12" s="2">
        <v>100</v>
      </c>
      <c r="C12" s="9">
        <v>0.03</v>
      </c>
      <c r="D12" s="2">
        <v>0.2</v>
      </c>
      <c r="E12" s="2">
        <v>2</v>
      </c>
      <c r="F12" s="2">
        <v>100</v>
      </c>
      <c r="G12" s="2">
        <f t="shared" si="0"/>
        <v>12.844897460759652</v>
      </c>
      <c r="H12" s="2">
        <f t="shared" si="1"/>
        <v>12.844897460759652</v>
      </c>
      <c r="I12" s="2" t="str">
        <f t="shared" si="2"/>
        <v>No</v>
      </c>
      <c r="J12" s="2">
        <f t="shared" si="3"/>
        <v>9.0213508191847875</v>
      </c>
      <c r="K12" s="2">
        <f t="shared" si="4"/>
        <v>9.7427722560601211</v>
      </c>
      <c r="L12" s="2" t="str">
        <f t="shared" si="5"/>
        <v>Yes</v>
      </c>
    </row>
    <row r="13" spans="1:12">
      <c r="A13" s="15">
        <v>100</v>
      </c>
      <c r="B13" s="10">
        <v>100</v>
      </c>
      <c r="C13" s="11">
        <v>0.03</v>
      </c>
      <c r="D13" s="2">
        <v>0.2</v>
      </c>
      <c r="E13" s="2">
        <v>2</v>
      </c>
      <c r="F13" s="2">
        <v>100</v>
      </c>
      <c r="G13" s="2">
        <f t="shared" si="0"/>
        <v>14.04580205311731</v>
      </c>
      <c r="H13" s="2">
        <f t="shared" si="1"/>
        <v>14.04580205311731</v>
      </c>
      <c r="I13" s="2" t="str">
        <f t="shared" si="2"/>
        <v>No</v>
      </c>
      <c r="J13" s="2">
        <f t="shared" si="3"/>
        <v>8.2222554115424451</v>
      </c>
      <c r="K13" s="2">
        <f t="shared" si="4"/>
        <v>8.8744196625219889</v>
      </c>
      <c r="L13" s="2" t="str">
        <f t="shared" si="5"/>
        <v>Yes</v>
      </c>
    </row>
    <row r="14" spans="1:12">
      <c r="A14" s="15">
        <v>100</v>
      </c>
      <c r="B14" s="10">
        <v>100</v>
      </c>
      <c r="C14" s="11">
        <v>0.04</v>
      </c>
      <c r="D14" s="2">
        <v>0.2</v>
      </c>
      <c r="E14" s="2">
        <v>2</v>
      </c>
      <c r="F14" s="2">
        <v>100</v>
      </c>
      <c r="G14" s="2">
        <f t="shared" si="0"/>
        <v>15.05672229385684</v>
      </c>
      <c r="H14" s="2">
        <f t="shared" si="1"/>
        <v>15.05672229385684</v>
      </c>
      <c r="I14" s="2" t="str">
        <f t="shared" si="2"/>
        <v>No</v>
      </c>
      <c r="J14" s="2">
        <f t="shared" si="3"/>
        <v>7.3683569325208405</v>
      </c>
      <c r="K14" s="2">
        <f t="shared" si="4"/>
        <v>8.262993561934616</v>
      </c>
      <c r="L14" s="2" t="str">
        <f t="shared" si="5"/>
        <v>Yes</v>
      </c>
    </row>
    <row r="15" spans="1:12">
      <c r="A15" s="15">
        <v>100</v>
      </c>
      <c r="B15" s="10">
        <v>100</v>
      </c>
      <c r="C15" s="11">
        <v>0.05</v>
      </c>
      <c r="D15" s="2">
        <v>0.2</v>
      </c>
      <c r="E15" s="2">
        <v>2</v>
      </c>
      <c r="F15" s="2">
        <v>100</v>
      </c>
      <c r="G15" s="2">
        <f t="shared" si="0"/>
        <v>16.098572203636145</v>
      </c>
      <c r="H15" s="2">
        <f t="shared" si="1"/>
        <v>16.098572203636145</v>
      </c>
      <c r="I15" s="2" t="str">
        <f t="shared" si="2"/>
        <v>No</v>
      </c>
      <c r="J15" s="2">
        <f t="shared" si="3"/>
        <v>6.5823140072316422</v>
      </c>
      <c r="K15" s="2">
        <f t="shared" si="4"/>
        <v>7.7116778853651615</v>
      </c>
      <c r="L15" s="2" t="str">
        <f t="shared" si="5"/>
        <v>Yes</v>
      </c>
    </row>
    <row r="16" spans="1:12">
      <c r="A16" s="15">
        <v>100</v>
      </c>
      <c r="B16" s="10">
        <v>100</v>
      </c>
      <c r="C16" s="9">
        <v>0.03</v>
      </c>
      <c r="D16" s="12">
        <v>0.1</v>
      </c>
      <c r="E16" s="2">
        <v>2</v>
      </c>
      <c r="F16" s="2">
        <v>100</v>
      </c>
      <c r="G16" s="2">
        <f t="shared" si="0"/>
        <v>8.8544293953626649</v>
      </c>
      <c r="H16" s="2">
        <f t="shared" si="1"/>
        <v>8.8544293953626649</v>
      </c>
      <c r="I16" s="2" t="str">
        <f t="shared" si="2"/>
        <v>No</v>
      </c>
      <c r="J16" s="2">
        <f t="shared" si="3"/>
        <v>3.0308827537878131</v>
      </c>
      <c r="K16" s="2">
        <f t="shared" si="4"/>
        <v>3.6650950736005066</v>
      </c>
      <c r="L16" s="2" t="str">
        <f t="shared" si="5"/>
        <v>Yes</v>
      </c>
    </row>
    <row r="17" spans="1:12">
      <c r="A17" s="15">
        <v>100</v>
      </c>
      <c r="B17" s="10">
        <v>100</v>
      </c>
      <c r="C17" s="9">
        <v>0.03</v>
      </c>
      <c r="D17" s="12">
        <v>0.2</v>
      </c>
      <c r="E17" s="2">
        <v>2</v>
      </c>
      <c r="F17" s="2">
        <v>100</v>
      </c>
      <c r="G17" s="2">
        <f t="shared" si="0"/>
        <v>14.04580205311731</v>
      </c>
      <c r="H17" s="2">
        <f t="shared" si="1"/>
        <v>14.04580205311731</v>
      </c>
      <c r="I17" s="2" t="str">
        <f t="shared" si="2"/>
        <v>No</v>
      </c>
      <c r="J17" s="2">
        <f t="shared" si="3"/>
        <v>8.2222554115424451</v>
      </c>
      <c r="K17" s="2">
        <f t="shared" si="4"/>
        <v>8.8744196625219889</v>
      </c>
      <c r="L17" s="2" t="str">
        <f t="shared" si="5"/>
        <v>Yes</v>
      </c>
    </row>
    <row r="18" spans="1:12">
      <c r="A18" s="15">
        <v>100</v>
      </c>
      <c r="B18" s="10">
        <v>100</v>
      </c>
      <c r="C18" s="9">
        <v>0.03</v>
      </c>
      <c r="D18" s="12">
        <v>0.3</v>
      </c>
      <c r="E18" s="2">
        <v>2</v>
      </c>
      <c r="F18" s="2">
        <v>100</v>
      </c>
      <c r="G18" s="2">
        <f t="shared" si="0"/>
        <v>19.341459523978703</v>
      </c>
      <c r="H18" s="2">
        <f t="shared" si="1"/>
        <v>19.341459523978703</v>
      </c>
      <c r="I18" s="2" t="str">
        <f t="shared" si="2"/>
        <v>No</v>
      </c>
      <c r="J18" s="2">
        <f t="shared" si="3"/>
        <v>13.517912882403824</v>
      </c>
      <c r="K18" s="2">
        <f t="shared" si="4"/>
        <v>14.187693988945769</v>
      </c>
      <c r="L18" s="2" t="str">
        <f t="shared" si="5"/>
        <v>Yes</v>
      </c>
    </row>
    <row r="19" spans="1:12">
      <c r="A19" s="15">
        <v>100</v>
      </c>
      <c r="B19" s="10">
        <v>100</v>
      </c>
      <c r="C19" s="9">
        <v>0.03</v>
      </c>
      <c r="D19" s="2">
        <v>0.2</v>
      </c>
      <c r="E19" s="13">
        <v>1</v>
      </c>
      <c r="F19" s="2">
        <v>100</v>
      </c>
      <c r="G19" s="2">
        <f t="shared" si="0"/>
        <v>9.3935956242524341</v>
      </c>
      <c r="H19" s="2">
        <f t="shared" si="1"/>
        <v>9.3935956242524341</v>
      </c>
      <c r="I19" s="2" t="str">
        <f t="shared" si="2"/>
        <v>No</v>
      </c>
      <c r="J19" s="2">
        <f t="shared" si="3"/>
        <v>6.438148979103457</v>
      </c>
      <c r="K19" s="2">
        <f t="shared" si="4"/>
        <v>6.7331796764382794</v>
      </c>
      <c r="L19" s="2" t="str">
        <f t="shared" si="5"/>
        <v>Yes</v>
      </c>
    </row>
    <row r="20" spans="1:12">
      <c r="A20" s="15">
        <v>100</v>
      </c>
      <c r="B20" s="10">
        <v>100</v>
      </c>
      <c r="C20" s="9">
        <v>0.03</v>
      </c>
      <c r="D20" s="2">
        <v>0.2</v>
      </c>
      <c r="E20" s="13">
        <v>2</v>
      </c>
      <c r="F20" s="2">
        <v>100</v>
      </c>
      <c r="G20" s="2">
        <f t="shared" si="0"/>
        <v>14.04580205311731</v>
      </c>
      <c r="H20" s="2">
        <f t="shared" si="1"/>
        <v>14.04580205311731</v>
      </c>
      <c r="I20" s="2" t="str">
        <f t="shared" si="2"/>
        <v>No</v>
      </c>
      <c r="J20" s="2">
        <f t="shared" si="3"/>
        <v>8.2222554115424451</v>
      </c>
      <c r="K20" s="2">
        <f t="shared" si="4"/>
        <v>8.8744196625219889</v>
      </c>
      <c r="L20" s="2" t="str">
        <f t="shared" si="5"/>
        <v>Yes</v>
      </c>
    </row>
    <row r="21" spans="1:12">
      <c r="A21" s="15">
        <v>100</v>
      </c>
      <c r="B21" s="10">
        <v>100</v>
      </c>
      <c r="C21" s="9">
        <v>0.03</v>
      </c>
      <c r="D21" s="2">
        <v>0.2</v>
      </c>
      <c r="E21" s="13">
        <v>3</v>
      </c>
      <c r="F21" s="2">
        <v>100</v>
      </c>
      <c r="G21" s="2">
        <f t="shared" si="0"/>
        <v>17.865674621863931</v>
      </c>
      <c r="H21" s="2">
        <f t="shared" si="1"/>
        <v>17.865674621863931</v>
      </c>
      <c r="I21" s="2" t="str">
        <f t="shared" si="2"/>
        <v>No</v>
      </c>
      <c r="J21" s="2">
        <f t="shared" si="3"/>
        <v>9.2587931489867721</v>
      </c>
      <c r="K21" s="2">
        <f t="shared" si="4"/>
        <v>10.292725590307079</v>
      </c>
      <c r="L21" s="2" t="str">
        <f t="shared" si="5"/>
        <v>Yes</v>
      </c>
    </row>
    <row r="22" spans="1:12">
      <c r="A22" s="15">
        <v>100</v>
      </c>
      <c r="B22" s="10">
        <v>100</v>
      </c>
      <c r="C22" s="9">
        <v>0.03</v>
      </c>
      <c r="D22" s="2">
        <v>0.2</v>
      </c>
      <c r="E22" s="2">
        <v>2</v>
      </c>
      <c r="F22" s="14">
        <v>50</v>
      </c>
      <c r="G22" s="2">
        <f t="shared" si="0"/>
        <v>14.018039936982722</v>
      </c>
      <c r="H22" s="2">
        <f>BinaryTree_call("a",A22,D22,C22,0,E22,B22,F22)</f>
        <v>14.018039936982722</v>
      </c>
      <c r="I22" s="2" t="str">
        <f t="shared" si="2"/>
        <v>No</v>
      </c>
      <c r="J22" s="2">
        <f t="shared" si="3"/>
        <v>8.1944932954078062</v>
      </c>
      <c r="K22" s="2">
        <f t="shared" si="4"/>
        <v>8.8618111808869067</v>
      </c>
      <c r="L22" s="2" t="str">
        <f t="shared" si="5"/>
        <v>Yes</v>
      </c>
    </row>
    <row r="23" spans="1:12">
      <c r="A23" s="15">
        <v>100</v>
      </c>
      <c r="B23" s="10">
        <v>100</v>
      </c>
      <c r="C23" s="9">
        <v>0.03</v>
      </c>
      <c r="D23" s="2">
        <v>0.2</v>
      </c>
      <c r="E23" s="2">
        <v>2</v>
      </c>
      <c r="F23" s="14">
        <v>100</v>
      </c>
      <c r="G23" s="2">
        <f t="shared" si="0"/>
        <v>14.04580205311731</v>
      </c>
      <c r="H23" s="2">
        <f t="shared" si="1"/>
        <v>14.04580205311731</v>
      </c>
      <c r="I23" s="2" t="str">
        <f t="shared" si="2"/>
        <v>No</v>
      </c>
      <c r="J23" s="2">
        <f t="shared" si="3"/>
        <v>8.2222554115424451</v>
      </c>
      <c r="K23" s="2">
        <f t="shared" si="4"/>
        <v>8.8744196625219889</v>
      </c>
      <c r="L23" s="2" t="str">
        <f t="shared" si="5"/>
        <v>Yes</v>
      </c>
    </row>
    <row r="24" spans="1:12">
      <c r="A24" s="15">
        <v>100</v>
      </c>
      <c r="B24" s="10">
        <v>100</v>
      </c>
      <c r="C24" s="9">
        <v>0.03</v>
      </c>
      <c r="D24" s="2">
        <v>0.2</v>
      </c>
      <c r="E24" s="2">
        <v>2</v>
      </c>
      <c r="F24" s="14">
        <v>150</v>
      </c>
      <c r="G24" s="2">
        <f t="shared" si="0"/>
        <v>14.055072262119277</v>
      </c>
      <c r="H24" s="2">
        <f t="shared" si="1"/>
        <v>14.055072262119277</v>
      </c>
      <c r="I24" s="2" t="str">
        <f t="shared" si="2"/>
        <v>No</v>
      </c>
      <c r="J24" s="2">
        <f t="shared" si="3"/>
        <v>8.2315256205427829</v>
      </c>
      <c r="K24" s="2">
        <f t="shared" si="4"/>
        <v>8.8785594285947607</v>
      </c>
      <c r="L24" s="2" t="str">
        <f t="shared" si="5"/>
        <v>Yes</v>
      </c>
    </row>
    <row r="25" spans="1:12">
      <c r="A25" s="15">
        <v>102</v>
      </c>
      <c r="B25" s="16">
        <v>100</v>
      </c>
      <c r="C25" s="9">
        <v>0.03</v>
      </c>
      <c r="D25" s="2">
        <v>0.2</v>
      </c>
      <c r="E25" s="2">
        <v>2</v>
      </c>
      <c r="F25" s="2">
        <v>100</v>
      </c>
      <c r="G25" s="2">
        <f t="shared" si="0"/>
        <v>15.396240500887378</v>
      </c>
      <c r="H25" s="2">
        <f t="shared" si="1"/>
        <v>15.396240500887378</v>
      </c>
      <c r="I25" s="2" t="str">
        <f t="shared" si="2"/>
        <v>No</v>
      </c>
      <c r="J25" s="2">
        <f t="shared" si="3"/>
        <v>7.5726938593125119</v>
      </c>
      <c r="K25" s="2">
        <f t="shared" si="4"/>
        <v>8.1295532615297432</v>
      </c>
      <c r="L25" s="2" t="str">
        <f t="shared" si="5"/>
        <v>Yes</v>
      </c>
    </row>
    <row r="26" spans="1:12">
      <c r="A26" s="15">
        <v>104</v>
      </c>
      <c r="B26" s="16">
        <v>100</v>
      </c>
      <c r="C26" s="9">
        <v>0.03</v>
      </c>
      <c r="D26" s="2">
        <v>0.2</v>
      </c>
      <c r="E26" s="2">
        <v>2</v>
      </c>
      <c r="F26" s="2">
        <v>100</v>
      </c>
      <c r="G26" s="2">
        <f t="shared" si="0"/>
        <v>16.746678948657468</v>
      </c>
      <c r="H26" s="2">
        <f t="shared" si="1"/>
        <v>16.746678948657468</v>
      </c>
      <c r="I26" s="2" t="str">
        <f t="shared" si="2"/>
        <v>No</v>
      </c>
      <c r="J26" s="2">
        <f t="shared" si="3"/>
        <v>6.9231323070825992</v>
      </c>
      <c r="K26" s="2">
        <f t="shared" si="4"/>
        <v>7.4181610987189739</v>
      </c>
      <c r="L26" s="2" t="str">
        <f t="shared" si="5"/>
        <v>Yes</v>
      </c>
    </row>
    <row r="27" spans="1:12">
      <c r="A27" s="15">
        <v>106</v>
      </c>
      <c r="B27" s="16">
        <v>100</v>
      </c>
      <c r="C27" s="9">
        <v>0.03</v>
      </c>
      <c r="D27" s="2">
        <v>0.2</v>
      </c>
      <c r="E27" s="2">
        <v>2</v>
      </c>
      <c r="F27" s="2">
        <v>100</v>
      </c>
      <c r="G27" s="2">
        <f t="shared" si="0"/>
        <v>18.10941654700671</v>
      </c>
      <c r="H27" s="2">
        <f t="shared" si="1"/>
        <v>18.10941654700671</v>
      </c>
      <c r="I27" s="2" t="str">
        <f t="shared" si="2"/>
        <v>No</v>
      </c>
      <c r="J27" s="2">
        <f t="shared" si="3"/>
        <v>6.2858699054318476</v>
      </c>
      <c r="K27" s="2">
        <f t="shared" si="4"/>
        <v>6.7297095635576722</v>
      </c>
      <c r="L27" s="2" t="str">
        <f t="shared" si="5"/>
        <v>Yes</v>
      </c>
    </row>
    <row r="28" spans="1:12">
      <c r="A28" s="15">
        <v>108</v>
      </c>
      <c r="B28" s="16">
        <v>100</v>
      </c>
      <c r="C28" s="9">
        <v>0.03</v>
      </c>
      <c r="D28" s="2">
        <v>0.2</v>
      </c>
      <c r="E28" s="2">
        <v>2</v>
      </c>
      <c r="F28" s="2">
        <v>100</v>
      </c>
      <c r="G28" s="2">
        <f t="shared" si="0"/>
        <v>19.596447260455214</v>
      </c>
      <c r="H28" s="2">
        <f t="shared" si="1"/>
        <v>19.596447260455214</v>
      </c>
      <c r="I28" s="2" t="str">
        <f t="shared" si="2"/>
        <v>No</v>
      </c>
      <c r="J28" s="2">
        <f t="shared" si="3"/>
        <v>5.7729006188803531</v>
      </c>
      <c r="K28" s="2">
        <f t="shared" si="4"/>
        <v>6.1528302863289088</v>
      </c>
      <c r="L28" s="2" t="str">
        <f t="shared" si="5"/>
        <v>Yes</v>
      </c>
    </row>
    <row r="29" spans="1:12">
      <c r="A29" s="15">
        <v>110</v>
      </c>
      <c r="B29" s="16">
        <v>100</v>
      </c>
      <c r="C29" s="9">
        <v>0.03</v>
      </c>
      <c r="D29" s="2">
        <v>0.2</v>
      </c>
      <c r="E29" s="2">
        <v>2</v>
      </c>
      <c r="F29" s="2">
        <v>100</v>
      </c>
      <c r="G29" s="2">
        <f t="shared" si="0"/>
        <v>21.083477973903733</v>
      </c>
      <c r="H29" s="2">
        <f t="shared" si="1"/>
        <v>21.083477973903733</v>
      </c>
      <c r="I29" s="2" t="str">
        <f t="shared" si="2"/>
        <v>No</v>
      </c>
      <c r="J29" s="2">
        <f t="shared" si="3"/>
        <v>5.2599313323288648</v>
      </c>
      <c r="K29" s="2">
        <f t="shared" si="4"/>
        <v>5.5984016936918737</v>
      </c>
      <c r="L29" s="2" t="str">
        <f t="shared" si="5"/>
        <v>Yes</v>
      </c>
    </row>
    <row r="30" spans="1:12">
      <c r="A30" s="15">
        <v>112</v>
      </c>
      <c r="B30" s="16">
        <v>100</v>
      </c>
      <c r="C30" s="9">
        <v>0.03</v>
      </c>
      <c r="D30" s="2">
        <v>0.2</v>
      </c>
      <c r="E30" s="2">
        <v>2</v>
      </c>
      <c r="F30" s="2">
        <v>100</v>
      </c>
      <c r="G30" s="2">
        <f t="shared" si="0"/>
        <v>22.571795301257403</v>
      </c>
      <c r="H30" s="2">
        <f t="shared" si="1"/>
        <v>22.571795301257403</v>
      </c>
      <c r="I30" s="2" t="str">
        <f t="shared" si="2"/>
        <v>No</v>
      </c>
      <c r="J30" s="2">
        <f t="shared" si="3"/>
        <v>4.7482486596825382</v>
      </c>
      <c r="K30" s="2">
        <f t="shared" si="4"/>
        <v>5.0562107427935619</v>
      </c>
      <c r="L30" s="2" t="str">
        <f t="shared" si="5"/>
        <v>Yes</v>
      </c>
    </row>
    <row r="31" spans="1:12">
      <c r="A31" s="15">
        <v>114</v>
      </c>
      <c r="B31" s="16">
        <v>100</v>
      </c>
      <c r="C31" s="9">
        <v>0.03</v>
      </c>
      <c r="D31" s="2">
        <v>0.2</v>
      </c>
      <c r="E31" s="2">
        <v>2</v>
      </c>
      <c r="F31" s="2">
        <v>100</v>
      </c>
      <c r="G31" s="2">
        <f t="shared" si="0"/>
        <v>24.178749873657395</v>
      </c>
      <c r="H31" s="2">
        <f t="shared" si="1"/>
        <v>24.178749873657395</v>
      </c>
      <c r="I31" s="2" t="str">
        <f t="shared" si="2"/>
        <v>No</v>
      </c>
      <c r="J31" s="2">
        <f t="shared" si="3"/>
        <v>4.3552032320825234</v>
      </c>
      <c r="K31" s="2">
        <f t="shared" si="4"/>
        <v>4.6142865584138351</v>
      </c>
      <c r="L31" s="2" t="str">
        <f t="shared" si="5"/>
        <v>Yes</v>
      </c>
    </row>
    <row r="32" spans="1:12">
      <c r="A32" s="15">
        <v>116</v>
      </c>
      <c r="B32" s="16">
        <v>100</v>
      </c>
      <c r="C32" s="9">
        <v>0.03</v>
      </c>
      <c r="D32" s="2">
        <v>0.2</v>
      </c>
      <c r="E32" s="2">
        <v>2</v>
      </c>
      <c r="F32" s="2">
        <v>100</v>
      </c>
      <c r="G32" s="2">
        <f t="shared" si="0"/>
        <v>25.785704446057373</v>
      </c>
      <c r="H32" s="2">
        <f t="shared" si="1"/>
        <v>25.785704446057373</v>
      </c>
      <c r="I32" s="2" t="str">
        <f t="shared" si="2"/>
        <v>No</v>
      </c>
      <c r="J32" s="2">
        <f t="shared" si="3"/>
        <v>3.9621578044825077</v>
      </c>
      <c r="K32" s="2">
        <f t="shared" si="4"/>
        <v>4.1924307774884868</v>
      </c>
      <c r="L32" s="2" t="str">
        <f t="shared" si="5"/>
        <v>Yes</v>
      </c>
    </row>
    <row r="33" spans="1:12">
      <c r="A33" s="15">
        <v>118</v>
      </c>
      <c r="B33" s="16">
        <v>100</v>
      </c>
      <c r="C33" s="9">
        <v>0.03</v>
      </c>
      <c r="D33" s="2">
        <v>0.2</v>
      </c>
      <c r="E33" s="2">
        <v>2</v>
      </c>
      <c r="F33" s="2">
        <v>100</v>
      </c>
      <c r="G33" s="2">
        <f t="shared" si="0"/>
        <v>27.392659018457351</v>
      </c>
      <c r="H33" s="2">
        <f t="shared" si="1"/>
        <v>27.392659018457351</v>
      </c>
      <c r="I33" s="2" t="str">
        <f t="shared" si="2"/>
        <v>No</v>
      </c>
      <c r="J33" s="2">
        <f t="shared" si="3"/>
        <v>3.5691123768824888</v>
      </c>
      <c r="K33" s="2">
        <f t="shared" si="4"/>
        <v>3.7790370639743194</v>
      </c>
      <c r="L33" s="2" t="str">
        <f t="shared" si="5"/>
        <v>Yes</v>
      </c>
    </row>
    <row r="34" spans="1:12">
      <c r="A34" s="15">
        <v>120</v>
      </c>
      <c r="B34" s="16">
        <v>100</v>
      </c>
      <c r="C34" s="9">
        <v>0.03</v>
      </c>
      <c r="D34" s="2">
        <v>0.2</v>
      </c>
      <c r="E34" s="2">
        <v>2</v>
      </c>
      <c r="F34" s="2">
        <v>100</v>
      </c>
      <c r="G34" s="2">
        <f t="shared" si="0"/>
        <v>29.07573232819604</v>
      </c>
      <c r="H34" s="2">
        <f t="shared" si="1"/>
        <v>29.07573232819604</v>
      </c>
      <c r="I34" s="2" t="str">
        <f t="shared" si="2"/>
        <v>No</v>
      </c>
      <c r="J34" s="2">
        <f t="shared" si="3"/>
        <v>3.2521856866211709</v>
      </c>
      <c r="K34" s="2">
        <f t="shared" si="4"/>
        <v>3.4295616257894528</v>
      </c>
      <c r="L34" s="2" t="str">
        <f t="shared" si="5"/>
        <v>Yes</v>
      </c>
    </row>
    <row r="36" spans="1:12">
      <c r="A36" s="2" t="s">
        <v>20</v>
      </c>
      <c r="B36" s="2" t="s">
        <v>21</v>
      </c>
      <c r="C36" s="2" t="s">
        <v>25</v>
      </c>
      <c r="D36" s="2" t="s">
        <v>26</v>
      </c>
      <c r="E36" s="2" t="s">
        <v>28</v>
      </c>
      <c r="F36" s="2" t="s">
        <v>31</v>
      </c>
      <c r="G36" s="2" t="s">
        <v>43</v>
      </c>
    </row>
    <row r="37" spans="1:12">
      <c r="A37" s="2" t="s">
        <v>22</v>
      </c>
      <c r="B37" s="2" t="s">
        <v>23</v>
      </c>
      <c r="C37" s="2" t="s">
        <v>24</v>
      </c>
      <c r="D37" s="2" t="s">
        <v>27</v>
      </c>
      <c r="E37" s="2" t="s">
        <v>29</v>
      </c>
      <c r="F37" s="2" t="s">
        <v>30</v>
      </c>
      <c r="G37" s="2" t="s">
        <v>44</v>
      </c>
    </row>
    <row r="38" spans="1:12">
      <c r="A38" s="15">
        <v>100</v>
      </c>
      <c r="B38" s="10">
        <v>100</v>
      </c>
      <c r="C38" s="9">
        <v>0.03</v>
      </c>
      <c r="D38" s="2">
        <v>0.2</v>
      </c>
      <c r="E38" s="2">
        <v>2</v>
      </c>
      <c r="F38" s="2">
        <v>50</v>
      </c>
      <c r="G38" s="17">
        <v>0.05</v>
      </c>
    </row>
    <row r="39" spans="1:12">
      <c r="A39" s="15">
        <v>100</v>
      </c>
      <c r="B39" s="10">
        <v>100</v>
      </c>
      <c r="C39" s="9">
        <v>0.03</v>
      </c>
      <c r="D39" s="2">
        <v>0.2</v>
      </c>
      <c r="E39" s="2">
        <v>2</v>
      </c>
      <c r="F39" s="2">
        <v>100</v>
      </c>
      <c r="G39" s="17">
        <v>0.1</v>
      </c>
    </row>
    <row r="40" spans="1:12">
      <c r="A40" s="15">
        <v>100</v>
      </c>
      <c r="B40" s="10">
        <v>100</v>
      </c>
      <c r="C40" s="9">
        <v>0.03</v>
      </c>
      <c r="D40" s="2">
        <v>0.2</v>
      </c>
      <c r="E40" s="2">
        <v>2</v>
      </c>
      <c r="F40" s="2">
        <v>150</v>
      </c>
      <c r="G40" s="17">
        <v>0.15</v>
      </c>
    </row>
    <row r="41" spans="1:12">
      <c r="A41" s="15">
        <v>100</v>
      </c>
      <c r="B41" s="10">
        <v>100</v>
      </c>
      <c r="C41" s="9">
        <v>0.03</v>
      </c>
      <c r="D41" s="2">
        <v>0.2</v>
      </c>
      <c r="E41" s="2">
        <v>2</v>
      </c>
      <c r="F41" s="2">
        <v>100</v>
      </c>
      <c r="G41" s="17">
        <v>0.2</v>
      </c>
    </row>
    <row r="42" spans="1:12">
      <c r="A42" s="15">
        <v>100</v>
      </c>
      <c r="B42" s="10">
        <v>100</v>
      </c>
      <c r="C42" s="9">
        <v>0.03</v>
      </c>
      <c r="D42" s="2">
        <v>0.2</v>
      </c>
      <c r="E42" s="2">
        <v>2</v>
      </c>
      <c r="F42" s="2">
        <v>150</v>
      </c>
      <c r="G42" s="17">
        <v>0.25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3CE3E-7C30-4C9F-B377-163494254632}">
  <dimension ref="A1:P58"/>
  <sheetViews>
    <sheetView topLeftCell="F12" workbookViewId="0">
      <selection activeCell="P15" sqref="P15"/>
    </sheetView>
  </sheetViews>
  <sheetFormatPr defaultRowHeight="14.4"/>
  <cols>
    <col min="1" max="1" width="13.88671875" bestFit="1" customWidth="1"/>
    <col min="3" max="3" width="11.6640625" bestFit="1" customWidth="1"/>
    <col min="5" max="5" width="15" bestFit="1" customWidth="1"/>
    <col min="6" max="6" width="11.6640625" bestFit="1" customWidth="1"/>
    <col min="7" max="10" width="14.88671875" customWidth="1"/>
    <col min="11" max="11" width="30.88671875" bestFit="1" customWidth="1"/>
    <col min="12" max="13" width="15.88671875" bestFit="1" customWidth="1"/>
    <col min="14" max="14" width="15.109375" customWidth="1"/>
    <col min="15" max="15" width="14.88671875" customWidth="1"/>
    <col min="16" max="16" width="30.88671875" bestFit="1" customWidth="1"/>
  </cols>
  <sheetData>
    <row r="1" spans="1:16">
      <c r="A1" s="2" t="s">
        <v>20</v>
      </c>
      <c r="B1" s="2" t="s">
        <v>21</v>
      </c>
      <c r="C1" s="2" t="s">
        <v>25</v>
      </c>
      <c r="D1" s="2" t="s">
        <v>26</v>
      </c>
      <c r="E1" s="2" t="s">
        <v>28</v>
      </c>
      <c r="F1" s="2" t="s">
        <v>31</v>
      </c>
      <c r="G1" s="2" t="s">
        <v>32</v>
      </c>
      <c r="H1" s="2" t="s">
        <v>34</v>
      </c>
      <c r="I1" s="2" t="s">
        <v>47</v>
      </c>
      <c r="J1" s="2" t="s">
        <v>46</v>
      </c>
      <c r="K1" s="2" t="s">
        <v>45</v>
      </c>
      <c r="L1" s="2" t="s">
        <v>40</v>
      </c>
      <c r="M1" s="2" t="s">
        <v>39</v>
      </c>
      <c r="N1" s="2" t="s">
        <v>51</v>
      </c>
      <c r="O1" s="2" t="s">
        <v>52</v>
      </c>
      <c r="P1" s="2" t="s">
        <v>50</v>
      </c>
    </row>
    <row r="2" spans="1:16">
      <c r="A2" s="2" t="s">
        <v>22</v>
      </c>
      <c r="B2" s="2" t="s">
        <v>23</v>
      </c>
      <c r="C2" s="2" t="s">
        <v>24</v>
      </c>
      <c r="D2" s="2" t="s">
        <v>27</v>
      </c>
      <c r="E2" s="2" t="s">
        <v>29</v>
      </c>
      <c r="F2" s="2" t="s">
        <v>30</v>
      </c>
      <c r="G2" s="2" t="s">
        <v>33</v>
      </c>
      <c r="H2" s="2" t="s">
        <v>35</v>
      </c>
      <c r="I2" s="2" t="s">
        <v>49</v>
      </c>
      <c r="J2" s="2" t="s">
        <v>48</v>
      </c>
      <c r="K2" s="2" t="s">
        <v>37</v>
      </c>
      <c r="L2" s="2" t="s">
        <v>41</v>
      </c>
      <c r="M2" s="2" t="s">
        <v>42</v>
      </c>
      <c r="N2" s="2" t="s">
        <v>49</v>
      </c>
      <c r="O2" s="2" t="s">
        <v>48</v>
      </c>
      <c r="P2" s="2" t="s">
        <v>37</v>
      </c>
    </row>
    <row r="3" spans="1:16">
      <c r="A3" s="15">
        <v>80</v>
      </c>
      <c r="B3" s="2">
        <v>100</v>
      </c>
      <c r="C3" s="9">
        <v>0.03</v>
      </c>
      <c r="D3" s="2">
        <v>0.2</v>
      </c>
      <c r="E3" s="2">
        <v>2</v>
      </c>
      <c r="F3" s="2">
        <v>100</v>
      </c>
      <c r="G3" s="2">
        <f>BinaryTree_call("e",A3,D3,C3,0,E3,B3,F3)</f>
        <v>4.2573373087825583</v>
      </c>
      <c r="H3" s="2">
        <f>BinaryTree_call("a",A3,D3,C3,0,E3,B3,F3)</f>
        <v>4.2573373087825583</v>
      </c>
      <c r="I3" s="2">
        <f>MAX(A3-B3*EXP(-C3*E3),0)</f>
        <v>0</v>
      </c>
      <c r="J3" s="2">
        <f>A3</f>
        <v>80</v>
      </c>
      <c r="K3" s="2" t="str">
        <f>IF(AND(表1_3[[#This Row],[美式看涨期权]]&gt;表1_3[[#This Row],[下限]],表1_3[[#This Row],[美式看涨期权]]&lt;表1_3[[#This Row],[上限]]),"Yes","No")</f>
        <v>Yes</v>
      </c>
      <c r="L3" s="2">
        <f>BinaryTree_put("e",A3,D3,C3,0,E3,B3,F3)</f>
        <v>18.433790667207703</v>
      </c>
      <c r="M3" s="2">
        <f>BinaryTree_put("a",A3,D3,C3,0,E3,B3,F3)</f>
        <v>20.694256730881097</v>
      </c>
      <c r="N3" s="2">
        <f>MAX(B3-A3,0)</f>
        <v>20</v>
      </c>
      <c r="O3" s="2">
        <f>B3</f>
        <v>100</v>
      </c>
      <c r="P3" s="2" t="str">
        <f>IF(AND(表1_3[[#This Row],[美式看跌期权]]&gt;表1_3[[#This Row],[期权下限]],表1_3[[#This Row],[美式看跌期权]]&lt;表1_3[[#This Row],[期权上限]]),"Yes","No")</f>
        <v>Yes</v>
      </c>
    </row>
    <row r="4" spans="1:16">
      <c r="A4" s="15">
        <v>82</v>
      </c>
      <c r="B4" s="2">
        <v>100</v>
      </c>
      <c r="C4" s="9">
        <v>0.03</v>
      </c>
      <c r="D4" s="2">
        <v>0.2</v>
      </c>
      <c r="E4" s="2">
        <v>2</v>
      </c>
      <c r="F4" s="2">
        <v>100</v>
      </c>
      <c r="G4" s="2">
        <f t="shared" ref="G4:G34" si="0">BinaryTree_call("e",A4,D4,C4,0,E4,B4,F4)</f>
        <v>4.9870835430501614</v>
      </c>
      <c r="H4" s="2">
        <f t="shared" ref="H4:H34" si="1">BinaryTree_call("a",A4,D4,C4,0,E4,B4,F4)</f>
        <v>4.9870835430501614</v>
      </c>
      <c r="I4" s="2">
        <f t="shared" ref="I4:I34" si="2">MAX(A4-B4*EXP(-C4*E4),0)</f>
        <v>0</v>
      </c>
      <c r="J4" s="2">
        <f t="shared" ref="J4:J34" si="3">A4</f>
        <v>82</v>
      </c>
      <c r="K4" s="2" t="str">
        <f>IF(AND(表1_3[[#This Row],[美式看涨期权]]&gt;表1_3[[#This Row],[下限]],表1_3[[#This Row],[美式看涨期权]]&lt;表1_3[[#This Row],[上限]]),"Yes","No")</f>
        <v>Yes</v>
      </c>
      <c r="L4" s="2">
        <f t="shared" ref="L4:L34" si="4">BinaryTree_put("e",A4,D4,C4,0,E4,B4,F4)</f>
        <v>17.163536901475304</v>
      </c>
      <c r="M4" s="2">
        <f t="shared" ref="M4:M33" si="5">BinaryTree_put("a",A4,D4,C4,0,E4,B4,F4)</f>
        <v>19.137821631245089</v>
      </c>
      <c r="N4" s="2">
        <f t="shared" ref="N4:N34" si="6">MAX(B4-A4,0)</f>
        <v>18</v>
      </c>
      <c r="O4" s="2">
        <f t="shared" ref="O4:O34" si="7">B4</f>
        <v>100</v>
      </c>
      <c r="P4" s="2" t="str">
        <f>IF(AND(表1_3[[#This Row],[美式看跌期权]]&gt;表1_3[[#This Row],[期权下限]],表1_3[[#This Row],[美式看跌期权]]&lt;表1_3[[#This Row],[期权上限]]),"Yes","No")</f>
        <v>Yes</v>
      </c>
    </row>
    <row r="5" spans="1:16">
      <c r="A5" s="15">
        <v>84</v>
      </c>
      <c r="B5" s="2">
        <v>100</v>
      </c>
      <c r="C5" s="9">
        <v>0.03</v>
      </c>
      <c r="D5" s="2">
        <v>0.2</v>
      </c>
      <c r="E5" s="2">
        <v>2</v>
      </c>
      <c r="F5" s="2">
        <v>100</v>
      </c>
      <c r="G5" s="2">
        <f t="shared" si="0"/>
        <v>5.716829777317769</v>
      </c>
      <c r="H5" s="2">
        <f t="shared" si="1"/>
        <v>5.716829777317769</v>
      </c>
      <c r="I5" s="2">
        <f t="shared" si="2"/>
        <v>0</v>
      </c>
      <c r="J5" s="2">
        <f t="shared" si="3"/>
        <v>84</v>
      </c>
      <c r="K5" s="2" t="str">
        <f>IF(AND(表1_3[[#This Row],[美式看涨期权]]&gt;表1_3[[#This Row],[下限]],表1_3[[#This Row],[美式看涨期权]]&lt;表1_3[[#This Row],[上限]]),"Yes","No")</f>
        <v>Yes</v>
      </c>
      <c r="L5" s="2">
        <f t="shared" si="4"/>
        <v>15.893283135742919</v>
      </c>
      <c r="M5" s="2">
        <f t="shared" si="5"/>
        <v>17.653007022112103</v>
      </c>
      <c r="N5" s="2">
        <f t="shared" si="6"/>
        <v>16</v>
      </c>
      <c r="O5" s="2">
        <f t="shared" si="7"/>
        <v>100</v>
      </c>
      <c r="P5" s="2" t="str">
        <f>IF(AND(表1_3[[#This Row],[美式看跌期权]]&gt;表1_3[[#This Row],[期权下限]],表1_3[[#This Row],[美式看跌期权]]&lt;表1_3[[#This Row],[期权上限]]),"Yes","No")</f>
        <v>Yes</v>
      </c>
    </row>
    <row r="6" spans="1:16">
      <c r="A6" s="15">
        <v>86</v>
      </c>
      <c r="B6" s="2">
        <v>100</v>
      </c>
      <c r="C6" s="9">
        <v>0.03</v>
      </c>
      <c r="D6" s="2">
        <v>0.2</v>
      </c>
      <c r="E6" s="2">
        <v>2</v>
      </c>
      <c r="F6" s="2">
        <v>100</v>
      </c>
      <c r="G6" s="2">
        <f t="shared" si="0"/>
        <v>6.5709921589041915</v>
      </c>
      <c r="H6" s="2">
        <f t="shared" si="1"/>
        <v>6.5709921589041915</v>
      </c>
      <c r="I6" s="2">
        <f t="shared" si="2"/>
        <v>0</v>
      </c>
      <c r="J6" s="2">
        <f t="shared" si="3"/>
        <v>86</v>
      </c>
      <c r="K6" s="2" t="str">
        <f>IF(AND(表1_3[[#This Row],[美式看涨期权]]&gt;表1_3[[#This Row],[下限]],表1_3[[#This Row],[美式看涨期权]]&lt;表1_3[[#This Row],[上限]]),"Yes","No")</f>
        <v>Yes</v>
      </c>
      <c r="L6" s="2">
        <f t="shared" si="4"/>
        <v>14.74744551732933</v>
      </c>
      <c r="M6" s="2">
        <f t="shared" si="5"/>
        <v>16.281728730368407</v>
      </c>
      <c r="N6" s="2">
        <f t="shared" si="6"/>
        <v>14</v>
      </c>
      <c r="O6" s="2">
        <f t="shared" si="7"/>
        <v>100</v>
      </c>
      <c r="P6" s="2" t="str">
        <f>IF(AND(表1_3[[#This Row],[美式看跌期权]]&gt;表1_3[[#This Row],[期权下限]],表1_3[[#This Row],[美式看跌期权]]&lt;表1_3[[#This Row],[期权上限]]),"Yes","No")</f>
        <v>Yes</v>
      </c>
    </row>
    <row r="7" spans="1:16">
      <c r="A7" s="15">
        <v>88</v>
      </c>
      <c r="B7" s="2">
        <v>100</v>
      </c>
      <c r="C7" s="9">
        <v>0.03</v>
      </c>
      <c r="D7" s="2">
        <v>0.2</v>
      </c>
      <c r="E7" s="2">
        <v>2</v>
      </c>
      <c r="F7" s="2">
        <v>100</v>
      </c>
      <c r="G7" s="2">
        <f t="shared" si="0"/>
        <v>7.4554194796811313</v>
      </c>
      <c r="H7" s="2">
        <f t="shared" si="1"/>
        <v>7.4554194796811313</v>
      </c>
      <c r="I7" s="2">
        <f t="shared" si="2"/>
        <v>0</v>
      </c>
      <c r="J7" s="2">
        <f t="shared" si="3"/>
        <v>88</v>
      </c>
      <c r="K7" s="2" t="str">
        <f>IF(AND(表1_3[[#This Row],[美式看涨期权]]&gt;表1_3[[#This Row],[下限]],表1_3[[#This Row],[美式看涨期权]]&lt;表1_3[[#This Row],[上限]]),"Yes","No")</f>
        <v>Yes</v>
      </c>
      <c r="L7" s="2">
        <f t="shared" si="4"/>
        <v>13.631872838106279</v>
      </c>
      <c r="M7" s="2">
        <f t="shared" si="5"/>
        <v>14.991476760448016</v>
      </c>
      <c r="N7" s="2">
        <f t="shared" si="6"/>
        <v>12</v>
      </c>
      <c r="O7" s="2">
        <f t="shared" si="7"/>
        <v>100</v>
      </c>
      <c r="P7" s="2" t="str">
        <f>IF(AND(表1_3[[#This Row],[美式看跌期权]]&gt;表1_3[[#This Row],[期权下限]],表1_3[[#This Row],[美式看跌期权]]&lt;表1_3[[#This Row],[期权上限]]),"Yes","No")</f>
        <v>Yes</v>
      </c>
    </row>
    <row r="8" spans="1:16">
      <c r="A8" s="15">
        <v>90</v>
      </c>
      <c r="B8" s="2">
        <v>100</v>
      </c>
      <c r="C8" s="9">
        <v>0.03</v>
      </c>
      <c r="D8" s="2">
        <v>0.2</v>
      </c>
      <c r="E8" s="2">
        <v>2</v>
      </c>
      <c r="F8" s="2">
        <v>100</v>
      </c>
      <c r="G8" s="2">
        <f t="shared" si="0"/>
        <v>8.3953185153008594</v>
      </c>
      <c r="H8" s="2">
        <f t="shared" si="1"/>
        <v>8.3953185153008594</v>
      </c>
      <c r="I8" s="2">
        <f t="shared" si="2"/>
        <v>0</v>
      </c>
      <c r="J8" s="2">
        <f t="shared" si="3"/>
        <v>90</v>
      </c>
      <c r="K8" s="2" t="str">
        <f>IF(AND(表1_3[[#This Row],[美式看涨期权]]&gt;表1_3[[#This Row],[下限]],表1_3[[#This Row],[美式看涨期权]]&lt;表1_3[[#This Row],[上限]]),"Yes","No")</f>
        <v>Yes</v>
      </c>
      <c r="L8" s="2">
        <f t="shared" si="4"/>
        <v>12.571771873725996</v>
      </c>
      <c r="M8" s="2">
        <f t="shared" si="5"/>
        <v>13.77276461802945</v>
      </c>
      <c r="N8" s="2">
        <f t="shared" si="6"/>
        <v>10</v>
      </c>
      <c r="O8" s="2">
        <f t="shared" si="7"/>
        <v>100</v>
      </c>
      <c r="P8" s="2" t="str">
        <f>IF(AND(表1_3[[#This Row],[美式看跌期权]]&gt;表1_3[[#This Row],[期权下限]],表1_3[[#This Row],[美式看跌期权]]&lt;表1_3[[#This Row],[期权上限]]),"Yes","No")</f>
        <v>Yes</v>
      </c>
    </row>
    <row r="9" spans="1:16">
      <c r="A9" s="15">
        <v>92</v>
      </c>
      <c r="B9" s="2">
        <v>100</v>
      </c>
      <c r="C9" s="9">
        <v>0.03</v>
      </c>
      <c r="D9" s="2">
        <v>0.2</v>
      </c>
      <c r="E9" s="2">
        <v>2</v>
      </c>
      <c r="F9" s="2">
        <v>100</v>
      </c>
      <c r="G9" s="2">
        <f t="shared" si="0"/>
        <v>9.4388782299183145</v>
      </c>
      <c r="H9" s="2">
        <f t="shared" si="1"/>
        <v>9.4388782299183145</v>
      </c>
      <c r="I9" s="2">
        <f t="shared" si="2"/>
        <v>0</v>
      </c>
      <c r="J9" s="2">
        <f t="shared" si="3"/>
        <v>92</v>
      </c>
      <c r="K9" s="2" t="str">
        <f>IF(AND(表1_3[[#This Row],[美式看涨期权]]&gt;表1_3[[#This Row],[下限]],表1_3[[#This Row],[美式看涨期权]]&lt;表1_3[[#This Row],[上限]]),"Yes","No")</f>
        <v>Yes</v>
      </c>
      <c r="L9" s="2">
        <f t="shared" si="4"/>
        <v>11.615331588343455</v>
      </c>
      <c r="M9" s="2">
        <f t="shared" si="5"/>
        <v>12.666022582046025</v>
      </c>
      <c r="N9" s="2">
        <f t="shared" si="6"/>
        <v>8</v>
      </c>
      <c r="O9" s="2">
        <f t="shared" si="7"/>
        <v>100</v>
      </c>
      <c r="P9" s="2" t="str">
        <f>IF(AND(表1_3[[#This Row],[美式看跌期权]]&gt;表1_3[[#This Row],[期权下限]],表1_3[[#This Row],[美式看跌期权]]&lt;表1_3[[#This Row],[期权上限]]),"Yes","No")</f>
        <v>Yes</v>
      </c>
    </row>
    <row r="10" spans="1:16">
      <c r="A10" s="15">
        <v>94</v>
      </c>
      <c r="B10" s="2">
        <v>100</v>
      </c>
      <c r="C10" s="9">
        <v>0.03</v>
      </c>
      <c r="D10" s="2">
        <v>0.2</v>
      </c>
      <c r="E10" s="2">
        <v>2</v>
      </c>
      <c r="F10" s="2">
        <v>100</v>
      </c>
      <c r="G10" s="2">
        <f t="shared" si="0"/>
        <v>10.482437944535773</v>
      </c>
      <c r="H10" s="2">
        <f t="shared" si="1"/>
        <v>10.482437944535773</v>
      </c>
      <c r="I10" s="2">
        <f t="shared" si="2"/>
        <v>0</v>
      </c>
      <c r="J10" s="2">
        <f t="shared" si="3"/>
        <v>94</v>
      </c>
      <c r="K10" s="2" t="str">
        <f>IF(AND(表1_3[[#This Row],[美式看涨期权]]&gt;表1_3[[#This Row],[下限]],表1_3[[#This Row],[美式看涨期权]]&lt;表1_3[[#This Row],[上限]]),"Yes","No")</f>
        <v>Yes</v>
      </c>
      <c r="L10" s="2">
        <f t="shared" si="4"/>
        <v>10.658891302960916</v>
      </c>
      <c r="M10" s="2">
        <f t="shared" si="5"/>
        <v>11.600420219952182</v>
      </c>
      <c r="N10" s="2">
        <f t="shared" si="6"/>
        <v>6</v>
      </c>
      <c r="O10" s="2">
        <f t="shared" si="7"/>
        <v>100</v>
      </c>
      <c r="P10" s="2" t="str">
        <f>IF(AND(表1_3[[#This Row],[美式看跌期权]]&gt;表1_3[[#This Row],[期权下限]],表1_3[[#This Row],[美式看跌期权]]&lt;表1_3[[#This Row],[期权上限]]),"Yes","No")</f>
        <v>Yes</v>
      </c>
    </row>
    <row r="11" spans="1:16">
      <c r="A11" s="15">
        <v>96</v>
      </c>
      <c r="B11" s="2">
        <v>100</v>
      </c>
      <c r="C11" s="9">
        <v>0.03</v>
      </c>
      <c r="D11" s="2">
        <v>0.2</v>
      </c>
      <c r="E11" s="2">
        <v>2</v>
      </c>
      <c r="F11" s="2">
        <v>100</v>
      </c>
      <c r="G11" s="2">
        <f t="shared" si="0"/>
        <v>11.643992868401986</v>
      </c>
      <c r="H11" s="2">
        <f t="shared" si="1"/>
        <v>11.643992868401986</v>
      </c>
      <c r="I11" s="2">
        <f t="shared" si="2"/>
        <v>1.8235466415751347</v>
      </c>
      <c r="J11" s="2">
        <f t="shared" si="3"/>
        <v>96</v>
      </c>
      <c r="K11" s="2" t="str">
        <f>IF(AND(表1_3[[#This Row],[美式看涨期权]]&gt;表1_3[[#This Row],[下限]],表1_3[[#This Row],[美式看涨期权]]&lt;表1_3[[#This Row],[上限]]),"Yes","No")</f>
        <v>Yes</v>
      </c>
      <c r="L11" s="2">
        <f t="shared" si="4"/>
        <v>9.8204462268271229</v>
      </c>
      <c r="M11" s="2">
        <f t="shared" si="5"/>
        <v>10.637225192913455</v>
      </c>
      <c r="N11" s="2">
        <f t="shared" si="6"/>
        <v>4</v>
      </c>
      <c r="O11" s="2">
        <f t="shared" si="7"/>
        <v>100</v>
      </c>
      <c r="P11" s="2" t="str">
        <f>IF(AND(表1_3[[#This Row],[美式看跌期权]]&gt;表1_3[[#This Row],[期权下限]],表1_3[[#This Row],[美式看跌期权]]&lt;表1_3[[#This Row],[期权上限]]),"Yes","No")</f>
        <v>Yes</v>
      </c>
    </row>
    <row r="12" spans="1:16">
      <c r="A12" s="15">
        <v>98</v>
      </c>
      <c r="B12" s="2">
        <v>100</v>
      </c>
      <c r="C12" s="9">
        <v>0.03</v>
      </c>
      <c r="D12" s="2">
        <v>0.2</v>
      </c>
      <c r="E12" s="2">
        <v>2</v>
      </c>
      <c r="F12" s="2">
        <v>100</v>
      </c>
      <c r="G12" s="2">
        <f t="shared" si="0"/>
        <v>12.844897460759652</v>
      </c>
      <c r="H12" s="2">
        <f t="shared" si="1"/>
        <v>12.844897460759652</v>
      </c>
      <c r="I12" s="2">
        <f t="shared" si="2"/>
        <v>3.8235466415751347</v>
      </c>
      <c r="J12" s="2">
        <f t="shared" si="3"/>
        <v>98</v>
      </c>
      <c r="K12" s="2" t="str">
        <f>IF(AND(表1_3[[#This Row],[美式看涨期权]]&gt;表1_3[[#This Row],[下限]],表1_3[[#This Row],[美式看涨期权]]&lt;表1_3[[#This Row],[上限]]),"Yes","No")</f>
        <v>Yes</v>
      </c>
      <c r="L12" s="2">
        <f t="shared" si="4"/>
        <v>9.0213508191847875</v>
      </c>
      <c r="M12" s="2">
        <f t="shared" si="5"/>
        <v>9.7427722560601211</v>
      </c>
      <c r="N12" s="2">
        <f t="shared" si="6"/>
        <v>2</v>
      </c>
      <c r="O12" s="2">
        <f t="shared" si="7"/>
        <v>100</v>
      </c>
      <c r="P12" s="2" t="str">
        <f>IF(AND(表1_3[[#This Row],[美式看跌期权]]&gt;表1_3[[#This Row],[期权下限]],表1_3[[#This Row],[美式看跌期权]]&lt;表1_3[[#This Row],[期权上限]]),"Yes","No")</f>
        <v>Yes</v>
      </c>
    </row>
    <row r="13" spans="1:16">
      <c r="A13" s="15">
        <v>100</v>
      </c>
      <c r="B13" s="10">
        <v>100</v>
      </c>
      <c r="C13" s="11">
        <v>0.03</v>
      </c>
      <c r="D13" s="2">
        <v>0.2</v>
      </c>
      <c r="E13" s="2">
        <v>2</v>
      </c>
      <c r="F13" s="2">
        <v>100</v>
      </c>
      <c r="G13" s="2">
        <f t="shared" si="0"/>
        <v>14.04580205311731</v>
      </c>
      <c r="H13" s="2">
        <f t="shared" si="1"/>
        <v>14.04580205311731</v>
      </c>
      <c r="I13" s="2">
        <f t="shared" si="2"/>
        <v>5.8235466415751347</v>
      </c>
      <c r="J13" s="2">
        <f t="shared" si="3"/>
        <v>100</v>
      </c>
      <c r="K13" s="2" t="str">
        <f>IF(AND(表1_3[[#This Row],[美式看涨期权]]&gt;表1_3[[#This Row],[下限]],表1_3[[#This Row],[美式看涨期权]]&lt;表1_3[[#This Row],[上限]]),"Yes","No")</f>
        <v>Yes</v>
      </c>
      <c r="L13" s="2">
        <f t="shared" si="4"/>
        <v>8.2222554115424451</v>
      </c>
      <c r="M13" s="2">
        <f t="shared" si="5"/>
        <v>8.8744196625219889</v>
      </c>
      <c r="N13" s="2">
        <f t="shared" si="6"/>
        <v>0</v>
      </c>
      <c r="O13" s="2">
        <f t="shared" si="7"/>
        <v>100</v>
      </c>
      <c r="P13" s="2" t="str">
        <f>IF(AND(表1_3[[#This Row],[美式看跌期权]]&gt;表1_3[[#This Row],[期权下限]],表1_3[[#This Row],[美式看跌期权]]&lt;表1_3[[#This Row],[期权上限]]),"Yes","No")</f>
        <v>Yes</v>
      </c>
    </row>
    <row r="14" spans="1:16">
      <c r="A14" s="15">
        <v>100</v>
      </c>
      <c r="B14" s="10">
        <v>100</v>
      </c>
      <c r="C14" s="11">
        <v>0.04</v>
      </c>
      <c r="D14" s="2">
        <v>0.2</v>
      </c>
      <c r="E14" s="2">
        <v>2</v>
      </c>
      <c r="F14" s="2">
        <v>100</v>
      </c>
      <c r="G14" s="2">
        <f t="shared" si="0"/>
        <v>15.05672229385684</v>
      </c>
      <c r="H14" s="2">
        <f t="shared" si="1"/>
        <v>15.05672229385684</v>
      </c>
      <c r="I14" s="2">
        <f t="shared" si="2"/>
        <v>7.6883653613364231</v>
      </c>
      <c r="J14" s="2">
        <f t="shared" si="3"/>
        <v>100</v>
      </c>
      <c r="K14" s="2" t="str">
        <f>IF(AND(表1_3[[#This Row],[美式看涨期权]]&gt;表1_3[[#This Row],[下限]],表1_3[[#This Row],[美式看涨期权]]&lt;表1_3[[#This Row],[上限]]),"Yes","No")</f>
        <v>Yes</v>
      </c>
      <c r="L14" s="2">
        <f t="shared" si="4"/>
        <v>7.3683569325208405</v>
      </c>
      <c r="M14" s="2">
        <f t="shared" si="5"/>
        <v>8.262993561934616</v>
      </c>
      <c r="N14" s="2">
        <f t="shared" si="6"/>
        <v>0</v>
      </c>
      <c r="O14" s="2">
        <f t="shared" si="7"/>
        <v>100</v>
      </c>
      <c r="P14" s="2" t="str">
        <f>IF(AND(表1_3[[#This Row],[美式看跌期权]]&gt;表1_3[[#This Row],[期权下限]],表1_3[[#This Row],[美式看跌期权]]&lt;表1_3[[#This Row],[期权上限]]),"Yes","No")</f>
        <v>Yes</v>
      </c>
    </row>
    <row r="15" spans="1:16">
      <c r="A15" s="15">
        <v>100</v>
      </c>
      <c r="B15" s="10">
        <v>100</v>
      </c>
      <c r="C15" s="11">
        <v>0.05</v>
      </c>
      <c r="D15" s="2">
        <v>0.2</v>
      </c>
      <c r="E15" s="2">
        <v>2</v>
      </c>
      <c r="F15" s="2">
        <v>100</v>
      </c>
      <c r="G15" s="2">
        <f t="shared" si="0"/>
        <v>16.098572203636145</v>
      </c>
      <c r="H15" s="2">
        <f t="shared" si="1"/>
        <v>16.098572203636145</v>
      </c>
      <c r="I15" s="2">
        <f t="shared" si="2"/>
        <v>9.5162581964040527</v>
      </c>
      <c r="J15" s="2">
        <f t="shared" si="3"/>
        <v>100</v>
      </c>
      <c r="K15" s="2" t="str">
        <f>IF(AND(表1_3[[#This Row],[美式看涨期权]]&gt;表1_3[[#This Row],[下限]],表1_3[[#This Row],[美式看涨期权]]&lt;表1_3[[#This Row],[上限]]),"Yes","No")</f>
        <v>Yes</v>
      </c>
      <c r="L15" s="2">
        <f t="shared" si="4"/>
        <v>6.5823140072316422</v>
      </c>
      <c r="M15" s="2">
        <f t="shared" si="5"/>
        <v>7.7116778853651615</v>
      </c>
      <c r="N15" s="2">
        <f t="shared" si="6"/>
        <v>0</v>
      </c>
      <c r="O15" s="2">
        <f t="shared" si="7"/>
        <v>100</v>
      </c>
      <c r="P15" s="2" t="str">
        <f>IF(AND(表1_3[[#This Row],[美式看跌期权]]&gt;表1_3[[#This Row],[期权下限]],表1_3[[#This Row],[美式看跌期权]]&lt;表1_3[[#This Row],[期权上限]]),"Yes","No")</f>
        <v>Yes</v>
      </c>
    </row>
    <row r="16" spans="1:16">
      <c r="A16" s="15">
        <v>100</v>
      </c>
      <c r="B16" s="10">
        <v>100</v>
      </c>
      <c r="C16" s="9">
        <v>0.03</v>
      </c>
      <c r="D16" s="12">
        <v>0.1</v>
      </c>
      <c r="E16" s="2">
        <v>2</v>
      </c>
      <c r="F16" s="2">
        <v>100</v>
      </c>
      <c r="G16" s="2">
        <f t="shared" si="0"/>
        <v>8.8544293953626649</v>
      </c>
      <c r="H16" s="2">
        <f t="shared" si="1"/>
        <v>8.8544293953626649</v>
      </c>
      <c r="I16" s="2">
        <f t="shared" si="2"/>
        <v>5.8235466415751347</v>
      </c>
      <c r="J16" s="2">
        <f t="shared" si="3"/>
        <v>100</v>
      </c>
      <c r="K16" s="2" t="str">
        <f>IF(AND(表1_3[[#This Row],[美式看涨期权]]&gt;表1_3[[#This Row],[下限]],表1_3[[#This Row],[美式看涨期权]]&lt;表1_3[[#This Row],[上限]]),"Yes","No")</f>
        <v>Yes</v>
      </c>
      <c r="L16" s="2">
        <f t="shared" si="4"/>
        <v>3.0308827537878131</v>
      </c>
      <c r="M16" s="2">
        <f t="shared" si="5"/>
        <v>3.6650950736005066</v>
      </c>
      <c r="N16" s="2">
        <f t="shared" si="6"/>
        <v>0</v>
      </c>
      <c r="O16" s="2">
        <f t="shared" si="7"/>
        <v>100</v>
      </c>
      <c r="P16" s="2" t="str">
        <f>IF(AND(表1_3[[#This Row],[美式看跌期权]]&gt;表1_3[[#This Row],[期权下限]],表1_3[[#This Row],[美式看跌期权]]&lt;表1_3[[#This Row],[期权上限]]),"Yes","No")</f>
        <v>Yes</v>
      </c>
    </row>
    <row r="17" spans="1:16">
      <c r="A17" s="15">
        <v>100</v>
      </c>
      <c r="B17" s="10">
        <v>100</v>
      </c>
      <c r="C17" s="9">
        <v>0.03</v>
      </c>
      <c r="D17" s="12">
        <v>0.2</v>
      </c>
      <c r="E17" s="2">
        <v>2</v>
      </c>
      <c r="F17" s="2">
        <v>100</v>
      </c>
      <c r="G17" s="2">
        <f t="shared" si="0"/>
        <v>14.04580205311731</v>
      </c>
      <c r="H17" s="2">
        <f t="shared" si="1"/>
        <v>14.04580205311731</v>
      </c>
      <c r="I17" s="2">
        <f t="shared" si="2"/>
        <v>5.8235466415751347</v>
      </c>
      <c r="J17" s="2">
        <f t="shared" si="3"/>
        <v>100</v>
      </c>
      <c r="K17" s="2" t="str">
        <f>IF(AND(表1_3[[#This Row],[美式看涨期权]]&gt;表1_3[[#This Row],[下限]],表1_3[[#This Row],[美式看涨期权]]&lt;表1_3[[#This Row],[上限]]),"Yes","No")</f>
        <v>Yes</v>
      </c>
      <c r="L17" s="2">
        <f t="shared" si="4"/>
        <v>8.2222554115424451</v>
      </c>
      <c r="M17" s="2">
        <f t="shared" si="5"/>
        <v>8.8744196625219889</v>
      </c>
      <c r="N17" s="2">
        <f t="shared" si="6"/>
        <v>0</v>
      </c>
      <c r="O17" s="2">
        <f t="shared" si="7"/>
        <v>100</v>
      </c>
      <c r="P17" s="2" t="str">
        <f>IF(AND(表1_3[[#This Row],[美式看跌期权]]&gt;表1_3[[#This Row],[期权下限]],表1_3[[#This Row],[美式看跌期权]]&lt;表1_3[[#This Row],[期权上限]]),"Yes","No")</f>
        <v>Yes</v>
      </c>
    </row>
    <row r="18" spans="1:16">
      <c r="A18" s="15">
        <v>100</v>
      </c>
      <c r="B18" s="10">
        <v>100</v>
      </c>
      <c r="C18" s="9">
        <v>0.03</v>
      </c>
      <c r="D18" s="12">
        <v>0.3</v>
      </c>
      <c r="E18" s="2">
        <v>2</v>
      </c>
      <c r="F18" s="2">
        <v>100</v>
      </c>
      <c r="G18" s="2">
        <f t="shared" si="0"/>
        <v>19.341459523978703</v>
      </c>
      <c r="H18" s="2">
        <f t="shared" si="1"/>
        <v>19.341459523978703</v>
      </c>
      <c r="I18" s="2">
        <f t="shared" si="2"/>
        <v>5.8235466415751347</v>
      </c>
      <c r="J18" s="2">
        <f t="shared" si="3"/>
        <v>100</v>
      </c>
      <c r="K18" s="2" t="str">
        <f>IF(AND(表1_3[[#This Row],[美式看涨期权]]&gt;表1_3[[#This Row],[下限]],表1_3[[#This Row],[美式看涨期权]]&lt;表1_3[[#This Row],[上限]]),"Yes","No")</f>
        <v>Yes</v>
      </c>
      <c r="L18" s="2">
        <f t="shared" si="4"/>
        <v>13.517912882403824</v>
      </c>
      <c r="M18" s="2">
        <f t="shared" si="5"/>
        <v>14.187693988945769</v>
      </c>
      <c r="N18" s="2">
        <f t="shared" si="6"/>
        <v>0</v>
      </c>
      <c r="O18" s="2">
        <f t="shared" si="7"/>
        <v>100</v>
      </c>
      <c r="P18" s="2" t="str">
        <f>IF(AND(表1_3[[#This Row],[美式看跌期权]]&gt;表1_3[[#This Row],[期权下限]],表1_3[[#This Row],[美式看跌期权]]&lt;表1_3[[#This Row],[期权上限]]),"Yes","No")</f>
        <v>Yes</v>
      </c>
    </row>
    <row r="19" spans="1:16">
      <c r="A19" s="15">
        <v>100</v>
      </c>
      <c r="B19" s="10">
        <v>100</v>
      </c>
      <c r="C19" s="9">
        <v>0.03</v>
      </c>
      <c r="D19" s="2">
        <v>0.2</v>
      </c>
      <c r="E19" s="13">
        <v>1</v>
      </c>
      <c r="F19" s="2">
        <v>100</v>
      </c>
      <c r="G19" s="2">
        <f t="shared" si="0"/>
        <v>9.3935956242524341</v>
      </c>
      <c r="H19" s="2">
        <f t="shared" si="1"/>
        <v>9.3935956242524341</v>
      </c>
      <c r="I19" s="2">
        <f t="shared" si="2"/>
        <v>2.9554466451491805</v>
      </c>
      <c r="J19" s="2">
        <f t="shared" si="3"/>
        <v>100</v>
      </c>
      <c r="K19" s="2" t="str">
        <f>IF(AND(表1_3[[#This Row],[美式看涨期权]]&gt;表1_3[[#This Row],[下限]],表1_3[[#This Row],[美式看涨期权]]&lt;表1_3[[#This Row],[上限]]),"Yes","No")</f>
        <v>Yes</v>
      </c>
      <c r="L19" s="2">
        <f t="shared" si="4"/>
        <v>6.438148979103457</v>
      </c>
      <c r="M19" s="2">
        <f t="shared" si="5"/>
        <v>6.7331796764382794</v>
      </c>
      <c r="N19" s="2">
        <f t="shared" si="6"/>
        <v>0</v>
      </c>
      <c r="O19" s="2">
        <f t="shared" si="7"/>
        <v>100</v>
      </c>
      <c r="P19" s="2" t="str">
        <f>IF(AND(表1_3[[#This Row],[美式看跌期权]]&gt;表1_3[[#This Row],[期权下限]],表1_3[[#This Row],[美式看跌期权]]&lt;表1_3[[#This Row],[期权上限]]),"Yes","No")</f>
        <v>Yes</v>
      </c>
    </row>
    <row r="20" spans="1:16">
      <c r="A20" s="15">
        <v>100</v>
      </c>
      <c r="B20" s="10">
        <v>100</v>
      </c>
      <c r="C20" s="9">
        <v>0.03</v>
      </c>
      <c r="D20" s="2">
        <v>0.2</v>
      </c>
      <c r="E20" s="13">
        <v>2</v>
      </c>
      <c r="F20" s="2">
        <v>100</v>
      </c>
      <c r="G20" s="2">
        <f t="shared" si="0"/>
        <v>14.04580205311731</v>
      </c>
      <c r="H20" s="2">
        <f t="shared" si="1"/>
        <v>14.04580205311731</v>
      </c>
      <c r="I20" s="2">
        <f t="shared" si="2"/>
        <v>5.8235466415751347</v>
      </c>
      <c r="J20" s="2">
        <f t="shared" si="3"/>
        <v>100</v>
      </c>
      <c r="K20" s="2" t="str">
        <f>IF(AND(表1_3[[#This Row],[美式看涨期权]]&gt;表1_3[[#This Row],[下限]],表1_3[[#This Row],[美式看涨期权]]&lt;表1_3[[#This Row],[上限]]),"Yes","No")</f>
        <v>Yes</v>
      </c>
      <c r="L20" s="2">
        <f t="shared" si="4"/>
        <v>8.2222554115424451</v>
      </c>
      <c r="M20" s="2">
        <f t="shared" si="5"/>
        <v>8.8744196625219889</v>
      </c>
      <c r="N20" s="2">
        <f t="shared" si="6"/>
        <v>0</v>
      </c>
      <c r="O20" s="2">
        <f t="shared" si="7"/>
        <v>100</v>
      </c>
      <c r="P20" s="2" t="str">
        <f>IF(AND(表1_3[[#This Row],[美式看跌期权]]&gt;表1_3[[#This Row],[期权下限]],表1_3[[#This Row],[美式看跌期权]]&lt;表1_3[[#This Row],[期权上限]]),"Yes","No")</f>
        <v>Yes</v>
      </c>
    </row>
    <row r="21" spans="1:16">
      <c r="A21" s="15">
        <v>100</v>
      </c>
      <c r="B21" s="10">
        <v>100</v>
      </c>
      <c r="C21" s="9">
        <v>0.03</v>
      </c>
      <c r="D21" s="2">
        <v>0.2</v>
      </c>
      <c r="E21" s="13">
        <v>3</v>
      </c>
      <c r="F21" s="2">
        <v>100</v>
      </c>
      <c r="G21" s="2">
        <f t="shared" si="0"/>
        <v>17.865674621863931</v>
      </c>
      <c r="H21" s="2">
        <f t="shared" si="1"/>
        <v>17.865674621863931</v>
      </c>
      <c r="I21" s="2">
        <f t="shared" si="2"/>
        <v>8.606881472877177</v>
      </c>
      <c r="J21" s="2">
        <f t="shared" si="3"/>
        <v>100</v>
      </c>
      <c r="K21" s="2" t="str">
        <f>IF(AND(表1_3[[#This Row],[美式看涨期权]]&gt;表1_3[[#This Row],[下限]],表1_3[[#This Row],[美式看涨期权]]&lt;表1_3[[#This Row],[上限]]),"Yes","No")</f>
        <v>Yes</v>
      </c>
      <c r="L21" s="2">
        <f t="shared" si="4"/>
        <v>9.2587931489867721</v>
      </c>
      <c r="M21" s="2">
        <f t="shared" si="5"/>
        <v>10.292725590307079</v>
      </c>
      <c r="N21" s="2">
        <f t="shared" si="6"/>
        <v>0</v>
      </c>
      <c r="O21" s="2">
        <f t="shared" si="7"/>
        <v>100</v>
      </c>
      <c r="P21" s="2" t="str">
        <f>IF(AND(表1_3[[#This Row],[美式看跌期权]]&gt;表1_3[[#This Row],[期权下限]],表1_3[[#This Row],[美式看跌期权]]&lt;表1_3[[#This Row],[期权上限]]),"Yes","No")</f>
        <v>Yes</v>
      </c>
    </row>
    <row r="22" spans="1:16">
      <c r="A22" s="15">
        <v>100</v>
      </c>
      <c r="B22" s="10">
        <v>100</v>
      </c>
      <c r="C22" s="9">
        <v>0.03</v>
      </c>
      <c r="D22" s="2">
        <v>0.2</v>
      </c>
      <c r="E22" s="2">
        <v>2</v>
      </c>
      <c r="F22" s="14">
        <v>50</v>
      </c>
      <c r="G22" s="2">
        <f t="shared" si="0"/>
        <v>14.018039936982722</v>
      </c>
      <c r="H22" s="2">
        <f>BinaryTree_call("a",A22,D22,C22,0,E22,B22,F22)</f>
        <v>14.018039936982722</v>
      </c>
      <c r="I22" s="2">
        <f t="shared" si="2"/>
        <v>5.8235466415751347</v>
      </c>
      <c r="J22" s="2">
        <f t="shared" si="3"/>
        <v>100</v>
      </c>
      <c r="K22" s="2" t="str">
        <f>IF(AND(表1_3[[#This Row],[美式看涨期权]]&gt;表1_3[[#This Row],[下限]],表1_3[[#This Row],[美式看涨期权]]&lt;表1_3[[#This Row],[上限]]),"Yes","No")</f>
        <v>Yes</v>
      </c>
      <c r="L22" s="2">
        <f t="shared" si="4"/>
        <v>8.1944932954078062</v>
      </c>
      <c r="M22" s="2">
        <f t="shared" si="5"/>
        <v>8.8618111808869067</v>
      </c>
      <c r="N22" s="2">
        <f t="shared" si="6"/>
        <v>0</v>
      </c>
      <c r="O22" s="2">
        <f t="shared" si="7"/>
        <v>100</v>
      </c>
      <c r="P22" s="2" t="str">
        <f>IF(AND(表1_3[[#This Row],[美式看跌期权]]&gt;表1_3[[#This Row],[期权下限]],表1_3[[#This Row],[美式看跌期权]]&lt;表1_3[[#This Row],[期权上限]]),"Yes","No")</f>
        <v>Yes</v>
      </c>
    </row>
    <row r="23" spans="1:16">
      <c r="A23" s="15">
        <v>100</v>
      </c>
      <c r="B23" s="10">
        <v>100</v>
      </c>
      <c r="C23" s="9">
        <v>0.03</v>
      </c>
      <c r="D23" s="2">
        <v>0.2</v>
      </c>
      <c r="E23" s="2">
        <v>2</v>
      </c>
      <c r="F23" s="14">
        <v>100</v>
      </c>
      <c r="G23" s="2">
        <f t="shared" si="0"/>
        <v>14.04580205311731</v>
      </c>
      <c r="H23" s="2">
        <f t="shared" si="1"/>
        <v>14.04580205311731</v>
      </c>
      <c r="I23" s="2">
        <f t="shared" si="2"/>
        <v>5.8235466415751347</v>
      </c>
      <c r="J23" s="2">
        <f t="shared" si="3"/>
        <v>100</v>
      </c>
      <c r="K23" s="2" t="str">
        <f>IF(AND(表1_3[[#This Row],[美式看涨期权]]&gt;表1_3[[#This Row],[下限]],表1_3[[#This Row],[美式看涨期权]]&lt;表1_3[[#This Row],[上限]]),"Yes","No")</f>
        <v>Yes</v>
      </c>
      <c r="L23" s="2">
        <f t="shared" si="4"/>
        <v>8.2222554115424451</v>
      </c>
      <c r="M23" s="2">
        <f t="shared" si="5"/>
        <v>8.8744196625219889</v>
      </c>
      <c r="N23" s="2">
        <f t="shared" si="6"/>
        <v>0</v>
      </c>
      <c r="O23" s="2">
        <f t="shared" si="7"/>
        <v>100</v>
      </c>
      <c r="P23" s="2" t="str">
        <f>IF(AND(表1_3[[#This Row],[美式看跌期权]]&gt;表1_3[[#This Row],[期权下限]],表1_3[[#This Row],[美式看跌期权]]&lt;表1_3[[#This Row],[期权上限]]),"Yes","No")</f>
        <v>Yes</v>
      </c>
    </row>
    <row r="24" spans="1:16">
      <c r="A24" s="15">
        <v>100</v>
      </c>
      <c r="B24" s="10">
        <v>100</v>
      </c>
      <c r="C24" s="9">
        <v>0.03</v>
      </c>
      <c r="D24" s="2">
        <v>0.2</v>
      </c>
      <c r="E24" s="2">
        <v>2</v>
      </c>
      <c r="F24" s="14">
        <v>150</v>
      </c>
      <c r="G24" s="2">
        <f t="shared" si="0"/>
        <v>14.055072262119277</v>
      </c>
      <c r="H24" s="2">
        <f t="shared" si="1"/>
        <v>14.055072262119277</v>
      </c>
      <c r="I24" s="2">
        <f t="shared" si="2"/>
        <v>5.8235466415751347</v>
      </c>
      <c r="J24" s="2">
        <f t="shared" si="3"/>
        <v>100</v>
      </c>
      <c r="K24" s="2" t="str">
        <f>IF(AND(表1_3[[#This Row],[美式看涨期权]]&gt;表1_3[[#This Row],[下限]],表1_3[[#This Row],[美式看涨期权]]&lt;表1_3[[#This Row],[上限]]),"Yes","No")</f>
        <v>Yes</v>
      </c>
      <c r="L24" s="2">
        <f t="shared" si="4"/>
        <v>8.2315256205427829</v>
      </c>
      <c r="M24" s="2">
        <f t="shared" si="5"/>
        <v>8.8785594285947607</v>
      </c>
      <c r="N24" s="2">
        <f t="shared" si="6"/>
        <v>0</v>
      </c>
      <c r="O24" s="2">
        <f t="shared" si="7"/>
        <v>100</v>
      </c>
      <c r="P24" s="2" t="str">
        <f>IF(AND(表1_3[[#This Row],[美式看跌期权]]&gt;表1_3[[#This Row],[期权下限]],表1_3[[#This Row],[美式看跌期权]]&lt;表1_3[[#This Row],[期权上限]]),"Yes","No")</f>
        <v>Yes</v>
      </c>
    </row>
    <row r="25" spans="1:16">
      <c r="A25" s="15">
        <v>102</v>
      </c>
      <c r="B25" s="16">
        <v>100</v>
      </c>
      <c r="C25" s="9">
        <v>0.03</v>
      </c>
      <c r="D25" s="2">
        <v>0.2</v>
      </c>
      <c r="E25" s="2">
        <v>2</v>
      </c>
      <c r="F25" s="2">
        <v>100</v>
      </c>
      <c r="G25" s="2">
        <f t="shared" si="0"/>
        <v>15.396240500887378</v>
      </c>
      <c r="H25" s="2">
        <f t="shared" si="1"/>
        <v>15.396240500887378</v>
      </c>
      <c r="I25" s="2">
        <f t="shared" si="2"/>
        <v>7.8235466415751347</v>
      </c>
      <c r="J25" s="2">
        <f t="shared" si="3"/>
        <v>102</v>
      </c>
      <c r="K25" s="2" t="str">
        <f>IF(AND(表1_3[[#This Row],[美式看涨期权]]&gt;表1_3[[#This Row],[下限]],表1_3[[#This Row],[美式看涨期权]]&lt;表1_3[[#This Row],[上限]]),"Yes","No")</f>
        <v>Yes</v>
      </c>
      <c r="L25" s="2">
        <f t="shared" si="4"/>
        <v>7.5726938593125119</v>
      </c>
      <c r="M25" s="2">
        <f t="shared" si="5"/>
        <v>8.1295532615297432</v>
      </c>
      <c r="N25" s="2">
        <f t="shared" si="6"/>
        <v>0</v>
      </c>
      <c r="O25" s="2">
        <f t="shared" si="7"/>
        <v>100</v>
      </c>
      <c r="P25" s="2" t="str">
        <f>IF(AND(表1_3[[#This Row],[美式看跌期权]]&gt;表1_3[[#This Row],[期权下限]],表1_3[[#This Row],[美式看跌期权]]&lt;表1_3[[#This Row],[期权上限]]),"Yes","No")</f>
        <v>Yes</v>
      </c>
    </row>
    <row r="26" spans="1:16">
      <c r="A26" s="15">
        <v>104</v>
      </c>
      <c r="B26" s="16">
        <v>100</v>
      </c>
      <c r="C26" s="9">
        <v>0.03</v>
      </c>
      <c r="D26" s="2">
        <v>0.2</v>
      </c>
      <c r="E26" s="2">
        <v>2</v>
      </c>
      <c r="F26" s="2">
        <v>100</v>
      </c>
      <c r="G26" s="2">
        <f t="shared" si="0"/>
        <v>16.746678948657468</v>
      </c>
      <c r="H26" s="2">
        <f t="shared" si="1"/>
        <v>16.746678948657468</v>
      </c>
      <c r="I26" s="2">
        <f t="shared" si="2"/>
        <v>9.8235466415751347</v>
      </c>
      <c r="J26" s="2">
        <f t="shared" si="3"/>
        <v>104</v>
      </c>
      <c r="K26" s="2" t="str">
        <f>IF(AND(表1_3[[#This Row],[美式看涨期权]]&gt;表1_3[[#This Row],[下限]],表1_3[[#This Row],[美式看涨期权]]&lt;表1_3[[#This Row],[上限]]),"Yes","No")</f>
        <v>Yes</v>
      </c>
      <c r="L26" s="2">
        <f t="shared" si="4"/>
        <v>6.9231323070825992</v>
      </c>
      <c r="M26" s="2">
        <f t="shared" si="5"/>
        <v>7.4181610987189739</v>
      </c>
      <c r="N26" s="2">
        <f t="shared" si="6"/>
        <v>0</v>
      </c>
      <c r="O26" s="2">
        <f t="shared" si="7"/>
        <v>100</v>
      </c>
      <c r="P26" s="2" t="str">
        <f>IF(AND(表1_3[[#This Row],[美式看跌期权]]&gt;表1_3[[#This Row],[期权下限]],表1_3[[#This Row],[美式看跌期权]]&lt;表1_3[[#This Row],[期权上限]]),"Yes","No")</f>
        <v>Yes</v>
      </c>
    </row>
    <row r="27" spans="1:16">
      <c r="A27" s="15">
        <v>106</v>
      </c>
      <c r="B27" s="16">
        <v>100</v>
      </c>
      <c r="C27" s="9">
        <v>0.03</v>
      </c>
      <c r="D27" s="2">
        <v>0.2</v>
      </c>
      <c r="E27" s="2">
        <v>2</v>
      </c>
      <c r="F27" s="2">
        <v>100</v>
      </c>
      <c r="G27" s="2">
        <f t="shared" si="0"/>
        <v>18.10941654700671</v>
      </c>
      <c r="H27" s="2">
        <f t="shared" si="1"/>
        <v>18.10941654700671</v>
      </c>
      <c r="I27" s="2">
        <f t="shared" si="2"/>
        <v>11.823546641575135</v>
      </c>
      <c r="J27" s="2">
        <f t="shared" si="3"/>
        <v>106</v>
      </c>
      <c r="K27" s="2" t="str">
        <f>IF(AND(表1_3[[#This Row],[美式看涨期权]]&gt;表1_3[[#This Row],[下限]],表1_3[[#This Row],[美式看涨期权]]&lt;表1_3[[#This Row],[上限]]),"Yes","No")</f>
        <v>Yes</v>
      </c>
      <c r="L27" s="2">
        <f t="shared" si="4"/>
        <v>6.2858699054318476</v>
      </c>
      <c r="M27" s="2">
        <f t="shared" si="5"/>
        <v>6.7297095635576722</v>
      </c>
      <c r="N27" s="2">
        <f t="shared" si="6"/>
        <v>0</v>
      </c>
      <c r="O27" s="2">
        <f t="shared" si="7"/>
        <v>100</v>
      </c>
      <c r="P27" s="2" t="str">
        <f>IF(AND(表1_3[[#This Row],[美式看跌期权]]&gt;表1_3[[#This Row],[期权下限]],表1_3[[#This Row],[美式看跌期权]]&lt;表1_3[[#This Row],[期权上限]]),"Yes","No")</f>
        <v>Yes</v>
      </c>
    </row>
    <row r="28" spans="1:16">
      <c r="A28" s="15">
        <v>108</v>
      </c>
      <c r="B28" s="16">
        <v>100</v>
      </c>
      <c r="C28" s="9">
        <v>0.03</v>
      </c>
      <c r="D28" s="2">
        <v>0.2</v>
      </c>
      <c r="E28" s="2">
        <v>2</v>
      </c>
      <c r="F28" s="2">
        <v>100</v>
      </c>
      <c r="G28" s="2">
        <f t="shared" si="0"/>
        <v>19.596447260455214</v>
      </c>
      <c r="H28" s="2">
        <f t="shared" si="1"/>
        <v>19.596447260455214</v>
      </c>
      <c r="I28" s="2">
        <f t="shared" si="2"/>
        <v>13.823546641575135</v>
      </c>
      <c r="J28" s="2">
        <f t="shared" si="3"/>
        <v>108</v>
      </c>
      <c r="K28" s="2" t="str">
        <f>IF(AND(表1_3[[#This Row],[美式看涨期权]]&gt;表1_3[[#This Row],[下限]],表1_3[[#This Row],[美式看涨期权]]&lt;表1_3[[#This Row],[上限]]),"Yes","No")</f>
        <v>Yes</v>
      </c>
      <c r="L28" s="2">
        <f t="shared" si="4"/>
        <v>5.7729006188803531</v>
      </c>
      <c r="M28" s="2">
        <f t="shared" si="5"/>
        <v>6.1528302863289088</v>
      </c>
      <c r="N28" s="2">
        <f t="shared" si="6"/>
        <v>0</v>
      </c>
      <c r="O28" s="2">
        <f t="shared" si="7"/>
        <v>100</v>
      </c>
      <c r="P28" s="2" t="str">
        <f>IF(AND(表1_3[[#This Row],[美式看跌期权]]&gt;表1_3[[#This Row],[期权下限]],表1_3[[#This Row],[美式看跌期权]]&lt;表1_3[[#This Row],[期权上限]]),"Yes","No")</f>
        <v>Yes</v>
      </c>
    </row>
    <row r="29" spans="1:16">
      <c r="A29" s="15">
        <v>110</v>
      </c>
      <c r="B29" s="16">
        <v>100</v>
      </c>
      <c r="C29" s="9">
        <v>0.03</v>
      </c>
      <c r="D29" s="2">
        <v>0.2</v>
      </c>
      <c r="E29" s="2">
        <v>2</v>
      </c>
      <c r="F29" s="2">
        <v>100</v>
      </c>
      <c r="G29" s="2">
        <f t="shared" si="0"/>
        <v>21.083477973903733</v>
      </c>
      <c r="H29" s="2">
        <f t="shared" si="1"/>
        <v>21.083477973903733</v>
      </c>
      <c r="I29" s="2">
        <f t="shared" si="2"/>
        <v>15.823546641575135</v>
      </c>
      <c r="J29" s="2">
        <f t="shared" si="3"/>
        <v>110</v>
      </c>
      <c r="K29" s="2" t="str">
        <f>IF(AND(表1_3[[#This Row],[美式看涨期权]]&gt;表1_3[[#This Row],[下限]],表1_3[[#This Row],[美式看涨期权]]&lt;表1_3[[#This Row],[上限]]),"Yes","No")</f>
        <v>Yes</v>
      </c>
      <c r="L29" s="2">
        <f t="shared" si="4"/>
        <v>5.2599313323288648</v>
      </c>
      <c r="M29" s="2">
        <f t="shared" si="5"/>
        <v>5.5984016936918737</v>
      </c>
      <c r="N29" s="2">
        <f t="shared" si="6"/>
        <v>0</v>
      </c>
      <c r="O29" s="2">
        <f t="shared" si="7"/>
        <v>100</v>
      </c>
      <c r="P29" s="2" t="str">
        <f>IF(AND(表1_3[[#This Row],[美式看跌期权]]&gt;表1_3[[#This Row],[期权下限]],表1_3[[#This Row],[美式看跌期权]]&lt;表1_3[[#This Row],[期权上限]]),"Yes","No")</f>
        <v>Yes</v>
      </c>
    </row>
    <row r="30" spans="1:16">
      <c r="A30" s="15">
        <v>112</v>
      </c>
      <c r="B30" s="16">
        <v>100</v>
      </c>
      <c r="C30" s="9">
        <v>0.03</v>
      </c>
      <c r="D30" s="2">
        <v>0.2</v>
      </c>
      <c r="E30" s="2">
        <v>2</v>
      </c>
      <c r="F30" s="2">
        <v>100</v>
      </c>
      <c r="G30" s="2">
        <f t="shared" si="0"/>
        <v>22.571795301257403</v>
      </c>
      <c r="H30" s="2">
        <f t="shared" si="1"/>
        <v>22.571795301257403</v>
      </c>
      <c r="I30" s="2">
        <f t="shared" si="2"/>
        <v>17.823546641575135</v>
      </c>
      <c r="J30" s="2">
        <f t="shared" si="3"/>
        <v>112</v>
      </c>
      <c r="K30" s="2" t="str">
        <f>IF(AND(表1_3[[#This Row],[美式看涨期权]]&gt;表1_3[[#This Row],[下限]],表1_3[[#This Row],[美式看涨期权]]&lt;表1_3[[#This Row],[上限]]),"Yes","No")</f>
        <v>Yes</v>
      </c>
      <c r="L30" s="2">
        <f t="shared" si="4"/>
        <v>4.7482486596825382</v>
      </c>
      <c r="M30" s="2">
        <f t="shared" si="5"/>
        <v>5.0562107427935619</v>
      </c>
      <c r="N30" s="2">
        <f t="shared" si="6"/>
        <v>0</v>
      </c>
      <c r="O30" s="2">
        <f t="shared" si="7"/>
        <v>100</v>
      </c>
      <c r="P30" s="2" t="str">
        <f>IF(AND(表1_3[[#This Row],[美式看跌期权]]&gt;表1_3[[#This Row],[期权下限]],表1_3[[#This Row],[美式看跌期权]]&lt;表1_3[[#This Row],[期权上限]]),"Yes","No")</f>
        <v>Yes</v>
      </c>
    </row>
    <row r="31" spans="1:16">
      <c r="A31" s="15">
        <v>114</v>
      </c>
      <c r="B31" s="16">
        <v>100</v>
      </c>
      <c r="C31" s="9">
        <v>0.03</v>
      </c>
      <c r="D31" s="2">
        <v>0.2</v>
      </c>
      <c r="E31" s="2">
        <v>2</v>
      </c>
      <c r="F31" s="2">
        <v>100</v>
      </c>
      <c r="G31" s="2">
        <f t="shared" si="0"/>
        <v>24.178749873657395</v>
      </c>
      <c r="H31" s="2">
        <f t="shared" si="1"/>
        <v>24.178749873657395</v>
      </c>
      <c r="I31" s="2">
        <f t="shared" si="2"/>
        <v>19.823546641575135</v>
      </c>
      <c r="J31" s="2">
        <f t="shared" si="3"/>
        <v>114</v>
      </c>
      <c r="K31" s="2" t="str">
        <f>IF(AND(表1_3[[#This Row],[美式看涨期权]]&gt;表1_3[[#This Row],[下限]],表1_3[[#This Row],[美式看涨期权]]&lt;表1_3[[#This Row],[上限]]),"Yes","No")</f>
        <v>Yes</v>
      </c>
      <c r="L31" s="2">
        <f t="shared" si="4"/>
        <v>4.3552032320825234</v>
      </c>
      <c r="M31" s="2">
        <f t="shared" si="5"/>
        <v>4.6142865584138351</v>
      </c>
      <c r="N31" s="2">
        <f t="shared" si="6"/>
        <v>0</v>
      </c>
      <c r="O31" s="2">
        <f t="shared" si="7"/>
        <v>100</v>
      </c>
      <c r="P31" s="2" t="str">
        <f>IF(AND(表1_3[[#This Row],[美式看跌期权]]&gt;表1_3[[#This Row],[期权下限]],表1_3[[#This Row],[美式看跌期权]]&lt;表1_3[[#This Row],[期权上限]]),"Yes","No")</f>
        <v>Yes</v>
      </c>
    </row>
    <row r="32" spans="1:16">
      <c r="A32" s="15">
        <v>116</v>
      </c>
      <c r="B32" s="16">
        <v>100</v>
      </c>
      <c r="C32" s="9">
        <v>0.03</v>
      </c>
      <c r="D32" s="2">
        <v>0.2</v>
      </c>
      <c r="E32" s="2">
        <v>2</v>
      </c>
      <c r="F32" s="2">
        <v>100</v>
      </c>
      <c r="G32" s="2">
        <f t="shared" si="0"/>
        <v>25.785704446057373</v>
      </c>
      <c r="H32" s="2">
        <f t="shared" si="1"/>
        <v>25.785704446057373</v>
      </c>
      <c r="I32" s="2">
        <f t="shared" si="2"/>
        <v>21.823546641575135</v>
      </c>
      <c r="J32" s="2">
        <f t="shared" si="3"/>
        <v>116</v>
      </c>
      <c r="K32" s="2" t="str">
        <f>IF(AND(表1_3[[#This Row],[美式看涨期权]]&gt;表1_3[[#This Row],[下限]],表1_3[[#This Row],[美式看涨期权]]&lt;表1_3[[#This Row],[上限]]),"Yes","No")</f>
        <v>Yes</v>
      </c>
      <c r="L32" s="2">
        <f t="shared" si="4"/>
        <v>3.9621578044825077</v>
      </c>
      <c r="M32" s="2">
        <f t="shared" si="5"/>
        <v>4.1924307774884868</v>
      </c>
      <c r="N32" s="2">
        <f t="shared" si="6"/>
        <v>0</v>
      </c>
      <c r="O32" s="2">
        <f t="shared" si="7"/>
        <v>100</v>
      </c>
      <c r="P32" s="2" t="str">
        <f>IF(AND(表1_3[[#This Row],[美式看跌期权]]&gt;表1_3[[#This Row],[期权下限]],表1_3[[#This Row],[美式看跌期权]]&lt;表1_3[[#This Row],[期权上限]]),"Yes","No")</f>
        <v>Yes</v>
      </c>
    </row>
    <row r="33" spans="1:16">
      <c r="A33" s="15">
        <v>118</v>
      </c>
      <c r="B33" s="16">
        <v>100</v>
      </c>
      <c r="C33" s="9">
        <v>0.03</v>
      </c>
      <c r="D33" s="2">
        <v>0.2</v>
      </c>
      <c r="E33" s="2">
        <v>2</v>
      </c>
      <c r="F33" s="2">
        <v>100</v>
      </c>
      <c r="G33" s="2">
        <f t="shared" si="0"/>
        <v>27.392659018457351</v>
      </c>
      <c r="H33" s="2">
        <f t="shared" si="1"/>
        <v>27.392659018457351</v>
      </c>
      <c r="I33" s="2">
        <f t="shared" si="2"/>
        <v>23.823546641575135</v>
      </c>
      <c r="J33" s="2">
        <f t="shared" si="3"/>
        <v>118</v>
      </c>
      <c r="K33" s="2" t="str">
        <f>IF(AND(表1_3[[#This Row],[美式看涨期权]]&gt;表1_3[[#This Row],[下限]],表1_3[[#This Row],[美式看涨期权]]&lt;表1_3[[#This Row],[上限]]),"Yes","No")</f>
        <v>Yes</v>
      </c>
      <c r="L33" s="2">
        <f t="shared" si="4"/>
        <v>3.5691123768824888</v>
      </c>
      <c r="M33" s="2">
        <f t="shared" si="5"/>
        <v>3.7790370639743194</v>
      </c>
      <c r="N33" s="2">
        <f t="shared" si="6"/>
        <v>0</v>
      </c>
      <c r="O33" s="2">
        <f t="shared" si="7"/>
        <v>100</v>
      </c>
      <c r="P33" s="2" t="str">
        <f>IF(AND(表1_3[[#This Row],[美式看跌期权]]&gt;表1_3[[#This Row],[期权下限]],表1_3[[#This Row],[美式看跌期权]]&lt;表1_3[[#This Row],[期权上限]]),"Yes","No")</f>
        <v>Yes</v>
      </c>
    </row>
    <row r="34" spans="1:16">
      <c r="A34" s="15">
        <v>120</v>
      </c>
      <c r="B34" s="16">
        <v>100</v>
      </c>
      <c r="C34" s="9">
        <v>0.03</v>
      </c>
      <c r="D34" s="2">
        <v>0.2</v>
      </c>
      <c r="E34" s="2">
        <v>2</v>
      </c>
      <c r="F34" s="2">
        <v>100</v>
      </c>
      <c r="G34" s="2">
        <f t="shared" si="0"/>
        <v>29.07573232819604</v>
      </c>
      <c r="H34" s="2">
        <f t="shared" si="1"/>
        <v>29.07573232819604</v>
      </c>
      <c r="I34" s="2">
        <f t="shared" si="2"/>
        <v>25.823546641575135</v>
      </c>
      <c r="J34" s="2">
        <f t="shared" si="3"/>
        <v>120</v>
      </c>
      <c r="K34" s="2" t="str">
        <f>IF(AND(表1_3[[#This Row],[美式看涨期权]]&gt;表1_3[[#This Row],[下限]],表1_3[[#This Row],[美式看涨期权]]&lt;表1_3[[#This Row],[上限]]),"Yes","No")</f>
        <v>Yes</v>
      </c>
      <c r="L34" s="2">
        <f t="shared" si="4"/>
        <v>3.2521856866211709</v>
      </c>
      <c r="M34" s="2">
        <f>BinaryTree_put("a",A34,D34,C34,0,E34,B34,F34)</f>
        <v>3.4295616257894528</v>
      </c>
      <c r="N34" s="2">
        <f t="shared" si="6"/>
        <v>0</v>
      </c>
      <c r="O34" s="2">
        <f t="shared" si="7"/>
        <v>100</v>
      </c>
      <c r="P34" s="2" t="str">
        <f>IF(AND(表1_3[[#This Row],[美式看跌期权]]&gt;表1_3[[#This Row],[期权下限]],表1_3[[#This Row],[美式看跌期权]]&lt;表1_3[[#This Row],[期权上限]]),"Yes","No")</f>
        <v>Yes</v>
      </c>
    </row>
    <row r="35" spans="1:16">
      <c r="G35" s="2" t="e">
        <f t="shared" ref="G35:G39" si="8">BinaryTree_call("e",A35,D35,C35,0,E35,B35,F35)</f>
        <v>#VALUE!</v>
      </c>
      <c r="H35" s="13">
        <v>9.203273049991445</v>
      </c>
      <c r="I35" s="13">
        <v>0</v>
      </c>
      <c r="J35" s="13">
        <v>100</v>
      </c>
      <c r="K35" s="13" t="str">
        <f>IF(AND(表1_3[[#This Row],[美式看涨期权]]&gt;表1_3[[#This Row],[下限]],表1_3[[#This Row],[美式看涨期权]]&lt;表1_3[[#This Row],[上限]]),"Yes","No")</f>
        <v>Yes</v>
      </c>
      <c r="L35" s="2"/>
      <c r="M35" s="13">
        <v>12.287852457560145</v>
      </c>
      <c r="N35" s="13">
        <v>0</v>
      </c>
      <c r="O35" s="13">
        <v>100</v>
      </c>
      <c r="P35" s="13" t="str">
        <f>IF(AND(表1_3[[#This Row],[美式看跌期权]]&gt;表1_3[[#This Row],[期权下限]],表1_3[[#This Row],[美式看跌期权]]&lt;表1_3[[#This Row],[期权上限]]),"Yes","No")</f>
        <v>Yes</v>
      </c>
    </row>
    <row r="36" spans="1:16">
      <c r="G36" s="2" t="e">
        <f t="shared" si="8"/>
        <v>#VALUE!</v>
      </c>
      <c r="H36" s="13">
        <v>6.5941414252954322</v>
      </c>
      <c r="I36" s="13">
        <v>0</v>
      </c>
      <c r="J36" s="13">
        <v>100</v>
      </c>
      <c r="K36" s="13" t="str">
        <f>IF(AND(表1_3[[#This Row],[美式看涨期权]]&gt;表1_3[[#This Row],[下限]],表1_3[[#This Row],[美式看涨期权]]&lt;表1_3[[#This Row],[上限]]),"Yes","No")</f>
        <v>Yes</v>
      </c>
      <c r="L36" s="2"/>
      <c r="M36" s="13">
        <v>17.202313837203498</v>
      </c>
      <c r="N36" s="13">
        <v>0</v>
      </c>
      <c r="O36" s="13">
        <v>100</v>
      </c>
      <c r="P36" s="13" t="str">
        <f>IF(AND(表1_3[[#This Row],[美式看跌期权]]&gt;表1_3[[#This Row],[期权下限]],表1_3[[#This Row],[美式看跌期权]]&lt;表1_3[[#This Row],[期权上限]]),"Yes","No")</f>
        <v>Yes</v>
      </c>
    </row>
    <row r="37" spans="1:16">
      <c r="G37" s="2" t="e">
        <f t="shared" si="8"/>
        <v>#VALUE!</v>
      </c>
      <c r="H37" s="13">
        <v>4.9438682831584684</v>
      </c>
      <c r="I37" s="13">
        <v>0</v>
      </c>
      <c r="J37" s="13">
        <v>100</v>
      </c>
      <c r="K37" s="13" t="str">
        <f>IF(AND(表1_3[[#This Row],[美式看涨期权]]&gt;表1_3[[#This Row],[下限]],表1_3[[#This Row],[美式看涨期权]]&lt;表1_3[[#This Row],[上限]]),"Yes","No")</f>
        <v>Yes</v>
      </c>
      <c r="L37" s="2"/>
      <c r="M37" s="13">
        <v>22.665264844994628</v>
      </c>
      <c r="N37" s="13">
        <v>0</v>
      </c>
      <c r="O37" s="13">
        <v>100</v>
      </c>
      <c r="P37" s="13" t="str">
        <f>IF(AND(表1_3[[#This Row],[美式看跌期权]]&gt;表1_3[[#This Row],[期权下限]],表1_3[[#This Row],[美式看跌期权]]&lt;表1_3[[#This Row],[期权上限]]),"Yes","No")</f>
        <v>Yes</v>
      </c>
    </row>
    <row r="38" spans="1:16">
      <c r="G38" s="2" t="e">
        <f t="shared" si="8"/>
        <v>#VALUE!</v>
      </c>
      <c r="H38" s="13">
        <v>3.8351704118301484</v>
      </c>
      <c r="I38" s="13">
        <v>0</v>
      </c>
      <c r="J38" s="13">
        <v>100</v>
      </c>
      <c r="K38" s="13" t="str">
        <f>IF(AND(表1_3[[#This Row],[美式看涨期权]]&gt;表1_3[[#This Row],[下限]],表1_3[[#This Row],[美式看涨期权]]&lt;表1_3[[#This Row],[上限]]),"Yes","No")</f>
        <v>Yes</v>
      </c>
      <c r="L38" s="2"/>
      <c r="M38" s="13">
        <v>28.365072685153663</v>
      </c>
      <c r="N38" s="13">
        <v>0</v>
      </c>
      <c r="O38" s="13">
        <v>100</v>
      </c>
      <c r="P38" s="13" t="str">
        <f>IF(AND(表1_3[[#This Row],[美式看跌期权]]&gt;表1_3[[#This Row],[期权下限]],表1_3[[#This Row],[美式看跌期权]]&lt;表1_3[[#This Row],[期权上限]]),"Yes","No")</f>
        <v>Yes</v>
      </c>
    </row>
    <row r="39" spans="1:16">
      <c r="G39" s="2" t="e">
        <f t="shared" si="8"/>
        <v>#VALUE!</v>
      </c>
      <c r="H39" s="13">
        <v>3.0916833659700043</v>
      </c>
      <c r="I39" s="13">
        <v>0</v>
      </c>
      <c r="J39" s="13">
        <v>100</v>
      </c>
      <c r="K39" s="13" t="str">
        <f>IF(AND(表1_3[[#This Row],[美式看涨期权]]&gt;表1_3[[#This Row],[下限]],表1_3[[#This Row],[美式看涨期权]]&lt;表1_3[[#This Row],[上限]]),"Yes","No")</f>
        <v>Yes</v>
      </c>
      <c r="L39" s="2"/>
      <c r="M39" s="13">
        <v>34.056246969606377</v>
      </c>
      <c r="N39" s="13">
        <v>0</v>
      </c>
      <c r="O39" s="13">
        <v>100</v>
      </c>
      <c r="P39" s="13" t="str">
        <f>IF(AND(表1_3[[#This Row],[美式看跌期权]]&gt;表1_3[[#This Row],[期权下限]],表1_3[[#This Row],[美式看跌期权]]&lt;表1_3[[#This Row],[期权上限]]),"Yes","No")</f>
        <v>Yes</v>
      </c>
    </row>
    <row r="52" spans="1:15">
      <c r="A52" s="2" t="s">
        <v>20</v>
      </c>
      <c r="B52" s="2" t="s">
        <v>21</v>
      </c>
      <c r="C52" s="2" t="s">
        <v>25</v>
      </c>
      <c r="D52" s="2" t="s">
        <v>26</v>
      </c>
      <c r="E52" s="2" t="s">
        <v>28</v>
      </c>
      <c r="F52" s="2" t="s">
        <v>31</v>
      </c>
      <c r="G52" s="2" t="s">
        <v>43</v>
      </c>
    </row>
    <row r="53" spans="1:15">
      <c r="A53" s="2" t="s">
        <v>22</v>
      </c>
      <c r="B53" s="2" t="s">
        <v>23</v>
      </c>
      <c r="C53" s="2" t="s">
        <v>24</v>
      </c>
      <c r="D53" s="2" t="s">
        <v>27</v>
      </c>
      <c r="E53" s="2" t="s">
        <v>29</v>
      </c>
      <c r="F53" s="2" t="s">
        <v>30</v>
      </c>
      <c r="G53" s="2" t="s">
        <v>44</v>
      </c>
    </row>
    <row r="54" spans="1:15">
      <c r="A54" s="15">
        <v>100</v>
      </c>
      <c r="B54" s="10">
        <v>100</v>
      </c>
      <c r="C54" s="9">
        <v>0.03</v>
      </c>
      <c r="D54" s="2">
        <v>0.2</v>
      </c>
      <c r="E54" s="2">
        <v>2</v>
      </c>
      <c r="F54" s="2">
        <v>50</v>
      </c>
      <c r="G54" s="17">
        <v>0.05</v>
      </c>
      <c r="H54" s="19">
        <f>BinaryTree_call("a",A54,D54,C54,G54,E54,B54,F54)</f>
        <v>9.203273049991445</v>
      </c>
      <c r="I54" s="19">
        <f>MAX(A54-B54,0)</f>
        <v>0</v>
      </c>
      <c r="J54" s="19">
        <f>A54</f>
        <v>100</v>
      </c>
      <c r="K54" s="20" t="e">
        <f>IF(AND(表1_3[[#This Row],[美式看涨期权]]&gt;表1_3[[#This Row],[下限]],表1_3[[#This Row],[美式看涨期权]]&lt;表1_3[[#This Row],[上限]]),"Yes","No")</f>
        <v>#VALUE!</v>
      </c>
      <c r="L54">
        <v>1</v>
      </c>
      <c r="M54" s="21">
        <f>BinaryTree_put("a",A54,D54,C54,G54,E54,B54,F54)</f>
        <v>12.287852457560145</v>
      </c>
      <c r="N54" s="18">
        <f>MAX(B54-A54,0)</f>
        <v>0</v>
      </c>
      <c r="O54" s="18">
        <f t="shared" ref="O54:O58" si="9">B54</f>
        <v>100</v>
      </c>
    </row>
    <row r="55" spans="1:15">
      <c r="A55" s="15">
        <v>100</v>
      </c>
      <c r="B55" s="10">
        <v>100</v>
      </c>
      <c r="C55" s="9">
        <v>0.03</v>
      </c>
      <c r="D55" s="2">
        <v>0.2</v>
      </c>
      <c r="E55" s="2">
        <v>2</v>
      </c>
      <c r="F55" s="2">
        <v>100</v>
      </c>
      <c r="G55" s="17">
        <v>0.1</v>
      </c>
      <c r="H55" s="19">
        <f t="shared" ref="H55:H58" si="10">BinaryTree_call("a",A55,D55,C55,G55,E55,B55,F55)</f>
        <v>6.5941414252954322</v>
      </c>
      <c r="I55" s="19">
        <f t="shared" ref="I55:I58" si="11">MAX(A55-B55,0)</f>
        <v>0</v>
      </c>
      <c r="J55" s="19">
        <f t="shared" ref="J55:J58" si="12">A55</f>
        <v>100</v>
      </c>
      <c r="L55">
        <v>1</v>
      </c>
      <c r="M55" s="21">
        <f t="shared" ref="M55:M58" si="13">BinaryTree_put("a",A55,D55,C55,G55,E55,B55,F55)</f>
        <v>17.202313837203498</v>
      </c>
      <c r="N55" s="18">
        <f t="shared" ref="N55:N58" si="14">MAX(B55-A55,0)</f>
        <v>0</v>
      </c>
      <c r="O55" s="18">
        <f t="shared" si="9"/>
        <v>100</v>
      </c>
    </row>
    <row r="56" spans="1:15">
      <c r="A56" s="15">
        <v>100</v>
      </c>
      <c r="B56" s="10">
        <v>100</v>
      </c>
      <c r="C56" s="9">
        <v>0.03</v>
      </c>
      <c r="D56" s="2">
        <v>0.2</v>
      </c>
      <c r="E56" s="2">
        <v>2</v>
      </c>
      <c r="F56" s="2">
        <v>150</v>
      </c>
      <c r="G56" s="17">
        <v>0.15</v>
      </c>
      <c r="H56" s="19">
        <f t="shared" si="10"/>
        <v>4.9438682831584684</v>
      </c>
      <c r="I56" s="19">
        <f t="shared" si="11"/>
        <v>0</v>
      </c>
      <c r="J56" s="19">
        <f t="shared" si="12"/>
        <v>100</v>
      </c>
      <c r="L56">
        <v>1</v>
      </c>
      <c r="M56" s="21">
        <f t="shared" si="13"/>
        <v>22.665264844994628</v>
      </c>
      <c r="N56" s="18">
        <f t="shared" si="14"/>
        <v>0</v>
      </c>
      <c r="O56" s="18">
        <f t="shared" si="9"/>
        <v>100</v>
      </c>
    </row>
    <row r="57" spans="1:15">
      <c r="A57" s="15">
        <v>100</v>
      </c>
      <c r="B57" s="10">
        <v>100</v>
      </c>
      <c r="C57" s="9">
        <v>0.03</v>
      </c>
      <c r="D57" s="2">
        <v>0.2</v>
      </c>
      <c r="E57" s="2">
        <v>2</v>
      </c>
      <c r="F57" s="2">
        <v>100</v>
      </c>
      <c r="G57" s="17">
        <v>0.2</v>
      </c>
      <c r="H57" s="19">
        <f t="shared" si="10"/>
        <v>3.8351704118301484</v>
      </c>
      <c r="I57" s="19">
        <f t="shared" si="11"/>
        <v>0</v>
      </c>
      <c r="J57" s="19">
        <f t="shared" si="12"/>
        <v>100</v>
      </c>
      <c r="L57">
        <v>1</v>
      </c>
      <c r="M57" s="21">
        <f t="shared" si="13"/>
        <v>28.365072685153663</v>
      </c>
      <c r="N57" s="18">
        <f t="shared" si="14"/>
        <v>0</v>
      </c>
      <c r="O57" s="18">
        <f t="shared" si="9"/>
        <v>100</v>
      </c>
    </row>
    <row r="58" spans="1:15">
      <c r="A58" s="15">
        <v>100</v>
      </c>
      <c r="B58" s="10">
        <v>100</v>
      </c>
      <c r="C58" s="9">
        <v>0.03</v>
      </c>
      <c r="D58" s="2">
        <v>0.2</v>
      </c>
      <c r="E58" s="2">
        <v>2</v>
      </c>
      <c r="F58" s="2">
        <v>150</v>
      </c>
      <c r="G58" s="17">
        <v>0.25</v>
      </c>
      <c r="H58" s="19">
        <f t="shared" si="10"/>
        <v>3.0916833659700043</v>
      </c>
      <c r="I58" s="19">
        <f t="shared" si="11"/>
        <v>0</v>
      </c>
      <c r="J58" s="19">
        <f t="shared" si="12"/>
        <v>100</v>
      </c>
      <c r="L58">
        <v>1</v>
      </c>
      <c r="M58" s="21">
        <f t="shared" si="13"/>
        <v>34.056246969606377</v>
      </c>
      <c r="N58" s="18">
        <f t="shared" si="14"/>
        <v>0</v>
      </c>
      <c r="O58" s="18">
        <f t="shared" si="9"/>
        <v>100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13</vt:i4>
      </vt:variant>
    </vt:vector>
  </HeadingPairs>
  <TitlesOfParts>
    <vt:vector size="18" baseType="lpstr">
      <vt:lpstr>BS公式</vt:lpstr>
      <vt:lpstr>(欧美式)期权二叉树定价</vt:lpstr>
      <vt:lpstr>第三题实验表格</vt:lpstr>
      <vt:lpstr>第四题实验表格</vt:lpstr>
      <vt:lpstr>第五题实验表格</vt:lpstr>
      <vt:lpstr>bs_q</vt:lpstr>
      <vt:lpstr>bs_rf</vt:lpstr>
      <vt:lpstr>bs_s</vt:lpstr>
      <vt:lpstr>bs_sigma</vt:lpstr>
      <vt:lpstr>bs_T</vt:lpstr>
      <vt:lpstr>bs_X</vt:lpstr>
      <vt:lpstr>N</vt:lpstr>
      <vt:lpstr>q</vt:lpstr>
      <vt:lpstr>rf</vt:lpstr>
      <vt:lpstr>S0</vt:lpstr>
      <vt:lpstr>Sigma</vt:lpstr>
      <vt:lpstr>T</vt:lpstr>
      <vt:lpstr>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jjj</dc:creator>
  <cp:lastModifiedBy>万沪宁</cp:lastModifiedBy>
  <dcterms:created xsi:type="dcterms:W3CDTF">2014-11-01T13:58:10Z</dcterms:created>
  <dcterms:modified xsi:type="dcterms:W3CDTF">2020-11-20T03:30:25Z</dcterms:modified>
</cp:coreProperties>
</file>