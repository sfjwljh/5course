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chen\Documents\WeChat Files\wxid_njujk9041jcy11\FileStorage\File\2022-12\"/>
    </mc:Choice>
  </mc:AlternateContent>
  <xr:revisionPtr revIDLastSave="0" documentId="13_ncr:1_{575B6B78-3160-4824-BF5B-A4206ADFC4F2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公式应用示例" sheetId="1" r:id="rId1"/>
    <sheet name="Sheet1" sheetId="2" r:id="rId2"/>
  </sheets>
  <functionGroups builtInGroupCount="19"/>
  <definedNames>
    <definedName name="q">公式应用示例!$B$4</definedName>
    <definedName name="rf">公式应用示例!$B$3</definedName>
    <definedName name="S">公式应用示例!$B$1</definedName>
    <definedName name="T">公式应用示例!$B$5</definedName>
    <definedName name="X">公式应用示例!$B$6</definedName>
    <definedName name="σ">公式应用示例!$B$2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43" i="1" l="1"/>
  <c r="W43" i="1"/>
  <c r="V43" i="1"/>
  <c r="X42" i="1"/>
  <c r="W42" i="1"/>
  <c r="V42" i="1"/>
  <c r="X41" i="1"/>
  <c r="W41" i="1"/>
  <c r="V41" i="1"/>
  <c r="X40" i="1"/>
  <c r="W40" i="1"/>
  <c r="V40" i="1"/>
  <c r="X39" i="1"/>
  <c r="W39" i="1"/>
  <c r="V39" i="1"/>
  <c r="X38" i="1"/>
  <c r="W38" i="1"/>
  <c r="V38" i="1"/>
  <c r="X37" i="1"/>
  <c r="W37" i="1"/>
  <c r="V37" i="1"/>
  <c r="X36" i="1"/>
  <c r="W36" i="1"/>
  <c r="V36" i="1"/>
  <c r="X35" i="1"/>
  <c r="W35" i="1"/>
  <c r="V35" i="1"/>
  <c r="X34" i="1"/>
  <c r="W34" i="1"/>
  <c r="V34" i="1"/>
  <c r="X33" i="1"/>
  <c r="W33" i="1"/>
  <c r="V33" i="1"/>
  <c r="X32" i="1"/>
  <c r="W32" i="1"/>
  <c r="V32" i="1"/>
  <c r="X31" i="1"/>
  <c r="W31" i="1"/>
  <c r="V31" i="1"/>
  <c r="X30" i="1"/>
  <c r="W30" i="1"/>
  <c r="V30" i="1"/>
  <c r="X29" i="1"/>
  <c r="W29" i="1"/>
  <c r="V29" i="1"/>
  <c r="X28" i="1"/>
  <c r="W28" i="1"/>
  <c r="V28" i="1"/>
  <c r="X27" i="1"/>
  <c r="W27" i="1"/>
  <c r="V27" i="1"/>
  <c r="X26" i="1"/>
  <c r="W26" i="1"/>
  <c r="V26" i="1"/>
  <c r="X25" i="1"/>
  <c r="W25" i="1"/>
  <c r="V25" i="1"/>
  <c r="X24" i="1"/>
  <c r="W24" i="1"/>
  <c r="V24" i="1"/>
  <c r="X23" i="1"/>
  <c r="W23" i="1"/>
  <c r="V23" i="1"/>
  <c r="X22" i="1"/>
  <c r="W22" i="1"/>
  <c r="V22" i="1"/>
  <c r="X21" i="1"/>
  <c r="W21" i="1"/>
  <c r="V21" i="1"/>
  <c r="X20" i="1"/>
  <c r="W20" i="1"/>
  <c r="V20" i="1"/>
  <c r="X19" i="1"/>
  <c r="W19" i="1"/>
  <c r="V19" i="1"/>
  <c r="X18" i="1"/>
  <c r="W18" i="1"/>
  <c r="V18" i="1"/>
  <c r="X17" i="1"/>
  <c r="W17" i="1"/>
  <c r="V17" i="1"/>
  <c r="X16" i="1"/>
  <c r="W16" i="1"/>
  <c r="V16" i="1"/>
  <c r="X15" i="1"/>
  <c r="W15" i="1"/>
  <c r="V15" i="1"/>
  <c r="X14" i="1"/>
  <c r="W14" i="1"/>
  <c r="V14" i="1"/>
  <c r="X13" i="1"/>
  <c r="W13" i="1"/>
  <c r="V13" i="1"/>
  <c r="X12" i="1"/>
  <c r="W12" i="1"/>
  <c r="V12" i="1"/>
  <c r="X11" i="1"/>
  <c r="W11" i="1"/>
  <c r="V11" i="1"/>
  <c r="AO12" i="1"/>
  <c r="AO18" i="1"/>
  <c r="AO24" i="1"/>
  <c r="AO30" i="1"/>
  <c r="AP12" i="1"/>
  <c r="AP18" i="1"/>
  <c r="AP24" i="1"/>
  <c r="AP30" i="1"/>
  <c r="AO13" i="1"/>
  <c r="AO19" i="1"/>
  <c r="AO25" i="1"/>
  <c r="AP13" i="1"/>
  <c r="AP19" i="1"/>
  <c r="AP25" i="1"/>
  <c r="AO14" i="1"/>
  <c r="AO20" i="1"/>
  <c r="AO26" i="1"/>
  <c r="AP14" i="1"/>
  <c r="AP20" i="1"/>
  <c r="AP26" i="1"/>
  <c r="AO15" i="1"/>
  <c r="AO21" i="1"/>
  <c r="AO27" i="1"/>
  <c r="AP15" i="1"/>
  <c r="AP21" i="1"/>
  <c r="AP27" i="1"/>
  <c r="AO16" i="1"/>
  <c r="AO22" i="1"/>
  <c r="AO28" i="1"/>
  <c r="AP16" i="1"/>
  <c r="AP22" i="1"/>
  <c r="AP28" i="1"/>
  <c r="AO17" i="1"/>
  <c r="AO23" i="1"/>
  <c r="AO29" i="1"/>
  <c r="AP17" i="1"/>
  <c r="AP23" i="1"/>
  <c r="AP29" i="1"/>
  <c r="AP11" i="1"/>
  <c r="AO11" i="1"/>
  <c r="AK12" i="1"/>
  <c r="AK18" i="1"/>
  <c r="AK24" i="1"/>
  <c r="AK30" i="1"/>
  <c r="AL12" i="1"/>
  <c r="AL18" i="1"/>
  <c r="AL24" i="1"/>
  <c r="AL30" i="1"/>
  <c r="AK13" i="1"/>
  <c r="AK19" i="1"/>
  <c r="AK25" i="1"/>
  <c r="AL13" i="1"/>
  <c r="AL19" i="1"/>
  <c r="AL25" i="1"/>
  <c r="AK14" i="1"/>
  <c r="AK20" i="1"/>
  <c r="AK26" i="1"/>
  <c r="AL14" i="1"/>
  <c r="AL20" i="1"/>
  <c r="AL26" i="1"/>
  <c r="AK15" i="1"/>
  <c r="AK21" i="1"/>
  <c r="AK27" i="1"/>
  <c r="AL15" i="1"/>
  <c r="AL21" i="1"/>
  <c r="AL27" i="1"/>
  <c r="AK16" i="1"/>
  <c r="AK22" i="1"/>
  <c r="AK28" i="1"/>
  <c r="AL16" i="1"/>
  <c r="AL22" i="1"/>
  <c r="AL28" i="1"/>
  <c r="AK17" i="1"/>
  <c r="AK23" i="1"/>
  <c r="AK29" i="1"/>
  <c r="AL17" i="1"/>
  <c r="AL23" i="1"/>
  <c r="AL29" i="1"/>
  <c r="AL11" i="1"/>
  <c r="AK11" i="1"/>
  <c r="AG12" i="1"/>
  <c r="AG18" i="1"/>
  <c r="AG24" i="1"/>
  <c r="AG30" i="1"/>
  <c r="AH12" i="1"/>
  <c r="AH18" i="1"/>
  <c r="AH24" i="1"/>
  <c r="AH30" i="1"/>
  <c r="AG13" i="1"/>
  <c r="AG19" i="1"/>
  <c r="AG25" i="1"/>
  <c r="AH13" i="1"/>
  <c r="AH19" i="1"/>
  <c r="AH25" i="1"/>
  <c r="AG14" i="1"/>
  <c r="AG20" i="1"/>
  <c r="AG26" i="1"/>
  <c r="AH14" i="1"/>
  <c r="AH20" i="1"/>
  <c r="AH26" i="1"/>
  <c r="AG15" i="1"/>
  <c r="AG21" i="1"/>
  <c r="AG27" i="1"/>
  <c r="AH15" i="1"/>
  <c r="AH21" i="1"/>
  <c r="AH27" i="1"/>
  <c r="AG16" i="1"/>
  <c r="AG22" i="1"/>
  <c r="AG28" i="1"/>
  <c r="AH16" i="1"/>
  <c r="AH22" i="1"/>
  <c r="AH28" i="1"/>
  <c r="AG17" i="1"/>
  <c r="AG23" i="1"/>
  <c r="AG29" i="1"/>
  <c r="AH17" i="1"/>
  <c r="AH23" i="1"/>
  <c r="AH29" i="1"/>
  <c r="AH11" i="1"/>
  <c r="AG11" i="1"/>
  <c r="AD12" i="1"/>
  <c r="AD24" i="1"/>
  <c r="AD13" i="1"/>
  <c r="AD25" i="1"/>
  <c r="AD14" i="1"/>
  <c r="AD26" i="1"/>
  <c r="AD15" i="1"/>
  <c r="AD27" i="1"/>
  <c r="AD16" i="1"/>
  <c r="AD28" i="1"/>
  <c r="AD17" i="1"/>
  <c r="AD29" i="1"/>
  <c r="AD18" i="1"/>
  <c r="AD30" i="1"/>
  <c r="AD19" i="1"/>
  <c r="AD20" i="1"/>
  <c r="AD21" i="1"/>
  <c r="AD22" i="1"/>
  <c r="AD23" i="1"/>
  <c r="AD11" i="1"/>
  <c r="AC12" i="1"/>
  <c r="AC24" i="1"/>
  <c r="AC13" i="1"/>
  <c r="AC25" i="1"/>
  <c r="AC14" i="1"/>
  <c r="AC26" i="1"/>
  <c r="AC15" i="1"/>
  <c r="AC27" i="1"/>
  <c r="AC16" i="1"/>
  <c r="AC28" i="1"/>
  <c r="AC17" i="1"/>
  <c r="AC29" i="1"/>
  <c r="AC18" i="1"/>
  <c r="AC30" i="1"/>
  <c r="AC19" i="1"/>
  <c r="AC20" i="1"/>
  <c r="AC21" i="1"/>
  <c r="AC22" i="1"/>
  <c r="AC23" i="1"/>
  <c r="AC11" i="1"/>
  <c r="S12" i="1"/>
  <c r="S16" i="1"/>
  <c r="S20" i="1"/>
  <c r="S24" i="1"/>
  <c r="S28" i="1"/>
  <c r="S32" i="1"/>
  <c r="S36" i="1"/>
  <c r="S40" i="1"/>
  <c r="S44" i="1"/>
  <c r="S37" i="1"/>
  <c r="T13" i="1"/>
  <c r="T21" i="1"/>
  <c r="T29" i="1"/>
  <c r="T33" i="1"/>
  <c r="T41" i="1"/>
  <c r="U21" i="1"/>
  <c r="U29" i="1"/>
  <c r="U41" i="1"/>
  <c r="S18" i="1"/>
  <c r="S26" i="1"/>
  <c r="S34" i="1"/>
  <c r="S38" i="1"/>
  <c r="T14" i="1"/>
  <c r="T22" i="1"/>
  <c r="T30" i="1"/>
  <c r="T38" i="1"/>
  <c r="U14" i="1"/>
  <c r="U22" i="1"/>
  <c r="U30" i="1"/>
  <c r="U38" i="1"/>
  <c r="S15" i="1"/>
  <c r="S23" i="1"/>
  <c r="S31" i="1"/>
  <c r="S39" i="1"/>
  <c r="T15" i="1"/>
  <c r="T23" i="1"/>
  <c r="T31" i="1"/>
  <c r="T39" i="1"/>
  <c r="U15" i="1"/>
  <c r="U23" i="1"/>
  <c r="U31" i="1"/>
  <c r="U39" i="1"/>
  <c r="T12" i="1"/>
  <c r="T16" i="1"/>
  <c r="T20" i="1"/>
  <c r="T24" i="1"/>
  <c r="T28" i="1"/>
  <c r="T32" i="1"/>
  <c r="T36" i="1"/>
  <c r="T40" i="1"/>
  <c r="T44" i="1"/>
  <c r="U12" i="1"/>
  <c r="U16" i="1"/>
  <c r="U20" i="1"/>
  <c r="U24" i="1"/>
  <c r="U28" i="1"/>
  <c r="U32" i="1"/>
  <c r="U36" i="1"/>
  <c r="U40" i="1"/>
  <c r="U44" i="1"/>
  <c r="S13" i="1"/>
  <c r="S17" i="1"/>
  <c r="S21" i="1"/>
  <c r="S25" i="1"/>
  <c r="S29" i="1"/>
  <c r="S33" i="1"/>
  <c r="S41" i="1"/>
  <c r="T17" i="1"/>
  <c r="T25" i="1"/>
  <c r="T37" i="1"/>
  <c r="U13" i="1"/>
  <c r="U17" i="1"/>
  <c r="U25" i="1"/>
  <c r="U33" i="1"/>
  <c r="U37" i="1"/>
  <c r="S14" i="1"/>
  <c r="S22" i="1"/>
  <c r="S30" i="1"/>
  <c r="S42" i="1"/>
  <c r="T18" i="1"/>
  <c r="T26" i="1"/>
  <c r="T34" i="1"/>
  <c r="T42" i="1"/>
  <c r="U18" i="1"/>
  <c r="U26" i="1"/>
  <c r="U34" i="1"/>
  <c r="U42" i="1"/>
  <c r="S19" i="1"/>
  <c r="S27" i="1"/>
  <c r="S35" i="1"/>
  <c r="S43" i="1"/>
  <c r="T19" i="1"/>
  <c r="T27" i="1"/>
  <c r="T35" i="1"/>
  <c r="T43" i="1"/>
  <c r="U19" i="1"/>
  <c r="U27" i="1"/>
  <c r="U35" i="1"/>
  <c r="U43" i="1"/>
  <c r="U11" i="1"/>
  <c r="T11" i="1"/>
  <c r="K11" i="1"/>
  <c r="S11" i="1"/>
  <c r="J11" i="1"/>
  <c r="J23" i="1"/>
  <c r="J27" i="1"/>
  <c r="J35" i="1"/>
  <c r="J39" i="1"/>
  <c r="J31" i="1"/>
  <c r="J43" i="1"/>
  <c r="K23" i="1"/>
  <c r="K27" i="1"/>
  <c r="K31" i="1"/>
  <c r="K35" i="1"/>
  <c r="K39" i="1"/>
  <c r="K43" i="1"/>
  <c r="L31" i="1"/>
  <c r="L35" i="1"/>
  <c r="L39" i="1"/>
  <c r="L43" i="1"/>
  <c r="J24" i="1"/>
  <c r="J32" i="1"/>
  <c r="J36" i="1"/>
  <c r="J40" i="1"/>
  <c r="J44" i="1"/>
  <c r="L23" i="1"/>
  <c r="L27" i="1"/>
  <c r="K24" i="1"/>
  <c r="K28" i="1"/>
  <c r="K32" i="1"/>
  <c r="K36" i="1"/>
  <c r="K40" i="1"/>
  <c r="K44" i="1"/>
  <c r="O43" i="1" l="1"/>
  <c r="O39" i="1"/>
  <c r="O35" i="1"/>
  <c r="O31" i="1"/>
  <c r="O27" i="1"/>
  <c r="O23" i="1"/>
  <c r="N43" i="1"/>
  <c r="N39" i="1"/>
  <c r="N35" i="1"/>
  <c r="N31" i="1"/>
  <c r="N23" i="1"/>
  <c r="J29" i="1"/>
  <c r="J33" i="1"/>
  <c r="J37" i="1"/>
  <c r="J41" i="1"/>
  <c r="L28" i="1"/>
  <c r="J25" i="1"/>
  <c r="L24" i="1"/>
  <c r="L32" i="1"/>
  <c r="L36" i="1"/>
  <c r="L40" i="1"/>
  <c r="L44" i="1"/>
  <c r="K25" i="1"/>
  <c r="K29" i="1"/>
  <c r="K33" i="1"/>
  <c r="K37" i="1"/>
  <c r="K41" i="1"/>
  <c r="O40" i="1" l="1"/>
  <c r="O36" i="1"/>
  <c r="O32" i="1"/>
  <c r="O28" i="1"/>
  <c r="O24" i="1"/>
  <c r="P43" i="1"/>
  <c r="P39" i="1"/>
  <c r="P35" i="1"/>
  <c r="P31" i="1"/>
  <c r="P23" i="1"/>
  <c r="N24" i="1"/>
  <c r="P27" i="1"/>
  <c r="N40" i="1"/>
  <c r="N36" i="1"/>
  <c r="N32" i="1"/>
  <c r="J38" i="1"/>
  <c r="L37" i="1"/>
  <c r="J26" i="1"/>
  <c r="J34" i="1"/>
  <c r="J42" i="1"/>
  <c r="L25" i="1"/>
  <c r="L29" i="1"/>
  <c r="L33" i="1"/>
  <c r="L41" i="1"/>
  <c r="J30" i="1"/>
  <c r="K26" i="1"/>
  <c r="K30" i="1"/>
  <c r="K34" i="1"/>
  <c r="K38" i="1"/>
  <c r="K42" i="1"/>
  <c r="O41" i="1" l="1"/>
  <c r="O42" i="1"/>
  <c r="O37" i="1"/>
  <c r="O38" i="1"/>
  <c r="O33" i="1"/>
  <c r="O34" i="1"/>
  <c r="O29" i="1"/>
  <c r="O30" i="1"/>
  <c r="O25" i="1"/>
  <c r="O26" i="1"/>
  <c r="N29" i="1"/>
  <c r="N30" i="1"/>
  <c r="P40" i="1"/>
  <c r="P32" i="1"/>
  <c r="P28" i="1"/>
  <c r="P24" i="1"/>
  <c r="N41" i="1"/>
  <c r="N42" i="1"/>
  <c r="N33" i="1"/>
  <c r="N34" i="1"/>
  <c r="N25" i="1"/>
  <c r="N26" i="1"/>
  <c r="P36" i="1"/>
  <c r="N37" i="1"/>
  <c r="N38" i="1"/>
  <c r="L42" i="1"/>
  <c r="J28" i="1"/>
  <c r="L26" i="1"/>
  <c r="L34" i="1"/>
  <c r="L38" i="1"/>
  <c r="J13" i="1"/>
  <c r="J17" i="1"/>
  <c r="J21" i="1"/>
  <c r="L30" i="1"/>
  <c r="K13" i="1"/>
  <c r="K17" i="1"/>
  <c r="K21" i="1"/>
  <c r="P29" i="1" l="1"/>
  <c r="P30" i="1"/>
  <c r="P37" i="1"/>
  <c r="P38" i="1"/>
  <c r="P33" i="1"/>
  <c r="P34" i="1"/>
  <c r="P25" i="1"/>
  <c r="P26" i="1"/>
  <c r="N27" i="1"/>
  <c r="N28" i="1"/>
  <c r="P41" i="1"/>
  <c r="P42" i="1"/>
  <c r="L17" i="1"/>
  <c r="L21" i="1"/>
  <c r="J18" i="1"/>
  <c r="L13" i="1"/>
  <c r="J14" i="1"/>
  <c r="J22" i="1"/>
  <c r="K14" i="1"/>
  <c r="K18" i="1"/>
  <c r="K22" i="1"/>
  <c r="O21" i="1" l="1"/>
  <c r="O22" i="1"/>
  <c r="O17" i="1"/>
  <c r="O13" i="1"/>
  <c r="N21" i="1"/>
  <c r="N22" i="1"/>
  <c r="N13" i="1"/>
  <c r="N17" i="1"/>
  <c r="L18" i="1"/>
  <c r="J15" i="1"/>
  <c r="L22" i="1"/>
  <c r="L14" i="1"/>
  <c r="J19" i="1"/>
  <c r="K15" i="1"/>
  <c r="K19" i="1"/>
  <c r="O18" i="1" l="1"/>
  <c r="O14" i="1"/>
  <c r="N18" i="1"/>
  <c r="P13" i="1"/>
  <c r="P21" i="1"/>
  <c r="P22" i="1"/>
  <c r="N14" i="1"/>
  <c r="P17" i="1"/>
  <c r="L15" i="1"/>
  <c r="J16" i="1"/>
  <c r="L19" i="1"/>
  <c r="J20" i="1"/>
  <c r="K16" i="1"/>
  <c r="K20" i="1"/>
  <c r="O19" i="1" l="1"/>
  <c r="O20" i="1"/>
  <c r="O15" i="1"/>
  <c r="O16" i="1"/>
  <c r="N19" i="1"/>
  <c r="N20" i="1"/>
  <c r="P18" i="1"/>
  <c r="N15" i="1"/>
  <c r="N16" i="1"/>
  <c r="P14" i="1"/>
  <c r="B5" i="1"/>
  <c r="L20" i="1"/>
  <c r="L16" i="1"/>
  <c r="F145" i="1"/>
  <c r="F159" i="1"/>
  <c r="F53" i="1"/>
  <c r="F138" i="1"/>
  <c r="F199" i="1"/>
  <c r="F117" i="1"/>
  <c r="F23" i="1"/>
  <c r="F108" i="1"/>
  <c r="F98" i="1"/>
  <c r="F75" i="1"/>
  <c r="F148" i="1"/>
  <c r="F42" i="1"/>
  <c r="F139" i="1"/>
  <c r="F33" i="1"/>
  <c r="F130" i="1"/>
  <c r="F12" i="1"/>
  <c r="E60" i="1"/>
  <c r="E204" i="1"/>
  <c r="E145" i="1"/>
  <c r="E86" i="1"/>
  <c r="E27" i="1"/>
  <c r="E171" i="1"/>
  <c r="E112" i="1"/>
  <c r="E53" i="1"/>
  <c r="E197" i="1"/>
  <c r="E138" i="1"/>
  <c r="E79" i="1"/>
  <c r="E179" i="1"/>
  <c r="E188" i="1"/>
  <c r="E34" i="1"/>
  <c r="E116" i="1"/>
  <c r="E107" i="1"/>
  <c r="E118" i="1"/>
  <c r="C195" i="1"/>
  <c r="C189" i="1"/>
  <c r="C180" i="1"/>
  <c r="C136" i="1"/>
  <c r="C173" i="1"/>
  <c r="C210" i="1"/>
  <c r="C177" i="1"/>
  <c r="C192" i="1"/>
  <c r="B147" i="1"/>
  <c r="B196" i="1"/>
  <c r="B126" i="1"/>
  <c r="B152" i="1"/>
  <c r="B155" i="1"/>
  <c r="B134" i="1"/>
  <c r="B164" i="1"/>
  <c r="B179" i="1"/>
  <c r="B194" i="1"/>
  <c r="C49" i="1"/>
  <c r="C86" i="1"/>
  <c r="C29" i="1"/>
  <c r="C32" i="1"/>
  <c r="C35" i="1"/>
  <c r="C17" i="1"/>
  <c r="C20" i="1"/>
  <c r="C23" i="1"/>
  <c r="B108" i="1"/>
  <c r="B86" i="1"/>
  <c r="B65" i="1"/>
  <c r="B92" i="1"/>
  <c r="B107" i="1"/>
  <c r="B52" i="1"/>
  <c r="B67" i="1"/>
  <c r="B58" i="1"/>
  <c r="C61" i="1"/>
  <c r="C41" i="1"/>
  <c r="C59" i="1"/>
  <c r="B15" i="1"/>
  <c r="B21" i="1"/>
  <c r="B88" i="1"/>
  <c r="B82" i="1"/>
  <c r="F25" i="1"/>
  <c r="F207" i="1"/>
  <c r="F56" i="1"/>
  <c r="F71" i="1"/>
  <c r="F123" i="1"/>
  <c r="F187" i="1"/>
  <c r="F72" i="1"/>
  <c r="E25" i="1"/>
  <c r="E51" i="1"/>
  <c r="E77" i="1"/>
  <c r="E103" i="1"/>
  <c r="E139" i="1"/>
  <c r="E119" i="1"/>
  <c r="C133" i="1"/>
  <c r="C127" i="1"/>
  <c r="B171" i="1"/>
  <c r="B200" i="1"/>
  <c r="B129" i="1"/>
  <c r="C73" i="1"/>
  <c r="C68" i="1"/>
  <c r="C80" i="1"/>
  <c r="B37" i="1"/>
  <c r="B45" i="1"/>
  <c r="P15" i="1" l="1"/>
  <c r="P16" i="1"/>
  <c r="P19" i="1"/>
  <c r="P20" i="1"/>
  <c r="L11" i="1"/>
  <c r="F13" i="1"/>
  <c r="F157" i="1"/>
  <c r="F183" i="1"/>
  <c r="F77" i="1"/>
  <c r="F162" i="1"/>
  <c r="F32" i="1"/>
  <c r="F129" i="1"/>
  <c r="F47" i="1"/>
  <c r="F132" i="1"/>
  <c r="F110" i="1"/>
  <c r="F99" i="1"/>
  <c r="F172" i="1"/>
  <c r="F54" i="1"/>
  <c r="F163" i="1"/>
  <c r="F57" i="1"/>
  <c r="F154" i="1"/>
  <c r="F48" i="1"/>
  <c r="E72" i="1"/>
  <c r="E13" i="1"/>
  <c r="E157" i="1"/>
  <c r="E98" i="1"/>
  <c r="E39" i="1"/>
  <c r="E183" i="1"/>
  <c r="E124" i="1"/>
  <c r="E65" i="1"/>
  <c r="E209" i="1"/>
  <c r="E150" i="1"/>
  <c r="E91" i="1"/>
  <c r="E22" i="1"/>
  <c r="E32" i="1"/>
  <c r="E70" i="1"/>
  <c r="E175" i="1"/>
  <c r="E166" i="1"/>
  <c r="E177" i="1"/>
  <c r="C207" i="1"/>
  <c r="C118" i="1"/>
  <c r="C204" i="1"/>
  <c r="C148" i="1"/>
  <c r="C185" i="1"/>
  <c r="C115" i="1"/>
  <c r="C201" i="1"/>
  <c r="C121" i="1"/>
  <c r="B159" i="1"/>
  <c r="B208" i="1"/>
  <c r="B138" i="1"/>
  <c r="B176" i="1"/>
  <c r="B167" i="1"/>
  <c r="B158" i="1"/>
  <c r="B188" i="1"/>
  <c r="B203" i="1"/>
  <c r="C12" i="1"/>
  <c r="C98" i="1"/>
  <c r="C53" i="1"/>
  <c r="C56" i="1"/>
  <c r="C47" i="1"/>
  <c r="C44" i="1"/>
  <c r="B25" i="1"/>
  <c r="B89" i="1"/>
  <c r="B13" i="1"/>
  <c r="B91" i="1"/>
  <c r="F169" i="1"/>
  <c r="F89" i="1"/>
  <c r="F186" i="1"/>
  <c r="F165" i="1"/>
  <c r="F156" i="1"/>
  <c r="F122" i="1"/>
  <c r="F196" i="1"/>
  <c r="F78" i="1"/>
  <c r="F81" i="1"/>
  <c r="F178" i="1"/>
  <c r="E84" i="1"/>
  <c r="E169" i="1"/>
  <c r="E110" i="1"/>
  <c r="E195" i="1"/>
  <c r="E136" i="1"/>
  <c r="E18" i="1"/>
  <c r="E162" i="1"/>
  <c r="E58" i="1"/>
  <c r="E68" i="1"/>
  <c r="E82" i="1"/>
  <c r="E80" i="1"/>
  <c r="C163" i="1"/>
  <c r="C142" i="1"/>
  <c r="C160" i="1"/>
  <c r="C197" i="1"/>
  <c r="C130" i="1"/>
  <c r="C145" i="1"/>
  <c r="B113" i="1"/>
  <c r="B150" i="1"/>
  <c r="B191" i="1"/>
  <c r="B182" i="1"/>
  <c r="B132" i="1"/>
  <c r="C24" i="1"/>
  <c r="C110" i="1"/>
  <c r="C77" i="1"/>
  <c r="C71" i="1"/>
  <c r="C65" i="1"/>
  <c r="C83" i="1"/>
  <c r="B39" i="1"/>
  <c r="B30" i="1"/>
  <c r="B109" i="1"/>
  <c r="B17" i="1"/>
  <c r="K12" i="1"/>
  <c r="F37" i="1"/>
  <c r="F181" i="1"/>
  <c r="F28" i="1"/>
  <c r="F113" i="1"/>
  <c r="F198" i="1"/>
  <c r="F80" i="1"/>
  <c r="F189" i="1"/>
  <c r="F95" i="1"/>
  <c r="F180" i="1"/>
  <c r="F134" i="1"/>
  <c r="F147" i="1"/>
  <c r="F17" i="1"/>
  <c r="F102" i="1"/>
  <c r="F20" i="1"/>
  <c r="F105" i="1"/>
  <c r="F202" i="1"/>
  <c r="F96" i="1"/>
  <c r="E96" i="1"/>
  <c r="E37" i="1"/>
  <c r="E181" i="1"/>
  <c r="E122" i="1"/>
  <c r="E63" i="1"/>
  <c r="E207" i="1"/>
  <c r="E148" i="1"/>
  <c r="E89" i="1"/>
  <c r="E30" i="1"/>
  <c r="E174" i="1"/>
  <c r="E20" i="1"/>
  <c r="E94" i="1"/>
  <c r="E104" i="1"/>
  <c r="E165" i="1"/>
  <c r="E117" i="1"/>
  <c r="E141" i="1"/>
  <c r="F11" i="1"/>
  <c r="C187" i="1"/>
  <c r="C166" i="1"/>
  <c r="C157" i="1"/>
  <c r="C172" i="1"/>
  <c r="C209" i="1"/>
  <c r="C139" i="1"/>
  <c r="C154" i="1"/>
  <c r="C181" i="1"/>
  <c r="B183" i="1"/>
  <c r="B125" i="1"/>
  <c r="B162" i="1"/>
  <c r="B117" i="1"/>
  <c r="B120" i="1"/>
  <c r="B206" i="1"/>
  <c r="B141" i="1"/>
  <c r="B156" i="1"/>
  <c r="C36" i="1"/>
  <c r="C85" i="1"/>
  <c r="C15" i="1"/>
  <c r="C101" i="1"/>
  <c r="C92" i="1"/>
  <c r="C95" i="1"/>
  <c r="C89" i="1"/>
  <c r="C104" i="1"/>
  <c r="C107" i="1"/>
  <c r="B49" i="1"/>
  <c r="B75" i="1"/>
  <c r="B54" i="1"/>
  <c r="B69" i="1"/>
  <c r="B38" i="1"/>
  <c r="B41" i="1"/>
  <c r="B44" i="1"/>
  <c r="B23" i="1"/>
  <c r="C48" i="1"/>
  <c r="C30" i="1"/>
  <c r="C25" i="1"/>
  <c r="C18" i="1"/>
  <c r="B12" i="1"/>
  <c r="B61" i="1"/>
  <c r="B78" i="1"/>
  <c r="B93" i="1"/>
  <c r="B77" i="1"/>
  <c r="B56" i="1"/>
  <c r="B47" i="1"/>
  <c r="F92" i="1"/>
  <c r="E73" i="1"/>
  <c r="E99" i="1"/>
  <c r="E184" i="1"/>
  <c r="E210" i="1"/>
  <c r="E187" i="1"/>
  <c r="E151" i="1"/>
  <c r="C123" i="1"/>
  <c r="C122" i="1"/>
  <c r="C138" i="1"/>
  <c r="C131" i="1"/>
  <c r="B112" i="1"/>
  <c r="B210" i="1"/>
  <c r="B115" i="1"/>
  <c r="B133" i="1"/>
  <c r="C75" i="1"/>
  <c r="C69" i="1"/>
  <c r="C81" i="1"/>
  <c r="B85" i="1"/>
  <c r="B46" i="1"/>
  <c r="B110" i="1"/>
  <c r="B95" i="1"/>
  <c r="F85" i="1"/>
  <c r="F136" i="1"/>
  <c r="F197" i="1"/>
  <c r="F188" i="1"/>
  <c r="F191" i="1"/>
  <c r="O11" i="1" l="1"/>
  <c r="O12" i="1"/>
  <c r="J12" i="1"/>
  <c r="F49" i="1"/>
  <c r="F193" i="1"/>
  <c r="F52" i="1"/>
  <c r="F137" i="1"/>
  <c r="F19" i="1"/>
  <c r="F104" i="1"/>
  <c r="F22" i="1"/>
  <c r="F119" i="1"/>
  <c r="F204" i="1"/>
  <c r="F146" i="1"/>
  <c r="F171" i="1"/>
  <c r="F41" i="1"/>
  <c r="F126" i="1"/>
  <c r="F44" i="1"/>
  <c r="F141" i="1"/>
  <c r="F35" i="1"/>
  <c r="F120" i="1"/>
  <c r="E108" i="1"/>
  <c r="E49" i="1"/>
  <c r="E193" i="1"/>
  <c r="E134" i="1"/>
  <c r="E75" i="1"/>
  <c r="E16" i="1"/>
  <c r="E160" i="1"/>
  <c r="E101" i="1"/>
  <c r="E42" i="1"/>
  <c r="E186" i="1"/>
  <c r="E56" i="1"/>
  <c r="E128" i="1"/>
  <c r="E130" i="1"/>
  <c r="E191" i="1"/>
  <c r="E176" i="1"/>
  <c r="E200" i="1"/>
  <c r="E11" i="1"/>
  <c r="C199" i="1"/>
  <c r="C190" i="1"/>
  <c r="C169" i="1"/>
  <c r="C184" i="1"/>
  <c r="C114" i="1"/>
  <c r="C151" i="1"/>
  <c r="C178" i="1"/>
  <c r="C205" i="1"/>
  <c r="B195" i="1"/>
  <c r="B137" i="1"/>
  <c r="B174" i="1"/>
  <c r="B153" i="1"/>
  <c r="B144" i="1"/>
  <c r="B148" i="1"/>
  <c r="B165" i="1"/>
  <c r="B180" i="1"/>
  <c r="C97" i="1"/>
  <c r="C39" i="1"/>
  <c r="C21" i="1"/>
  <c r="C33" i="1"/>
  <c r="B87" i="1"/>
  <c r="B74" i="1"/>
  <c r="F73" i="1"/>
  <c r="F70" i="1"/>
  <c r="F170" i="1"/>
  <c r="F174" i="1"/>
  <c r="F168" i="1"/>
  <c r="E158" i="1"/>
  <c r="E66" i="1"/>
  <c r="E140" i="1"/>
  <c r="C143" i="1"/>
  <c r="C146" i="1"/>
  <c r="B192" i="1"/>
  <c r="C14" i="1"/>
  <c r="C63" i="1"/>
  <c r="B40" i="1"/>
  <c r="B104" i="1"/>
  <c r="F182" i="1"/>
  <c r="F210" i="1"/>
  <c r="F107" i="1"/>
  <c r="E85" i="1"/>
  <c r="E170" i="1"/>
  <c r="E196" i="1"/>
  <c r="E78" i="1"/>
  <c r="E33" i="1"/>
  <c r="E201" i="1"/>
  <c r="C164" i="1"/>
  <c r="C113" i="1"/>
  <c r="C155" i="1"/>
  <c r="B173" i="1"/>
  <c r="F61" i="1"/>
  <c r="F205" i="1"/>
  <c r="F76" i="1"/>
  <c r="F161" i="1"/>
  <c r="F43" i="1"/>
  <c r="F128" i="1"/>
  <c r="F46" i="1"/>
  <c r="F155" i="1"/>
  <c r="F14" i="1"/>
  <c r="F158" i="1"/>
  <c r="F195" i="1"/>
  <c r="F65" i="1"/>
  <c r="F150" i="1"/>
  <c r="F68" i="1"/>
  <c r="F153" i="1"/>
  <c r="F59" i="1"/>
  <c r="F144" i="1"/>
  <c r="E120" i="1"/>
  <c r="E61" i="1"/>
  <c r="E205" i="1"/>
  <c r="E146" i="1"/>
  <c r="E87" i="1"/>
  <c r="E28" i="1"/>
  <c r="E172" i="1"/>
  <c r="E113" i="1"/>
  <c r="E54" i="1"/>
  <c r="E198" i="1"/>
  <c r="E92" i="1"/>
  <c r="E154" i="1"/>
  <c r="E163" i="1"/>
  <c r="E35" i="1"/>
  <c r="E47" i="1"/>
  <c r="E81" i="1"/>
  <c r="C111" i="1"/>
  <c r="C116" i="1"/>
  <c r="C119" i="1"/>
  <c r="C193" i="1"/>
  <c r="C196" i="1"/>
  <c r="C126" i="1"/>
  <c r="C175" i="1"/>
  <c r="C202" i="1"/>
  <c r="C134" i="1"/>
  <c r="B207" i="1"/>
  <c r="B149" i="1"/>
  <c r="B186" i="1"/>
  <c r="B177" i="1"/>
  <c r="B168" i="1"/>
  <c r="B198" i="1"/>
  <c r="B189" i="1"/>
  <c r="B204" i="1"/>
  <c r="C60" i="1"/>
  <c r="C109" i="1"/>
  <c r="C51" i="1"/>
  <c r="C54" i="1"/>
  <c r="C57" i="1"/>
  <c r="C27" i="1"/>
  <c r="C42" i="1"/>
  <c r="C45" i="1"/>
  <c r="B24" i="1"/>
  <c r="B73" i="1"/>
  <c r="B16" i="1"/>
  <c r="B102" i="1"/>
  <c r="B22" i="1"/>
  <c r="B98" i="1"/>
  <c r="B101" i="1"/>
  <c r="B80" i="1"/>
  <c r="B71" i="1"/>
  <c r="F27" i="1"/>
  <c r="F100" i="1"/>
  <c r="F185" i="1"/>
  <c r="F67" i="1"/>
  <c r="F164" i="1"/>
  <c r="F179" i="1"/>
  <c r="F26" i="1"/>
  <c r="F16" i="1"/>
  <c r="F101" i="1"/>
  <c r="F177" i="1"/>
  <c r="F83" i="1"/>
  <c r="E132" i="1"/>
  <c r="E14" i="1"/>
  <c r="E40" i="1"/>
  <c r="E125" i="1"/>
  <c r="E152" i="1"/>
  <c r="E189" i="1"/>
  <c r="E142" i="1"/>
  <c r="C140" i="1"/>
  <c r="C208" i="1"/>
  <c r="C128" i="1"/>
  <c r="B161" i="1"/>
  <c r="B201" i="1"/>
  <c r="B118" i="1"/>
  <c r="C72" i="1"/>
  <c r="C78" i="1"/>
  <c r="C66" i="1"/>
  <c r="B36" i="1"/>
  <c r="B31" i="1"/>
  <c r="B18" i="1"/>
  <c r="F39" i="1"/>
  <c r="F91" i="1"/>
  <c r="F94" i="1"/>
  <c r="F38" i="1"/>
  <c r="F40" i="1"/>
  <c r="F125" i="1"/>
  <c r="F116" i="1"/>
  <c r="F201" i="1"/>
  <c r="F192" i="1"/>
  <c r="E144" i="1"/>
  <c r="E26" i="1"/>
  <c r="E111" i="1"/>
  <c r="E52" i="1"/>
  <c r="E137" i="1"/>
  <c r="E19" i="1"/>
  <c r="E23" i="1"/>
  <c r="E199" i="1"/>
  <c r="E203" i="1"/>
  <c r="C135" i="1"/>
  <c r="C167" i="1"/>
  <c r="C158" i="1"/>
  <c r="C150" i="1"/>
  <c r="C152" i="1"/>
  <c r="C170" i="1"/>
  <c r="B124" i="1"/>
  <c r="E21" i="1"/>
  <c r="N11" i="1" l="1"/>
  <c r="N12" i="1"/>
  <c r="L12" i="1"/>
  <c r="F97" i="1"/>
  <c r="F63" i="1"/>
  <c r="F160" i="1"/>
  <c r="F18" i="1"/>
  <c r="F103" i="1"/>
  <c r="F21" i="1"/>
  <c r="F118" i="1"/>
  <c r="F24" i="1"/>
  <c r="F50" i="1"/>
  <c r="F194" i="1"/>
  <c r="F64" i="1"/>
  <c r="F149" i="1"/>
  <c r="F31" i="1"/>
  <c r="F140" i="1"/>
  <c r="F34" i="1"/>
  <c r="F131" i="1"/>
  <c r="E12" i="1"/>
  <c r="E156" i="1"/>
  <c r="E97" i="1"/>
  <c r="E38" i="1"/>
  <c r="E182" i="1"/>
  <c r="E123" i="1"/>
  <c r="E64" i="1"/>
  <c r="E208" i="1"/>
  <c r="E149" i="1"/>
  <c r="E90" i="1"/>
  <c r="E31" i="1"/>
  <c r="E57" i="1"/>
  <c r="E59" i="1"/>
  <c r="E69" i="1"/>
  <c r="E44" i="1"/>
  <c r="E178" i="1"/>
  <c r="E46" i="1"/>
  <c r="C147" i="1"/>
  <c r="C176" i="1"/>
  <c r="C191" i="1"/>
  <c r="C182" i="1"/>
  <c r="C125" i="1"/>
  <c r="C162" i="1"/>
  <c r="C188" i="1"/>
  <c r="C179" i="1"/>
  <c r="C194" i="1"/>
  <c r="B136" i="1"/>
  <c r="B185" i="1"/>
  <c r="B151" i="1"/>
  <c r="B154" i="1"/>
  <c r="B145" i="1"/>
  <c r="B163" i="1"/>
  <c r="B166" i="1"/>
  <c r="B193" i="1"/>
  <c r="C96" i="1"/>
  <c r="C38" i="1"/>
  <c r="C28" i="1"/>
  <c r="C31" i="1"/>
  <c r="C22" i="1"/>
  <c r="C16" i="1"/>
  <c r="C19" i="1"/>
  <c r="C34" i="1"/>
  <c r="B60" i="1"/>
  <c r="B14" i="1"/>
  <c r="B76" i="1"/>
  <c r="B79" i="1"/>
  <c r="B106" i="1"/>
  <c r="B51" i="1"/>
  <c r="B66" i="1"/>
  <c r="B57" i="1"/>
  <c r="B11" i="1"/>
  <c r="B63" i="1"/>
  <c r="B81" i="1"/>
  <c r="F121" i="1"/>
  <c r="F208" i="1"/>
  <c r="F151" i="1"/>
  <c r="F166" i="1"/>
  <c r="F74" i="1"/>
  <c r="F112" i="1"/>
  <c r="F79" i="1"/>
  <c r="F82" i="1"/>
  <c r="E36" i="1"/>
  <c r="E121" i="1"/>
  <c r="E206" i="1"/>
  <c r="E88" i="1"/>
  <c r="E173" i="1"/>
  <c r="E55" i="1"/>
  <c r="E129" i="1"/>
  <c r="E167" i="1"/>
  <c r="E202" i="1"/>
  <c r="C129" i="1"/>
  <c r="C112" i="1"/>
  <c r="C186" i="1"/>
  <c r="C144" i="1"/>
  <c r="B172" i="1"/>
  <c r="B199" i="1"/>
  <c r="B181" i="1"/>
  <c r="B119" i="1"/>
  <c r="C13" i="1"/>
  <c r="C76" i="1"/>
  <c r="C82" i="1"/>
  <c r="C67" i="1"/>
  <c r="B84" i="1"/>
  <c r="B29" i="1"/>
  <c r="B59" i="1"/>
  <c r="F109" i="1"/>
  <c r="F87" i="1"/>
  <c r="F184" i="1"/>
  <c r="F66" i="1"/>
  <c r="F127" i="1"/>
  <c r="F45" i="1"/>
  <c r="F142" i="1"/>
  <c r="F36" i="1"/>
  <c r="F62" i="1"/>
  <c r="F206" i="1"/>
  <c r="F88" i="1"/>
  <c r="F173" i="1"/>
  <c r="F55" i="1"/>
  <c r="F152" i="1"/>
  <c r="F58" i="1"/>
  <c r="F143" i="1"/>
  <c r="E24" i="1"/>
  <c r="E168" i="1"/>
  <c r="E109" i="1"/>
  <c r="E50" i="1"/>
  <c r="E194" i="1"/>
  <c r="E135" i="1"/>
  <c r="E76" i="1"/>
  <c r="E17" i="1"/>
  <c r="E161" i="1"/>
  <c r="E102" i="1"/>
  <c r="E43" i="1"/>
  <c r="E93" i="1"/>
  <c r="E95" i="1"/>
  <c r="E105" i="1"/>
  <c r="E115" i="1"/>
  <c r="E164" i="1"/>
  <c r="E143" i="1"/>
  <c r="C159" i="1"/>
  <c r="C200" i="1"/>
  <c r="C203" i="1"/>
  <c r="C206" i="1"/>
  <c r="C137" i="1"/>
  <c r="C174" i="1"/>
  <c r="C117" i="1"/>
  <c r="C120" i="1"/>
  <c r="B111" i="1"/>
  <c r="B160" i="1"/>
  <c r="B197" i="1"/>
  <c r="B175" i="1"/>
  <c r="B178" i="1"/>
  <c r="B157" i="1"/>
  <c r="B187" i="1"/>
  <c r="B190" i="1"/>
  <c r="B122" i="1"/>
  <c r="C108" i="1"/>
  <c r="C50" i="1"/>
  <c r="C52" i="1"/>
  <c r="C55" i="1"/>
  <c r="C58" i="1"/>
  <c r="C40" i="1"/>
  <c r="C43" i="1"/>
  <c r="C46" i="1"/>
  <c r="B72" i="1"/>
  <c r="B26" i="1"/>
  <c r="B100" i="1"/>
  <c r="B103" i="1"/>
  <c r="B35" i="1"/>
  <c r="B90" i="1"/>
  <c r="F111" i="1"/>
  <c r="F90" i="1"/>
  <c r="F69" i="1"/>
  <c r="F60" i="1"/>
  <c r="F15" i="1"/>
  <c r="F209" i="1"/>
  <c r="F176" i="1"/>
  <c r="F167" i="1"/>
  <c r="E180" i="1"/>
  <c r="E62" i="1"/>
  <c r="E147" i="1"/>
  <c r="E29" i="1"/>
  <c r="E114" i="1"/>
  <c r="E127" i="1"/>
  <c r="E131" i="1"/>
  <c r="E106" i="1"/>
  <c r="C171" i="1"/>
  <c r="C132" i="1"/>
  <c r="C149" i="1"/>
  <c r="C141" i="1"/>
  <c r="B123" i="1"/>
  <c r="B209" i="1"/>
  <c r="B202" i="1"/>
  <c r="B116" i="1"/>
  <c r="B146" i="1"/>
  <c r="C62" i="1"/>
  <c r="C79" i="1"/>
  <c r="C64" i="1"/>
  <c r="C70" i="1"/>
  <c r="B50" i="1"/>
  <c r="B32" i="1"/>
  <c r="F51" i="1"/>
  <c r="E159" i="1"/>
  <c r="C183" i="1"/>
  <c r="B128" i="1"/>
  <c r="C37" i="1"/>
  <c r="C91" i="1"/>
  <c r="B83" i="1"/>
  <c r="C11" i="1"/>
  <c r="F124" i="1"/>
  <c r="E100" i="1"/>
  <c r="C165" i="1"/>
  <c r="B130" i="1"/>
  <c r="C26" i="1"/>
  <c r="C105" i="1"/>
  <c r="B27" i="1"/>
  <c r="E133" i="1"/>
  <c r="B55" i="1"/>
  <c r="B114" i="1"/>
  <c r="B34" i="1"/>
  <c r="B127" i="1"/>
  <c r="F30" i="1"/>
  <c r="E41" i="1"/>
  <c r="C156" i="1"/>
  <c r="B131" i="1"/>
  <c r="C74" i="1"/>
  <c r="C94" i="1"/>
  <c r="B99" i="1"/>
  <c r="F133" i="1"/>
  <c r="F115" i="1"/>
  <c r="E185" i="1"/>
  <c r="C124" i="1"/>
  <c r="C99" i="1"/>
  <c r="B48" i="1"/>
  <c r="B28" i="1"/>
  <c r="F175" i="1"/>
  <c r="C93" i="1"/>
  <c r="E190" i="1"/>
  <c r="B53" i="1"/>
  <c r="B169" i="1"/>
  <c r="E74" i="1"/>
  <c r="E83" i="1"/>
  <c r="B121" i="1"/>
  <c r="B143" i="1"/>
  <c r="F190" i="1"/>
  <c r="B105" i="1"/>
  <c r="C88" i="1"/>
  <c r="E15" i="1"/>
  <c r="B94" i="1"/>
  <c r="F135" i="1"/>
  <c r="F200" i="1"/>
  <c r="E126" i="1"/>
  <c r="C161" i="1"/>
  <c r="B205" i="1"/>
  <c r="C100" i="1"/>
  <c r="B96" i="1"/>
  <c r="B42" i="1"/>
  <c r="F29" i="1"/>
  <c r="F106" i="1"/>
  <c r="E67" i="1"/>
  <c r="B139" i="1"/>
  <c r="C102" i="1"/>
  <c r="B97" i="1"/>
  <c r="F114" i="1"/>
  <c r="F203" i="1"/>
  <c r="E153" i="1"/>
  <c r="B140" i="1"/>
  <c r="B62" i="1"/>
  <c r="E48" i="1"/>
  <c r="B142" i="1"/>
  <c r="B135" i="1"/>
  <c r="C106" i="1"/>
  <c r="E45" i="1"/>
  <c r="E71" i="1"/>
  <c r="F86" i="1"/>
  <c r="C198" i="1"/>
  <c r="B19" i="1"/>
  <c r="C153" i="1"/>
  <c r="C103" i="1"/>
  <c r="B43" i="1"/>
  <c r="E155" i="1"/>
  <c r="C168" i="1"/>
  <c r="B64" i="1"/>
  <c r="B20" i="1"/>
  <c r="E192" i="1"/>
  <c r="B33" i="1"/>
  <c r="B184" i="1"/>
  <c r="C87" i="1"/>
  <c r="F84" i="1"/>
  <c r="B68" i="1"/>
  <c r="C84" i="1"/>
  <c r="B70" i="1"/>
  <c r="F93" i="1"/>
  <c r="B170" i="1"/>
  <c r="C90" i="1"/>
  <c r="P11" i="1" l="1"/>
  <c r="P12" i="1"/>
  <c r="D170" i="1"/>
  <c r="D70" i="1"/>
  <c r="D68" i="1"/>
  <c r="D184" i="1"/>
  <c r="D33" i="1"/>
  <c r="G192" i="1"/>
  <c r="D20" i="1"/>
  <c r="D64" i="1"/>
  <c r="G155" i="1"/>
  <c r="D43" i="1"/>
  <c r="D19" i="1"/>
  <c r="G71" i="1"/>
  <c r="G45" i="1"/>
  <c r="D135" i="1"/>
  <c r="D142" i="1"/>
  <c r="G48" i="1"/>
  <c r="D62" i="1"/>
  <c r="D140" i="1"/>
  <c r="G153" i="1"/>
  <c r="D97" i="1"/>
  <c r="D139" i="1"/>
  <c r="G67" i="1"/>
  <c r="D42" i="1"/>
  <c r="D96" i="1"/>
  <c r="D205" i="1"/>
  <c r="G126" i="1"/>
  <c r="D94" i="1"/>
  <c r="G15" i="1"/>
  <c r="D105" i="1"/>
  <c r="D143" i="1"/>
  <c r="D121" i="1"/>
  <c r="G83" i="1"/>
  <c r="G74" i="1"/>
  <c r="D169" i="1"/>
  <c r="D53" i="1"/>
  <c r="G190" i="1"/>
  <c r="D28" i="1"/>
  <c r="D48" i="1"/>
  <c r="G185" i="1"/>
  <c r="D99" i="1"/>
  <c r="D131" i="1"/>
  <c r="G41" i="1"/>
  <c r="D127" i="1"/>
  <c r="D34" i="1"/>
  <c r="D114" i="1"/>
  <c r="D55" i="1"/>
  <c r="G133" i="1"/>
  <c r="D27" i="1"/>
  <c r="D130" i="1"/>
  <c r="G100" i="1"/>
  <c r="D83" i="1"/>
  <c r="D128" i="1"/>
  <c r="G159" i="1"/>
  <c r="D32" i="1"/>
  <c r="D50" i="1"/>
  <c r="D146" i="1"/>
  <c r="D116" i="1"/>
  <c r="D202" i="1"/>
  <c r="D209" i="1"/>
  <c r="D123" i="1"/>
  <c r="G106" i="1"/>
  <c r="G131" i="1"/>
  <c r="G127" i="1"/>
  <c r="G114" i="1"/>
  <c r="G29" i="1"/>
  <c r="G147" i="1"/>
  <c r="G62" i="1"/>
  <c r="G180" i="1"/>
  <c r="D90" i="1"/>
  <c r="D35" i="1"/>
  <c r="D103" i="1"/>
  <c r="D100" i="1"/>
  <c r="D26" i="1"/>
  <c r="D72" i="1"/>
  <c r="D122" i="1"/>
  <c r="D190" i="1"/>
  <c r="D187" i="1"/>
  <c r="D157" i="1"/>
  <c r="D178" i="1"/>
  <c r="D175" i="1"/>
  <c r="D197" i="1"/>
  <c r="D160" i="1"/>
  <c r="D111" i="1"/>
  <c r="G143" i="1"/>
  <c r="G164" i="1"/>
  <c r="G115" i="1"/>
  <c r="G105" i="1"/>
  <c r="G95" i="1"/>
  <c r="G93" i="1"/>
  <c r="G43" i="1"/>
  <c r="G102" i="1"/>
  <c r="G161" i="1"/>
  <c r="G17" i="1"/>
  <c r="G76" i="1"/>
  <c r="G135" i="1"/>
  <c r="G194" i="1"/>
  <c r="G50" i="1"/>
  <c r="G109" i="1"/>
  <c r="G168" i="1"/>
  <c r="G24" i="1"/>
  <c r="D59" i="1"/>
  <c r="D29" i="1"/>
  <c r="D84" i="1"/>
  <c r="D119" i="1"/>
  <c r="D181" i="1"/>
  <c r="D199" i="1"/>
  <c r="D172" i="1"/>
  <c r="G202" i="1"/>
  <c r="G167" i="1"/>
  <c r="G129" i="1"/>
  <c r="G55" i="1"/>
  <c r="G173" i="1"/>
  <c r="G88" i="1"/>
  <c r="G206" i="1"/>
  <c r="G121" i="1"/>
  <c r="G36" i="1"/>
  <c r="D81" i="1"/>
  <c r="D63" i="1"/>
  <c r="D11" i="1"/>
  <c r="D57" i="1"/>
  <c r="D66" i="1"/>
  <c r="D51" i="1"/>
  <c r="D106" i="1"/>
  <c r="D79" i="1"/>
  <c r="D76" i="1"/>
  <c r="D14" i="1"/>
  <c r="D60" i="1"/>
  <c r="D193" i="1"/>
  <c r="D166" i="1"/>
  <c r="D163" i="1"/>
  <c r="D145" i="1"/>
  <c r="D154" i="1"/>
  <c r="D151" i="1"/>
  <c r="D185" i="1"/>
  <c r="D136" i="1"/>
  <c r="G46" i="1"/>
  <c r="G178" i="1"/>
  <c r="G44" i="1"/>
  <c r="G69" i="1"/>
  <c r="G59" i="1"/>
  <c r="G57" i="1"/>
  <c r="G31" i="1"/>
  <c r="G90" i="1"/>
  <c r="G149" i="1"/>
  <c r="G208" i="1"/>
  <c r="G64" i="1"/>
  <c r="G123" i="1"/>
  <c r="G182" i="1"/>
  <c r="G38" i="1"/>
  <c r="G97" i="1"/>
  <c r="G156" i="1"/>
  <c r="G12" i="1"/>
  <c r="G21" i="1"/>
  <c r="D124" i="1"/>
  <c r="G203" i="1"/>
  <c r="G199" i="1"/>
  <c r="G23" i="1"/>
  <c r="G19" i="1"/>
  <c r="G137" i="1"/>
  <c r="G52" i="1"/>
  <c r="G111" i="1"/>
  <c r="G26" i="1"/>
  <c r="G144" i="1"/>
  <c r="D18" i="1"/>
  <c r="D31" i="1"/>
  <c r="D36" i="1"/>
  <c r="D118" i="1"/>
  <c r="D201" i="1"/>
  <c r="D161" i="1"/>
  <c r="G142" i="1"/>
  <c r="G189" i="1"/>
  <c r="G152" i="1"/>
  <c r="G125" i="1"/>
  <c r="G40" i="1"/>
  <c r="G14" i="1"/>
  <c r="G132" i="1"/>
  <c r="D71" i="1"/>
  <c r="D80" i="1"/>
  <c r="D101" i="1"/>
  <c r="D98" i="1"/>
  <c r="D22" i="1"/>
  <c r="D102" i="1"/>
  <c r="D16" i="1"/>
  <c r="D73" i="1"/>
  <c r="D24" i="1"/>
  <c r="D204" i="1"/>
  <c r="D189" i="1"/>
  <c r="D198" i="1"/>
  <c r="D168" i="1"/>
  <c r="D177" i="1"/>
  <c r="D186" i="1"/>
  <c r="D149" i="1"/>
  <c r="D207" i="1"/>
  <c r="G81" i="1"/>
  <c r="G47" i="1"/>
  <c r="G35" i="1"/>
  <c r="G163" i="1"/>
  <c r="G154" i="1"/>
  <c r="G92" i="1"/>
  <c r="G198" i="1"/>
  <c r="G54" i="1"/>
  <c r="G113" i="1"/>
  <c r="G172" i="1"/>
  <c r="G28" i="1"/>
  <c r="G87" i="1"/>
  <c r="G146" i="1"/>
  <c r="G205" i="1"/>
  <c r="G61" i="1"/>
  <c r="G120" i="1"/>
  <c r="D173" i="1"/>
  <c r="G201" i="1"/>
  <c r="G33" i="1"/>
  <c r="G78" i="1"/>
  <c r="G196" i="1"/>
  <c r="G170" i="1"/>
  <c r="G85" i="1"/>
  <c r="D104" i="1"/>
  <c r="D40" i="1"/>
  <c r="D192" i="1"/>
  <c r="G140" i="1"/>
  <c r="G66" i="1"/>
  <c r="G158" i="1"/>
  <c r="D74" i="1"/>
  <c r="D87" i="1"/>
  <c r="D180" i="1"/>
  <c r="D165" i="1"/>
  <c r="D148" i="1"/>
  <c r="D144" i="1"/>
  <c r="D153" i="1"/>
  <c r="D174" i="1"/>
  <c r="D137" i="1"/>
  <c r="D195" i="1"/>
  <c r="G11" i="1"/>
  <c r="G200" i="1"/>
  <c r="G176" i="1"/>
  <c r="G191" i="1"/>
  <c r="G130" i="1"/>
  <c r="G128" i="1"/>
  <c r="G56" i="1"/>
  <c r="G186" i="1"/>
  <c r="G42" i="1"/>
  <c r="G101" i="1"/>
  <c r="G160" i="1"/>
  <c r="G16" i="1"/>
  <c r="G75" i="1"/>
  <c r="G134" i="1"/>
  <c r="G193" i="1"/>
  <c r="G49" i="1"/>
  <c r="G108" i="1"/>
  <c r="D95" i="1"/>
  <c r="D110" i="1"/>
  <c r="D46" i="1"/>
  <c r="D85" i="1"/>
  <c r="D133" i="1"/>
  <c r="D115" i="1"/>
  <c r="D210" i="1"/>
  <c r="D112" i="1"/>
  <c r="G151" i="1"/>
  <c r="G187" i="1"/>
  <c r="G210" i="1"/>
  <c r="G184" i="1"/>
  <c r="G99" i="1"/>
  <c r="G73" i="1"/>
  <c r="D47" i="1"/>
  <c r="D56" i="1"/>
  <c r="D77" i="1"/>
  <c r="D93" i="1"/>
  <c r="D78" i="1"/>
  <c r="D61" i="1"/>
  <c r="D12" i="1"/>
  <c r="D23" i="1"/>
  <c r="D44" i="1"/>
  <c r="D41" i="1"/>
  <c r="D38" i="1"/>
  <c r="D69" i="1"/>
  <c r="D54" i="1"/>
  <c r="D75" i="1"/>
  <c r="D49" i="1"/>
  <c r="D156" i="1"/>
  <c r="D141" i="1"/>
  <c r="D206" i="1"/>
  <c r="D120" i="1"/>
  <c r="D117" i="1"/>
  <c r="D162" i="1"/>
  <c r="D125" i="1"/>
  <c r="D183" i="1"/>
  <c r="G141" i="1"/>
  <c r="G117" i="1"/>
  <c r="G165" i="1"/>
  <c r="G104" i="1"/>
  <c r="G94" i="1"/>
  <c r="G20" i="1"/>
  <c r="G174" i="1"/>
  <c r="G30" i="1"/>
  <c r="G89" i="1"/>
  <c r="G148" i="1"/>
  <c r="G207" i="1"/>
  <c r="G63" i="1"/>
  <c r="G122" i="1"/>
  <c r="G181" i="1"/>
  <c r="G37" i="1"/>
  <c r="G96" i="1"/>
  <c r="D17" i="1"/>
  <c r="D109" i="1"/>
  <c r="D30" i="1"/>
  <c r="D39" i="1"/>
  <c r="D132" i="1"/>
  <c r="D182" i="1"/>
  <c r="D191" i="1"/>
  <c r="D150" i="1"/>
  <c r="D113" i="1"/>
  <c r="G80" i="1"/>
  <c r="G82" i="1"/>
  <c r="G68" i="1"/>
  <c r="G58" i="1"/>
  <c r="G162" i="1"/>
  <c r="G18" i="1"/>
  <c r="G136" i="1"/>
  <c r="G195" i="1"/>
  <c r="G110" i="1"/>
  <c r="G169" i="1"/>
  <c r="G84" i="1"/>
  <c r="D91" i="1"/>
  <c r="D13" i="1"/>
  <c r="D89" i="1"/>
  <c r="D25" i="1"/>
  <c r="D203" i="1"/>
  <c r="D188" i="1"/>
  <c r="D158" i="1"/>
  <c r="D167" i="1"/>
  <c r="D176" i="1"/>
  <c r="D138" i="1"/>
  <c r="D208" i="1"/>
  <c r="D159" i="1"/>
  <c r="G177" i="1"/>
  <c r="G166" i="1"/>
  <c r="G175" i="1"/>
  <c r="G70" i="1"/>
  <c r="G32" i="1"/>
  <c r="G22" i="1"/>
  <c r="G91" i="1"/>
  <c r="G150" i="1"/>
  <c r="G209" i="1"/>
  <c r="G65" i="1"/>
  <c r="G124" i="1"/>
  <c r="G183" i="1"/>
  <c r="G39" i="1"/>
  <c r="G98" i="1"/>
  <c r="G157" i="1"/>
  <c r="G13" i="1"/>
  <c r="G72" i="1"/>
  <c r="D45" i="1"/>
  <c r="D37" i="1"/>
  <c r="D129" i="1"/>
  <c r="D200" i="1"/>
  <c r="D171" i="1"/>
  <c r="G119" i="1"/>
  <c r="G139" i="1"/>
  <c r="G103" i="1"/>
  <c r="G77" i="1"/>
  <c r="G51" i="1"/>
  <c r="G25" i="1"/>
  <c r="D82" i="1"/>
  <c r="D88" i="1"/>
  <c r="D21" i="1"/>
  <c r="D15" i="1"/>
  <c r="D58" i="1"/>
  <c r="D67" i="1"/>
  <c r="D52" i="1"/>
  <c r="D107" i="1"/>
  <c r="D92" i="1"/>
  <c r="D65" i="1"/>
  <c r="D86" i="1"/>
  <c r="D108" i="1"/>
  <c r="D194" i="1"/>
  <c r="D179" i="1"/>
  <c r="D164" i="1"/>
  <c r="D134" i="1"/>
  <c r="D155" i="1"/>
  <c r="D152" i="1"/>
  <c r="D126" i="1"/>
  <c r="D196" i="1"/>
  <c r="D147" i="1"/>
  <c r="G118" i="1"/>
  <c r="G107" i="1"/>
  <c r="G116" i="1"/>
  <c r="G34" i="1"/>
  <c r="G188" i="1"/>
  <c r="G179" i="1"/>
  <c r="G79" i="1"/>
  <c r="G138" i="1"/>
  <c r="G197" i="1"/>
  <c r="G53" i="1"/>
  <c r="G112" i="1"/>
  <c r="G171" i="1"/>
  <c r="G27" i="1"/>
  <c r="G86" i="1"/>
  <c r="G145" i="1"/>
  <c r="G204" i="1"/>
  <c r="G60" i="1"/>
</calcChain>
</file>

<file path=xl/sharedStrings.xml><?xml version="1.0" encoding="utf-8"?>
<sst xmlns="http://schemas.openxmlformats.org/spreadsheetml/2006/main" count="55" uniqueCount="37">
  <si>
    <t>资产价格(S)</t>
    <phoneticPr fontId="1" type="noConversion"/>
  </si>
  <si>
    <r>
      <t>资产波动率(</t>
    </r>
    <r>
      <rPr>
        <sz val="20"/>
        <rFont val="Tahoma"/>
        <family val="2"/>
      </rPr>
      <t>σ</t>
    </r>
    <r>
      <rPr>
        <sz val="20"/>
        <rFont val="宋体"/>
        <family val="3"/>
        <charset val="134"/>
      </rPr>
      <t>)</t>
    </r>
    <phoneticPr fontId="1" type="noConversion"/>
  </si>
  <si>
    <t>红利率(q)</t>
    <phoneticPr fontId="1" type="noConversion"/>
  </si>
  <si>
    <t>到期期限(T,year)</t>
    <phoneticPr fontId="1" type="noConversion"/>
  </si>
  <si>
    <t>无风险利率（ r )</t>
    <phoneticPr fontId="1" type="noConversion"/>
  </si>
  <si>
    <t>执行价格（X）</t>
    <phoneticPr fontId="1" type="noConversion"/>
  </si>
  <si>
    <t>bs_call(S,σ,rf,q,T,X)</t>
    <phoneticPr fontId="1" type="noConversion"/>
  </si>
  <si>
    <t>bs_put(S,σ,rf,q,T,X)</t>
    <phoneticPr fontId="1" type="noConversion"/>
  </si>
  <si>
    <t>函数名</t>
    <phoneticPr fontId="1" type="noConversion"/>
  </si>
  <si>
    <t>操作说明：1.该工作簿中函数参数顺序完全一致，参数依次表示：标的资产价格，标的资产的波动率，无风险利率，红利率，期权到期期限（以年为单位），执行价格。参数个数不可缺少，顺序不可倒换</t>
    <phoneticPr fontId="1" type="noConversion"/>
  </si>
  <si>
    <t>in_val_call(S,σ,rf,q,T,X)</t>
    <phoneticPr fontId="1" type="noConversion"/>
  </si>
  <si>
    <t>用途</t>
    <phoneticPr fontId="1" type="noConversion"/>
  </si>
  <si>
    <t>in_val_put(S,σ,rf,q,T,X)</t>
    <phoneticPr fontId="1" type="noConversion"/>
  </si>
  <si>
    <t>floor_call(S,σ,rf,q,T,X)</t>
    <phoneticPr fontId="1" type="noConversion"/>
  </si>
  <si>
    <t>floor_put(S,σ,rf,q,T,X)</t>
    <phoneticPr fontId="1" type="noConversion"/>
  </si>
  <si>
    <t>计算欧式看涨期权价值</t>
    <phoneticPr fontId="1" type="noConversion"/>
  </si>
  <si>
    <t>计算欧式看跌期权价值</t>
    <phoneticPr fontId="1" type="noConversion"/>
  </si>
  <si>
    <t>计算看涨期权内在价值</t>
    <phoneticPr fontId="1" type="noConversion"/>
  </si>
  <si>
    <t>计算看跌期权内在价值</t>
    <phoneticPr fontId="1" type="noConversion"/>
  </si>
  <si>
    <t>计算欧式看涨期权下限</t>
    <phoneticPr fontId="1" type="noConversion"/>
  </si>
  <si>
    <t>计算欧式看跌期权下限</t>
    <phoneticPr fontId="1" type="noConversion"/>
  </si>
  <si>
    <t>时间变化</t>
    <phoneticPr fontId="1" type="noConversion"/>
  </si>
  <si>
    <t>实值</t>
    <phoneticPr fontId="1" type="noConversion"/>
  </si>
  <si>
    <t>平值</t>
    <phoneticPr fontId="1" type="noConversion"/>
  </si>
  <si>
    <t>虚值</t>
    <phoneticPr fontId="1" type="noConversion"/>
  </si>
  <si>
    <t>改变s</t>
    <phoneticPr fontId="1" type="noConversion"/>
  </si>
  <si>
    <t>改变t</t>
    <phoneticPr fontId="1" type="noConversion"/>
  </si>
  <si>
    <t>改变t的图的导数</t>
    <phoneticPr fontId="1" type="noConversion"/>
  </si>
  <si>
    <t>这个是看涨的</t>
    <phoneticPr fontId="1" type="noConversion"/>
  </si>
  <si>
    <t>看涨的</t>
    <phoneticPr fontId="1" type="noConversion"/>
  </si>
  <si>
    <t>改变波动率</t>
    <phoneticPr fontId="1" type="noConversion"/>
  </si>
  <si>
    <t>这个是看跌的,但我没有放到文本里</t>
    <phoneticPr fontId="1" type="noConversion"/>
  </si>
  <si>
    <t>看涨期权</t>
    <phoneticPr fontId="1" type="noConversion"/>
  </si>
  <si>
    <t>看跌期权</t>
    <phoneticPr fontId="1" type="noConversion"/>
  </si>
  <si>
    <t>改变无风险利率</t>
    <phoneticPr fontId="1" type="noConversion"/>
  </si>
  <si>
    <t>改变红利率</t>
    <phoneticPr fontId="1" type="noConversion"/>
  </si>
  <si>
    <t>改变时间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</si>
</sst>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name val="宋体"/>
      <charset val="134"/>
    </font>
    <font>
      <sz val="9"/>
      <name val="宋体"/>
      <family val="3"/>
      <charset val="134"/>
    </font>
    <font>
      <sz val="20"/>
      <name val="宋体"/>
      <family val="3"/>
      <charset val="134"/>
    </font>
    <font>
      <b/>
      <sz val="12"/>
      <color rgb="FFFF0000"/>
      <name val="宋体"/>
      <family val="3"/>
      <charset val="134"/>
    </font>
    <font>
      <sz val="12"/>
      <name val="宋体"/>
      <family val="3"/>
      <charset val="134"/>
    </font>
    <font>
      <sz val="20"/>
      <name val="Tahoma"/>
      <family val="2"/>
    </font>
    <font>
      <b/>
      <sz val="12"/>
      <name val="宋体"/>
      <family val="3"/>
      <charset val="134"/>
    </font>
    <font>
      <sz val="9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4" fillId="0" borderId="0" xfId="0" applyFont="1">
      <alignment vertical="center"/>
    </xf>
    <xf numFmtId="0" fontId="6" fillId="4" borderId="1" xfId="0" applyFont="1" applyFill="1" applyBorder="1">
      <alignment vertical="center"/>
    </xf>
    <xf numFmtId="0" fontId="3" fillId="3" borderId="0" xfId="0" applyFont="1" applyFill="1" applyAlignment="1">
      <alignment horizontal="center" vertical="center" wrapText="1"/>
    </xf>
    <xf numFmtId="0" fontId="6" fillId="4" borderId="2" xfId="0" applyFont="1" applyFill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019618248113179E-2"/>
          <c:y val="7.3964582643151533E-2"/>
          <c:w val="0.89655796150481193"/>
          <c:h val="0.829198016914552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公式应用示例!$D$11:$D$210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2.9402649677978304E-298</c:v>
                </c:pt>
                <c:pt idx="7">
                  <c:v>2.4001723651159603E-269</c:v>
                </c:pt>
                <c:pt idx="8">
                  <c:v>4.4687918593247823E-245</c:v>
                </c:pt>
                <c:pt idx="9">
                  <c:v>2.4095590273855556E-224</c:v>
                </c:pt>
                <c:pt idx="10">
                  <c:v>2.1889354098306329E-206</c:v>
                </c:pt>
                <c:pt idx="11">
                  <c:v>1.1881339593738688E-190</c:v>
                </c:pt>
                <c:pt idx="12">
                  <c:v>9.8427677628419265E-177</c:v>
                </c:pt>
                <c:pt idx="13">
                  <c:v>2.536891297711622E-164</c:v>
                </c:pt>
                <c:pt idx="14">
                  <c:v>3.5343590078733465E-153</c:v>
                </c:pt>
                <c:pt idx="15">
                  <c:v>4.1168251042306617E-143</c:v>
                </c:pt>
                <c:pt idx="16">
                  <c:v>5.6880374562922635E-134</c:v>
                </c:pt>
                <c:pt idx="17">
                  <c:v>1.2387844282035814E-125</c:v>
                </c:pt>
                <c:pt idx="18">
                  <c:v>5.3734309416647772E-118</c:v>
                </c:pt>
                <c:pt idx="19">
                  <c:v>5.6389575593875006E-111</c:v>
                </c:pt>
                <c:pt idx="20">
                  <c:v>1.6855458932902894E-104</c:v>
                </c:pt>
                <c:pt idx="21">
                  <c:v>1.6477995280587107E-98</c:v>
                </c:pt>
                <c:pt idx="22">
                  <c:v>5.9279466594933649E-93</c:v>
                </c:pt>
                <c:pt idx="23">
                  <c:v>8.6844658313486446E-88</c:v>
                </c:pt>
                <c:pt idx="24">
                  <c:v>5.6555002197659841E-83</c:v>
                </c:pt>
                <c:pt idx="25">
                  <c:v>1.7667897949250718E-78</c:v>
                </c:pt>
                <c:pt idx="26">
                  <c:v>2.8302786720480915E-74</c:v>
                </c:pt>
                <c:pt idx="27">
                  <c:v>2.465152741479871E-70</c:v>
                </c:pt>
                <c:pt idx="28">
                  <c:v>1.2293965756117366E-66</c:v>
                </c:pt>
                <c:pt idx="29">
                  <c:v>3.6753096844530501E-63</c:v>
                </c:pt>
                <c:pt idx="30">
                  <c:v>6.8609715464515877E-60</c:v>
                </c:pt>
                <c:pt idx="31">
                  <c:v>8.2950178300546108E-57</c:v>
                </c:pt>
                <c:pt idx="32">
                  <c:v>6.7112551073779547E-54</c:v>
                </c:pt>
                <c:pt idx="33">
                  <c:v>3.7422657304795064E-51</c:v>
                </c:pt>
                <c:pt idx="34">
                  <c:v>1.4769067683127228E-48</c:v>
                </c:pt>
                <c:pt idx="35">
                  <c:v>4.2257852929402689E-46</c:v>
                </c:pt>
                <c:pt idx="36">
                  <c:v>8.9594408132178467E-44</c:v>
                </c:pt>
                <c:pt idx="37">
                  <c:v>1.4358303465119582E-41</c:v>
                </c:pt>
                <c:pt idx="38">
                  <c:v>1.7711126227204011E-39</c:v>
                </c:pt>
                <c:pt idx="39">
                  <c:v>1.7096523149894117E-37</c:v>
                </c:pt>
                <c:pt idx="40">
                  <c:v>1.3112445294229632E-35</c:v>
                </c:pt>
                <c:pt idx="41">
                  <c:v>8.1027148546133774E-34</c:v>
                </c:pt>
                <c:pt idx="42">
                  <c:v>4.0862156094675231E-32</c:v>
                </c:pt>
                <c:pt idx="43">
                  <c:v>1.7017405319582997E-30</c:v>
                </c:pt>
                <c:pt idx="44">
                  <c:v>5.9168626055745483E-29</c:v>
                </c:pt>
                <c:pt idx="45">
                  <c:v>1.7350234510091214E-27</c:v>
                </c:pt>
                <c:pt idx="46">
                  <c:v>4.331146193503988E-26</c:v>
                </c:pt>
                <c:pt idx="47">
                  <c:v>9.2845262553351432E-25</c:v>
                </c:pt>
                <c:pt idx="48">
                  <c:v>1.7230032099657497E-23</c:v>
                </c:pt>
                <c:pt idx="49">
                  <c:v>2.7890072488811703E-22</c:v>
                </c:pt>
                <c:pt idx="50">
                  <c:v>3.9654914277050077E-21</c:v>
                </c:pt>
                <c:pt idx="51">
                  <c:v>4.9850839921031032E-20</c:v>
                </c:pt>
                <c:pt idx="52">
                  <c:v>5.5748725847441915E-19</c:v>
                </c:pt>
                <c:pt idx="53">
                  <c:v>5.5779320575259081E-18</c:v>
                </c:pt>
                <c:pt idx="54">
                  <c:v>5.0201856740450768E-17</c:v>
                </c:pt>
                <c:pt idx="55">
                  <c:v>4.0847287876071725E-16</c:v>
                </c:pt>
                <c:pt idx="56">
                  <c:v>3.0189752933388089E-15</c:v>
                </c:pt>
                <c:pt idx="57">
                  <c:v>2.035834238390009E-14</c:v>
                </c:pt>
                <c:pt idx="58">
                  <c:v>1.2578601738608856E-13</c:v>
                </c:pt>
                <c:pt idx="59">
                  <c:v>7.1490017913917201E-13</c:v>
                </c:pt>
                <c:pt idx="60">
                  <c:v>3.7514629718315383E-12</c:v>
                </c:pt>
                <c:pt idx="61">
                  <c:v>1.8240111288118329E-11</c:v>
                </c:pt>
                <c:pt idx="62">
                  <c:v>8.2446435370000163E-11</c:v>
                </c:pt>
                <c:pt idx="63">
                  <c:v>3.4753815285237854E-10</c:v>
                </c:pt>
                <c:pt idx="64">
                  <c:v>1.3703010110753512E-9</c:v>
                </c:pt>
                <c:pt idx="65">
                  <c:v>5.068064051730734E-9</c:v>
                </c:pt>
                <c:pt idx="66">
                  <c:v>1.7629835598701486E-8</c:v>
                </c:pt>
                <c:pt idx="67">
                  <c:v>5.7828755450316509E-8</c:v>
                </c:pt>
                <c:pt idx="68">
                  <c:v>1.7930156961230762E-7</c:v>
                </c:pt>
                <c:pt idx="69">
                  <c:v>5.2671268035176666E-7</c:v>
                </c:pt>
                <c:pt idx="70">
                  <c:v>1.4691650194711736E-6</c:v>
                </c:pt>
                <c:pt idx="71">
                  <c:v>3.8993143453389003E-6</c:v>
                </c:pt>
                <c:pt idx="72">
                  <c:v>9.8673264377826132E-6</c:v>
                </c:pt>
                <c:pt idx="73">
                  <c:v>2.385276589575349E-5</c:v>
                </c:pt>
                <c:pt idx="74">
                  <c:v>5.5182918299387894E-5</c:v>
                </c:pt>
                <c:pt idx="75">
                  <c:v>1.2239468045278836E-4</c:v>
                </c:pt>
                <c:pt idx="76">
                  <c:v>2.6070329787297904E-4</c:v>
                </c:pt>
                <c:pt idx="77">
                  <c:v>5.3414810383479658E-4</c:v>
                </c:pt>
                <c:pt idx="78">
                  <c:v>1.0543529496276488E-3</c:v>
                </c:pt>
                <c:pt idx="79">
                  <c:v>2.0080393336095181E-3</c:v>
                </c:pt>
                <c:pt idx="80">
                  <c:v>3.6952979489743853E-3</c:v>
                </c:pt>
                <c:pt idx="81">
                  <c:v>6.5799867180708072E-3</c:v>
                </c:pt>
                <c:pt idx="82">
                  <c:v>1.1352349699731534E-2</c:v>
                </c:pt>
                <c:pt idx="83">
                  <c:v>1.900201315675365E-2</c:v>
                </c:pt>
                <c:pt idx="84">
                  <c:v>3.089704070213295E-2</c:v>
                </c:pt>
                <c:pt idx="85">
                  <c:v>4.8862030810742363E-2</c:v>
                </c:pt>
                <c:pt idx="86">
                  <c:v>7.5245794734013494E-2</c:v>
                </c:pt>
                <c:pt idx="87">
                  <c:v>0.11296753222950562</c:v>
                </c:pt>
                <c:pt idx="88">
                  <c:v>0.16553017330657749</c:v>
                </c:pt>
                <c:pt idx="89">
                  <c:v>0.23699105951338506</c:v>
                </c:pt>
                <c:pt idx="90">
                  <c:v>0.33188349363191882</c:v>
                </c:pt>
                <c:pt idx="91">
                  <c:v>0.45508762873632058</c:v>
                </c:pt>
                <c:pt idx="92">
                  <c:v>0.61165508269806246</c:v>
                </c:pt>
                <c:pt idx="93">
                  <c:v>0.80659768203379301</c:v>
                </c:pt>
                <c:pt idx="94">
                  <c:v>1.044655893945837</c:v>
                </c:pt>
                <c:pt idx="95">
                  <c:v>1.3300659286087431</c:v>
                </c:pt>
                <c:pt idx="96">
                  <c:v>1.6663455889076317</c:v>
                </c:pt>
                <c:pt idx="97">
                  <c:v>2.0561175062687056</c:v>
                </c:pt>
                <c:pt idx="98">
                  <c:v>2.5009846478185978</c:v>
                </c:pt>
                <c:pt idx="99">
                  <c:v>3.0014675008944849</c:v>
                </c:pt>
                <c:pt idx="100">
                  <c:v>2.5570059698365242</c:v>
                </c:pt>
                <c:pt idx="101">
                  <c:v>2.166022672471513</c:v>
                </c:pt>
                <c:pt idx="102">
                  <c:v>1.8260388332232083</c:v>
                </c:pt>
                <c:pt idx="103">
                  <c:v>1.5338299578972396</c:v>
                </c:pt>
                <c:pt idx="104">
                  <c:v>1.2856062765561944</c:v>
                </c:pt>
                <c:pt idx="105">
                  <c:v>1.077202590022992</c:v>
                </c:pt>
                <c:pt idx="106">
                  <c:v>0.90426342754940947</c:v>
                </c:pt>
                <c:pt idx="107">
                  <c:v>0.76241191153124532</c:v>
                </c:pt>
                <c:pt idx="108">
                  <c:v>0.64739393502148346</c:v>
                </c:pt>
                <c:pt idx="109">
                  <c:v>0.55519269521786896</c:v>
                </c:pt>
                <c:pt idx="110">
                  <c:v>0.48211186812783069</c:v>
                </c:pt>
                <c:pt idx="111">
                  <c:v>0.42482844779566165</c:v>
                </c:pt>
                <c:pt idx="112">
                  <c:v>0.38041832972469081</c:v>
                </c:pt>
                <c:pt idx="113">
                  <c:v>0.34635903722829653</c:v>
                </c:pt>
                <c:pt idx="114">
                  <c:v>0.32051461548809357</c:v>
                </c:pt>
                <c:pt idx="115">
                  <c:v>0.30110776292949026</c:v>
                </c:pt>
                <c:pt idx="116">
                  <c:v>0.28668388031333336</c:v>
                </c:pt>
                <c:pt idx="117">
                  <c:v>0.27607104908113911</c:v>
                </c:pt>
                <c:pt idx="118">
                  <c:v>0.26833914275202631</c:v>
                </c:pt>
                <c:pt idx="119">
                  <c:v>0.2627604429324748</c:v>
                </c:pt>
                <c:pt idx="120">
                  <c:v>0.2587733573906803</c:v>
                </c:pt>
                <c:pt idx="121">
                  <c:v>0.25595017293436229</c:v>
                </c:pt>
                <c:pt idx="122">
                  <c:v>0.25396924466940618</c:v>
                </c:pt>
                <c:pt idx="123">
                  <c:v>0.25259162880927022</c:v>
                </c:pt>
                <c:pt idx="124">
                  <c:v>0.25164189747232513</c:v>
                </c:pt>
                <c:pt idx="125">
                  <c:v>0.25099271151417213</c:v>
                </c:pt>
                <c:pt idx="126">
                  <c:v>0.25055264874023919</c:v>
                </c:pt>
                <c:pt idx="127">
                  <c:v>0.25025676735650393</c:v>
                </c:pt>
                <c:pt idx="128">
                  <c:v>0.25005940820443584</c:v>
                </c:pt>
                <c:pt idx="129">
                  <c:v>0.24992878769411675</c:v>
                </c:pt>
                <c:pt idx="130">
                  <c:v>0.24984299377811681</c:v>
                </c:pt>
                <c:pt idx="131">
                  <c:v>0.24978706082022484</c:v>
                </c:pt>
                <c:pt idx="132">
                  <c:v>0.24975085994738322</c:v>
                </c:pt>
                <c:pt idx="133">
                  <c:v>0.24972759604182215</c:v>
                </c:pt>
                <c:pt idx="134">
                  <c:v>0.24971274935725774</c:v>
                </c:pt>
                <c:pt idx="135">
                  <c:v>0.2497033385013907</c:v>
                </c:pt>
                <c:pt idx="136">
                  <c:v>0.24969741266524181</c:v>
                </c:pt>
                <c:pt idx="137">
                  <c:v>0.2496937053657291</c:v>
                </c:pt>
                <c:pt idx="138">
                  <c:v>0.24969140064402495</c:v>
                </c:pt>
                <c:pt idx="139">
                  <c:v>0.24968997669016346</c:v>
                </c:pt>
                <c:pt idx="140">
                  <c:v>0.24968910220509599</c:v>
                </c:pt>
                <c:pt idx="141">
                  <c:v>0.24968856831850417</c:v>
                </c:pt>
                <c:pt idx="142">
                  <c:v>0.24968824424355773</c:v>
                </c:pt>
                <c:pt idx="143">
                  <c:v>0.24968804862947991</c:v>
                </c:pt>
                <c:pt idx="144">
                  <c:v>0.24968793120187627</c:v>
                </c:pt>
                <c:pt idx="145">
                  <c:v>0.24968786108681229</c:v>
                </c:pt>
                <c:pt idx="146">
                  <c:v>0.24968781944038199</c:v>
                </c:pt>
                <c:pt idx="147">
                  <c:v>0.24968779482966852</c:v>
                </c:pt>
                <c:pt idx="148">
                  <c:v>0.24968778035864148</c:v>
                </c:pt>
                <c:pt idx="149">
                  <c:v>0.24968777189107527</c:v>
                </c:pt>
                <c:pt idx="150">
                  <c:v>0.24968776695989447</c:v>
                </c:pt>
                <c:pt idx="151">
                  <c:v>0.24968776410152316</c:v>
                </c:pt>
                <c:pt idx="152">
                  <c:v>0.24968776245218294</c:v>
                </c:pt>
                <c:pt idx="153">
                  <c:v>0.24968776150464578</c:v>
                </c:pt>
                <c:pt idx="154">
                  <c:v>0.2496877609626722</c:v>
                </c:pt>
                <c:pt idx="155">
                  <c:v>0.2496877606539698</c:v>
                </c:pt>
                <c:pt idx="156">
                  <c:v>0.24968776047884944</c:v>
                </c:pt>
                <c:pt idx="157">
                  <c:v>0.24968776037994189</c:v>
                </c:pt>
                <c:pt idx="158">
                  <c:v>0.24968776032426376</c:v>
                </c:pt>
                <c:pt idx="159">
                  <c:v>0.24968776029305673</c:v>
                </c:pt>
                <c:pt idx="160">
                  <c:v>0.24968776027564843</c:v>
                </c:pt>
                <c:pt idx="161">
                  <c:v>0.24968776026594242</c:v>
                </c:pt>
                <c:pt idx="162">
                  <c:v>0.24968776026057071</c:v>
                </c:pt>
                <c:pt idx="163">
                  <c:v>0.24968776025758643</c:v>
                </c:pt>
                <c:pt idx="164">
                  <c:v>0.2496877602559664</c:v>
                </c:pt>
                <c:pt idx="165">
                  <c:v>0.24968776025508532</c:v>
                </c:pt>
                <c:pt idx="166">
                  <c:v>0.24968776025457373</c:v>
                </c:pt>
                <c:pt idx="167">
                  <c:v>0.24968776025430373</c:v>
                </c:pt>
                <c:pt idx="168">
                  <c:v>0.24968776025414741</c:v>
                </c:pt>
                <c:pt idx="169">
                  <c:v>0.24968776025410477</c:v>
                </c:pt>
                <c:pt idx="170">
                  <c:v>0.24968776025401951</c:v>
                </c:pt>
                <c:pt idx="171">
                  <c:v>0.24968776025403372</c:v>
                </c:pt>
                <c:pt idx="172">
                  <c:v>0.2496877602540053</c:v>
                </c:pt>
                <c:pt idx="173">
                  <c:v>0.24968776025399109</c:v>
                </c:pt>
                <c:pt idx="174">
                  <c:v>0.24968776025397688</c:v>
                </c:pt>
                <c:pt idx="175">
                  <c:v>0.2496877602540053</c:v>
                </c:pt>
                <c:pt idx="176">
                  <c:v>0.2496877602540053</c:v>
                </c:pt>
                <c:pt idx="177">
                  <c:v>0.2496877602540053</c:v>
                </c:pt>
                <c:pt idx="178">
                  <c:v>0.24968776025399109</c:v>
                </c:pt>
                <c:pt idx="179">
                  <c:v>0.24968776025399109</c:v>
                </c:pt>
                <c:pt idx="180">
                  <c:v>0.24968776025397688</c:v>
                </c:pt>
                <c:pt idx="181">
                  <c:v>0.24968776025399109</c:v>
                </c:pt>
                <c:pt idx="182">
                  <c:v>0.24968776025399109</c:v>
                </c:pt>
                <c:pt idx="183">
                  <c:v>0.24968776025399109</c:v>
                </c:pt>
                <c:pt idx="184">
                  <c:v>0.24968776025399109</c:v>
                </c:pt>
                <c:pt idx="185">
                  <c:v>0.24968776025399109</c:v>
                </c:pt>
                <c:pt idx="186">
                  <c:v>0.24968776025399109</c:v>
                </c:pt>
                <c:pt idx="187">
                  <c:v>0.24968776025399109</c:v>
                </c:pt>
                <c:pt idx="188">
                  <c:v>0.24968776025399109</c:v>
                </c:pt>
                <c:pt idx="189">
                  <c:v>0.24968776025399109</c:v>
                </c:pt>
                <c:pt idx="190">
                  <c:v>0.24968776025399109</c:v>
                </c:pt>
                <c:pt idx="191">
                  <c:v>0.24968776025399109</c:v>
                </c:pt>
                <c:pt idx="192">
                  <c:v>0.24968776025399109</c:v>
                </c:pt>
                <c:pt idx="193">
                  <c:v>0.24968776025399109</c:v>
                </c:pt>
                <c:pt idx="194">
                  <c:v>0.24968776025399109</c:v>
                </c:pt>
                <c:pt idx="195">
                  <c:v>0.24968776025399109</c:v>
                </c:pt>
                <c:pt idx="196">
                  <c:v>0.24968776025399109</c:v>
                </c:pt>
                <c:pt idx="197">
                  <c:v>0.24968776025399109</c:v>
                </c:pt>
                <c:pt idx="198">
                  <c:v>0.24968776025399109</c:v>
                </c:pt>
                <c:pt idx="199">
                  <c:v>0.24968776025399109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68-48CA-A548-2B2690660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977008"/>
        <c:axId val="219952464"/>
      </c:lineChart>
      <c:catAx>
        <c:axId val="2199770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9952464"/>
        <c:crosses val="autoZero"/>
        <c:auto val="1"/>
        <c:lblAlgn val="ctr"/>
        <c:lblOffset val="100"/>
        <c:noMultiLvlLbl val="0"/>
      </c:catAx>
      <c:valAx>
        <c:axId val="21995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997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522059633506822E-2"/>
          <c:y val="7.655247625684046E-2"/>
          <c:w val="0.88862380806823182"/>
          <c:h val="0.89797639800451479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公式应用示例!$G$11:$G$210</c:f>
              <c:numCache>
                <c:formatCode>General</c:formatCode>
                <c:ptCount val="200"/>
                <c:pt idx="0">
                  <c:v>-0.24968776025399109</c:v>
                </c:pt>
                <c:pt idx="1">
                  <c:v>-0.24968776025399109</c:v>
                </c:pt>
                <c:pt idx="2">
                  <c:v>-0.24968776025399109</c:v>
                </c:pt>
                <c:pt idx="3">
                  <c:v>-0.24968776025399109</c:v>
                </c:pt>
                <c:pt idx="4">
                  <c:v>-0.24968776025399109</c:v>
                </c:pt>
                <c:pt idx="5">
                  <c:v>-0.24968776025399109</c:v>
                </c:pt>
                <c:pt idx="6">
                  <c:v>-0.24968776025399109</c:v>
                </c:pt>
                <c:pt idx="7">
                  <c:v>-0.24968776025399109</c:v>
                </c:pt>
                <c:pt idx="8">
                  <c:v>-0.24968776025399109</c:v>
                </c:pt>
                <c:pt idx="9">
                  <c:v>-0.24968776025399109</c:v>
                </c:pt>
                <c:pt idx="10">
                  <c:v>-0.24968776025399109</c:v>
                </c:pt>
                <c:pt idx="11">
                  <c:v>-0.24968776025399109</c:v>
                </c:pt>
                <c:pt idx="12">
                  <c:v>-0.24968776025399109</c:v>
                </c:pt>
                <c:pt idx="13">
                  <c:v>-0.24968776025399109</c:v>
                </c:pt>
                <c:pt idx="14">
                  <c:v>-0.24968776025399109</c:v>
                </c:pt>
                <c:pt idx="15">
                  <c:v>-0.24968776025399109</c:v>
                </c:pt>
                <c:pt idx="16">
                  <c:v>-0.24968776025399109</c:v>
                </c:pt>
                <c:pt idx="17">
                  <c:v>-0.24968776025399109</c:v>
                </c:pt>
                <c:pt idx="18">
                  <c:v>-0.24968776025399109</c:v>
                </c:pt>
                <c:pt idx="19">
                  <c:v>-0.24968776025399109</c:v>
                </c:pt>
                <c:pt idx="20">
                  <c:v>-0.24968776025399109</c:v>
                </c:pt>
                <c:pt idx="21">
                  <c:v>-0.24968776025399109</c:v>
                </c:pt>
                <c:pt idx="22">
                  <c:v>-0.24968776025399109</c:v>
                </c:pt>
                <c:pt idx="23">
                  <c:v>-0.24968776025399109</c:v>
                </c:pt>
                <c:pt idx="24">
                  <c:v>-0.24968776025399109</c:v>
                </c:pt>
                <c:pt idx="25">
                  <c:v>-0.24968776025399109</c:v>
                </c:pt>
                <c:pt idx="26">
                  <c:v>-0.24968776025399109</c:v>
                </c:pt>
                <c:pt idx="27">
                  <c:v>-0.24968776025399109</c:v>
                </c:pt>
                <c:pt idx="28">
                  <c:v>-0.24968776025399109</c:v>
                </c:pt>
                <c:pt idx="29">
                  <c:v>-0.24968776025399109</c:v>
                </c:pt>
                <c:pt idx="30">
                  <c:v>-0.24968776025399109</c:v>
                </c:pt>
                <c:pt idx="31">
                  <c:v>-0.24968776025399109</c:v>
                </c:pt>
                <c:pt idx="32">
                  <c:v>-0.24968776025399109</c:v>
                </c:pt>
                <c:pt idx="33">
                  <c:v>-0.24968776025399109</c:v>
                </c:pt>
                <c:pt idx="34">
                  <c:v>-0.24968776025399109</c:v>
                </c:pt>
                <c:pt idx="35">
                  <c:v>-0.24968776025399109</c:v>
                </c:pt>
                <c:pt idx="36">
                  <c:v>-0.24968776025399109</c:v>
                </c:pt>
                <c:pt idx="37">
                  <c:v>-0.24968776025399109</c:v>
                </c:pt>
                <c:pt idx="38">
                  <c:v>-0.24968776025399109</c:v>
                </c:pt>
                <c:pt idx="39">
                  <c:v>-0.24968776025399109</c:v>
                </c:pt>
                <c:pt idx="40">
                  <c:v>-0.24968776025399109</c:v>
                </c:pt>
                <c:pt idx="41">
                  <c:v>-0.24968776025399109</c:v>
                </c:pt>
                <c:pt idx="42">
                  <c:v>-0.24968776025399109</c:v>
                </c:pt>
                <c:pt idx="43">
                  <c:v>-0.24968776025399109</c:v>
                </c:pt>
                <c:pt idx="44">
                  <c:v>-0.24968776025399109</c:v>
                </c:pt>
                <c:pt idx="45">
                  <c:v>-0.24968776025399109</c:v>
                </c:pt>
                <c:pt idx="46">
                  <c:v>-0.24968776025399109</c:v>
                </c:pt>
                <c:pt idx="47">
                  <c:v>-0.24968776025399109</c:v>
                </c:pt>
                <c:pt idx="48">
                  <c:v>-0.24968776025399109</c:v>
                </c:pt>
                <c:pt idx="49">
                  <c:v>-0.24968776025399109</c:v>
                </c:pt>
                <c:pt idx="50">
                  <c:v>-0.24968776025399109</c:v>
                </c:pt>
                <c:pt idx="51">
                  <c:v>-0.24968776025399109</c:v>
                </c:pt>
                <c:pt idx="52">
                  <c:v>-0.24968776025399109</c:v>
                </c:pt>
                <c:pt idx="53">
                  <c:v>-0.24968776025399109</c:v>
                </c:pt>
                <c:pt idx="54">
                  <c:v>-0.24968776025399819</c:v>
                </c:pt>
                <c:pt idx="55">
                  <c:v>-0.24968776025398398</c:v>
                </c:pt>
                <c:pt idx="56">
                  <c:v>-0.24968776025398398</c:v>
                </c:pt>
                <c:pt idx="57">
                  <c:v>-0.24968776025397688</c:v>
                </c:pt>
                <c:pt idx="58">
                  <c:v>-0.24968776025386319</c:v>
                </c:pt>
                <c:pt idx="59">
                  <c:v>-0.24968776025327344</c:v>
                </c:pt>
                <c:pt idx="60">
                  <c:v>-0.24968776025023942</c:v>
                </c:pt>
                <c:pt idx="61">
                  <c:v>-0.24968776023575856</c:v>
                </c:pt>
                <c:pt idx="62">
                  <c:v>-0.24968776017154681</c:v>
                </c:pt>
                <c:pt idx="63">
                  <c:v>-0.24968775990645042</c:v>
                </c:pt>
                <c:pt idx="64">
                  <c:v>-0.24968775888369521</c:v>
                </c:pt>
                <c:pt idx="65">
                  <c:v>-0.24968775518593134</c:v>
                </c:pt>
                <c:pt idx="66">
                  <c:v>-0.24968774262416105</c:v>
                </c:pt>
                <c:pt idx="67">
                  <c:v>-0.24968770242523419</c:v>
                </c:pt>
                <c:pt idx="68">
                  <c:v>-0.24968758095242549</c:v>
                </c:pt>
                <c:pt idx="69">
                  <c:v>-0.24968723354130873</c:v>
                </c:pt>
                <c:pt idx="70">
                  <c:v>-0.24968629108896323</c:v>
                </c:pt>
                <c:pt idx="71">
                  <c:v>-0.24968386093964057</c:v>
                </c:pt>
                <c:pt idx="72">
                  <c:v>-0.24967789292755072</c:v>
                </c:pt>
                <c:pt idx="73">
                  <c:v>-0.24966390748809886</c:v>
                </c:pt>
                <c:pt idx="74">
                  <c:v>-0.24963257733570288</c:v>
                </c:pt>
                <c:pt idx="75">
                  <c:v>-0.24956536557354525</c:v>
                </c:pt>
                <c:pt idx="76">
                  <c:v>-0.24942705695612233</c:v>
                </c:pt>
                <c:pt idx="77">
                  <c:v>-0.24915361215015253</c:v>
                </c:pt>
                <c:pt idx="78">
                  <c:v>-0.24863340730436789</c:v>
                </c:pt>
                <c:pt idx="79">
                  <c:v>-0.24767972092038804</c:v>
                </c:pt>
                <c:pt idx="80">
                  <c:v>-0.24599246230499716</c:v>
                </c:pt>
                <c:pt idx="81">
                  <c:v>-0.24310777353591106</c:v>
                </c:pt>
                <c:pt idx="82">
                  <c:v>-0.23833541055425655</c:v>
                </c:pt>
                <c:pt idx="83">
                  <c:v>-0.23068574709724032</c:v>
                </c:pt>
                <c:pt idx="84">
                  <c:v>-0.2187907195518477</c:v>
                </c:pt>
                <c:pt idx="85">
                  <c:v>-0.2008257294432525</c:v>
                </c:pt>
                <c:pt idx="86">
                  <c:v>-0.17444196551997493</c:v>
                </c:pt>
                <c:pt idx="87">
                  <c:v>-0.1367202280244868</c:v>
                </c:pt>
                <c:pt idx="88">
                  <c:v>-8.415758694741271E-2</c:v>
                </c:pt>
                <c:pt idx="89">
                  <c:v>-1.2696700740619349E-2</c:v>
                </c:pt>
                <c:pt idx="90">
                  <c:v>8.2195733377915303E-2</c:v>
                </c:pt>
                <c:pt idx="91">
                  <c:v>0.20539986848233127</c:v>
                </c:pt>
                <c:pt idx="92">
                  <c:v>0.36196732244407315</c:v>
                </c:pt>
                <c:pt idx="93">
                  <c:v>0.55690992177981968</c:v>
                </c:pt>
                <c:pt idx="94">
                  <c:v>0.79496813369183883</c:v>
                </c:pt>
                <c:pt idx="95">
                  <c:v>1.0803781683547413</c:v>
                </c:pt>
                <c:pt idx="96">
                  <c:v>1.4166578286536335</c:v>
                </c:pt>
                <c:pt idx="97">
                  <c:v>1.8064297460147216</c:v>
                </c:pt>
                <c:pt idx="98">
                  <c:v>2.2512968875646067</c:v>
                </c:pt>
                <c:pt idx="99">
                  <c:v>2.7517797406404867</c:v>
                </c:pt>
                <c:pt idx="100">
                  <c:v>2.3073182095825331</c:v>
                </c:pt>
                <c:pt idx="101">
                  <c:v>1.9163349122175219</c:v>
                </c:pt>
                <c:pt idx="102">
                  <c:v>1.5763510729692172</c:v>
                </c:pt>
                <c:pt idx="103">
                  <c:v>1.284142197643245</c:v>
                </c:pt>
                <c:pt idx="104">
                  <c:v>1.0359185163022104</c:v>
                </c:pt>
                <c:pt idx="105">
                  <c:v>0.82751482976901158</c:v>
                </c:pt>
                <c:pt idx="106">
                  <c:v>0.65457566729541128</c:v>
                </c:pt>
                <c:pt idx="107">
                  <c:v>0.51272415127725068</c:v>
                </c:pt>
                <c:pt idx="108">
                  <c:v>0.39770617476750481</c:v>
                </c:pt>
                <c:pt idx="109">
                  <c:v>0.30550493496387254</c:v>
                </c:pt>
                <c:pt idx="110">
                  <c:v>0.23242410787384227</c:v>
                </c:pt>
                <c:pt idx="111">
                  <c:v>0.17514068754167322</c:v>
                </c:pt>
                <c:pt idx="112">
                  <c:v>0.13073056947069972</c:v>
                </c:pt>
                <c:pt idx="113">
                  <c:v>9.6671276974319209E-2</c:v>
                </c:pt>
                <c:pt idx="114">
                  <c:v>7.0826855234117136E-2</c:v>
                </c:pt>
                <c:pt idx="115">
                  <c:v>5.1420002675499177E-2</c:v>
                </c:pt>
                <c:pt idx="116">
                  <c:v>3.6996120059326953E-2</c:v>
                </c:pt>
                <c:pt idx="117">
                  <c:v>2.6383288827142692E-2</c:v>
                </c:pt>
                <c:pt idx="118">
                  <c:v>1.8651382498016456E-2</c:v>
                </c:pt>
                <c:pt idx="119">
                  <c:v>1.307268267849282E-2</c:v>
                </c:pt>
                <c:pt idx="120">
                  <c:v>9.0855971366889388E-3</c:v>
                </c:pt>
                <c:pt idx="121">
                  <c:v>6.2624126803766389E-3</c:v>
                </c:pt>
                <c:pt idx="122">
                  <c:v>4.2814844153965803E-3</c:v>
                </c:pt>
                <c:pt idx="123">
                  <c:v>2.9038685552812971E-3</c:v>
                </c:pt>
                <c:pt idx="124">
                  <c:v>1.9541372183302236E-3</c:v>
                </c:pt>
                <c:pt idx="125">
                  <c:v>1.3049512601838176E-3</c:v>
                </c:pt>
                <c:pt idx="126">
                  <c:v>8.6488848624580172E-4</c:v>
                </c:pt>
                <c:pt idx="127">
                  <c:v>5.6900710251211323E-4</c:v>
                </c:pt>
                <c:pt idx="128">
                  <c:v>3.7164795044354951E-4</c:v>
                </c:pt>
                <c:pt idx="129">
                  <c:v>2.4102744010984396E-4</c:v>
                </c:pt>
                <c:pt idx="130">
                  <c:v>1.5523352413098802E-4</c:v>
                </c:pt>
                <c:pt idx="131">
                  <c:v>9.9300566237658407E-5</c:v>
                </c:pt>
                <c:pt idx="132">
                  <c:v>6.30996933817401E-5</c:v>
                </c:pt>
                <c:pt idx="133">
                  <c:v>3.9835787847294999E-5</c:v>
                </c:pt>
                <c:pt idx="134">
                  <c:v>2.498910328830998E-5</c:v>
                </c:pt>
                <c:pt idx="135">
                  <c:v>1.5578247389605579E-5</c:v>
                </c:pt>
                <c:pt idx="136">
                  <c:v>9.6524112777789453E-6</c:v>
                </c:pt>
                <c:pt idx="137">
                  <c:v>5.9451117268633142E-6</c:v>
                </c:pt>
                <c:pt idx="138">
                  <c:v>3.6403900183348608E-6</c:v>
                </c:pt>
                <c:pt idx="139">
                  <c:v>2.2164361647548469E-6</c:v>
                </c:pt>
                <c:pt idx="140">
                  <c:v>1.3419511056750793E-6</c:v>
                </c:pt>
                <c:pt idx="141">
                  <c:v>8.0806452826714573E-7</c:v>
                </c:pt>
                <c:pt idx="142">
                  <c:v>4.8398957956302316E-7</c:v>
                </c:pt>
                <c:pt idx="143">
                  <c:v>2.8837547908199803E-7</c:v>
                </c:pt>
                <c:pt idx="144">
                  <c:v>1.7094788419823449E-7</c:v>
                </c:pt>
                <c:pt idx="145">
                  <c:v>1.0083282977806956E-7</c:v>
                </c:pt>
                <c:pt idx="146">
                  <c:v>5.9186377754080639E-8</c:v>
                </c:pt>
                <c:pt idx="147">
                  <c:v>3.4575695799396751E-8</c:v>
                </c:pt>
                <c:pt idx="148">
                  <c:v>2.0104638565561693E-8</c:v>
                </c:pt>
                <c:pt idx="149">
                  <c:v>1.1637069942904291E-8</c:v>
                </c:pt>
                <c:pt idx="150">
                  <c:v>6.7059138401312527E-9</c:v>
                </c:pt>
                <c:pt idx="151">
                  <c:v>3.8475407739950909E-9</c:v>
                </c:pt>
                <c:pt idx="152">
                  <c:v>2.1981762022540845E-9</c:v>
                </c:pt>
                <c:pt idx="153">
                  <c:v>1.2506562359572653E-9</c:v>
                </c:pt>
                <c:pt idx="154">
                  <c:v>7.0868113033803268E-10</c:v>
                </c:pt>
                <c:pt idx="155">
                  <c:v>3.9998312117200857E-10</c:v>
                </c:pt>
                <c:pt idx="156">
                  <c:v>2.2487951675254484E-10</c:v>
                </c:pt>
                <c:pt idx="157">
                  <c:v>1.2595467504802839E-10</c:v>
                </c:pt>
                <c:pt idx="158">
                  <c:v>7.0286632810675197E-11</c:v>
                </c:pt>
                <c:pt idx="159">
                  <c:v>3.9080699355501036E-11</c:v>
                </c:pt>
                <c:pt idx="160">
                  <c:v>2.1653063723004079E-11</c:v>
                </c:pt>
                <c:pt idx="161">
                  <c:v>1.1955819230838062E-11</c:v>
                </c:pt>
                <c:pt idx="162">
                  <c:v>6.5792599395107674E-12</c:v>
                </c:pt>
                <c:pt idx="163">
                  <c:v>3.6086643213983439E-12</c:v>
                </c:pt>
                <c:pt idx="164">
                  <c:v>1.9729721228498182E-12</c:v>
                </c:pt>
                <c:pt idx="165">
                  <c:v>1.0753083264698253E-12</c:v>
                </c:pt>
                <c:pt idx="166">
                  <c:v>5.8427128299252667E-13</c:v>
                </c:pt>
                <c:pt idx="167">
                  <c:v>3.1651678053009186E-13</c:v>
                </c:pt>
                <c:pt idx="168">
                  <c:v>1.7096614891974557E-13</c:v>
                </c:pt>
                <c:pt idx="169">
                  <c:v>9.2084085967154842E-14</c:v>
                </c:pt>
                <c:pt idx="170">
                  <c:v>4.9459455394395921E-14</c:v>
                </c:pt>
                <c:pt idx="171">
                  <c:v>2.649311242150468E-14</c:v>
                </c:pt>
                <c:pt idx="172">
                  <c:v>1.4153489800304353E-14</c:v>
                </c:pt>
                <c:pt idx="173">
                  <c:v>7.5416850520833278E-15</c:v>
                </c:pt>
                <c:pt idx="174">
                  <c:v>4.0084305727148272E-15</c:v>
                </c:pt>
                <c:pt idx="175">
                  <c:v>2.1252386442086282E-15</c:v>
                </c:pt>
                <c:pt idx="176">
                  <c:v>1.1240719111358396E-15</c:v>
                </c:pt>
                <c:pt idx="177">
                  <c:v>5.9314200821355944E-16</c:v>
                </c:pt>
                <c:pt idx="178">
                  <c:v>3.12266990808612E-16</c:v>
                </c:pt>
                <c:pt idx="179">
                  <c:v>1.6402889933383835E-16</c:v>
                </c:pt>
                <c:pt idx="180">
                  <c:v>8.5973605974296305E-17</c:v>
                </c:pt>
                <c:pt idx="181">
                  <c:v>4.4965919506455056E-17</c:v>
                </c:pt>
                <c:pt idx="182">
                  <c:v>2.346918335312636E-17</c:v>
                </c:pt>
                <c:pt idx="183">
                  <c:v>1.2224490422679571E-17</c:v>
                </c:pt>
                <c:pt idx="184">
                  <c:v>6.3548235964920203E-18</c:v>
                </c:pt>
                <c:pt idx="185">
                  <c:v>3.2971400131595277E-18</c:v>
                </c:pt>
                <c:pt idx="186">
                  <c:v>1.7074704654411663E-18</c:v>
                </c:pt>
                <c:pt idx="187">
                  <c:v>8.8261491588576987E-19</c:v>
                </c:pt>
                <c:pt idx="188">
                  <c:v>4.5541935678743065E-19</c:v>
                </c:pt>
                <c:pt idx="189">
                  <c:v>2.3458128711006366E-19</c:v>
                </c:pt>
                <c:pt idx="190">
                  <c:v>1.2062462942701005E-19</c:v>
                </c:pt>
                <c:pt idx="191">
                  <c:v>6.1923866329310212E-20</c:v>
                </c:pt>
                <c:pt idx="192">
                  <c:v>3.1737878496204753E-20</c:v>
                </c:pt>
                <c:pt idx="193">
                  <c:v>1.6241024164666097E-20</c:v>
                </c:pt>
                <c:pt idx="194">
                  <c:v>8.2981673381364111E-21</c:v>
                </c:pt>
                <c:pt idx="195">
                  <c:v>4.2335181555981631E-21</c:v>
                </c:pt>
                <c:pt idx="196">
                  <c:v>2.1566912722442404E-21</c:v>
                </c:pt>
                <c:pt idx="197">
                  <c:v>1.0971306825468634E-21</c:v>
                </c:pt>
                <c:pt idx="198">
                  <c:v>5.5735094248749583E-22</c:v>
                </c:pt>
                <c:pt idx="199">
                  <c:v>2.8275804004958136E-22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9B-45C3-B418-53B34B137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510160"/>
        <c:axId val="172512240"/>
      </c:lineChart>
      <c:catAx>
        <c:axId val="1725101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2512240"/>
        <c:crosses val="autoZero"/>
        <c:auto val="1"/>
        <c:lblAlgn val="ctr"/>
        <c:lblOffset val="100"/>
        <c:noMultiLvlLbl val="0"/>
      </c:catAx>
      <c:valAx>
        <c:axId val="17251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251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公式应用示例!$J$10</c:f>
              <c:strCache>
                <c:ptCount val="1"/>
                <c:pt idx="0">
                  <c:v>实值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公式应用示例!$I$11:$I$44</c:f>
              <c:numCache>
                <c:formatCode>General</c:formatCode>
                <c:ptCount val="34"/>
                <c:pt idx="0">
                  <c:v>0.1</c:v>
                </c:pt>
                <c:pt idx="1">
                  <c:v>0.4</c:v>
                </c:pt>
                <c:pt idx="2">
                  <c:v>0.7</c:v>
                </c:pt>
                <c:pt idx="3">
                  <c:v>1</c:v>
                </c:pt>
                <c:pt idx="4">
                  <c:v>1.3</c:v>
                </c:pt>
                <c:pt idx="5">
                  <c:v>1.6</c:v>
                </c:pt>
                <c:pt idx="6">
                  <c:v>1.9</c:v>
                </c:pt>
                <c:pt idx="7">
                  <c:v>2.2000000000000002</c:v>
                </c:pt>
                <c:pt idx="8">
                  <c:v>2.5</c:v>
                </c:pt>
                <c:pt idx="9">
                  <c:v>2.8</c:v>
                </c:pt>
                <c:pt idx="10">
                  <c:v>3.1</c:v>
                </c:pt>
                <c:pt idx="11">
                  <c:v>3.4</c:v>
                </c:pt>
                <c:pt idx="12">
                  <c:v>3.7</c:v>
                </c:pt>
                <c:pt idx="13">
                  <c:v>4</c:v>
                </c:pt>
                <c:pt idx="14">
                  <c:v>4.3</c:v>
                </c:pt>
                <c:pt idx="15">
                  <c:v>4.5999999999999996</c:v>
                </c:pt>
                <c:pt idx="16">
                  <c:v>4.9000000000000004</c:v>
                </c:pt>
                <c:pt idx="17">
                  <c:v>5.2</c:v>
                </c:pt>
                <c:pt idx="18">
                  <c:v>5.5</c:v>
                </c:pt>
                <c:pt idx="19">
                  <c:v>5.8</c:v>
                </c:pt>
                <c:pt idx="20">
                  <c:v>6.1</c:v>
                </c:pt>
                <c:pt idx="21">
                  <c:v>6.4</c:v>
                </c:pt>
                <c:pt idx="22">
                  <c:v>6.7</c:v>
                </c:pt>
                <c:pt idx="23">
                  <c:v>7</c:v>
                </c:pt>
                <c:pt idx="24">
                  <c:v>7.3</c:v>
                </c:pt>
                <c:pt idx="25">
                  <c:v>7.6</c:v>
                </c:pt>
                <c:pt idx="26">
                  <c:v>7.9</c:v>
                </c:pt>
                <c:pt idx="27">
                  <c:v>8.1999999999999993</c:v>
                </c:pt>
                <c:pt idx="28">
                  <c:v>8.5</c:v>
                </c:pt>
                <c:pt idx="29">
                  <c:v>8.8000000000000007</c:v>
                </c:pt>
                <c:pt idx="30">
                  <c:v>9.1</c:v>
                </c:pt>
                <c:pt idx="31">
                  <c:v>9.4</c:v>
                </c:pt>
                <c:pt idx="32">
                  <c:v>9.6999999999999993</c:v>
                </c:pt>
                <c:pt idx="33">
                  <c:v>10</c:v>
                </c:pt>
              </c:numCache>
            </c:numRef>
          </c:xVal>
          <c:yVal>
            <c:numRef>
              <c:f>公式应用示例!$J$11:$J$44</c:f>
              <c:numCache>
                <c:formatCode>General</c:formatCode>
                <c:ptCount val="34"/>
                <c:pt idx="0">
                  <c:v>0.29955065818472804</c:v>
                </c:pt>
                <c:pt idx="1">
                  <c:v>1.2175326389131129</c:v>
                </c:pt>
                <c:pt idx="2">
                  <c:v>2.2710838757134297</c:v>
                </c:pt>
                <c:pt idx="3">
                  <c:v>3.4502828222089477</c:v>
                </c:pt>
                <c:pt idx="4">
                  <c:v>4.6937714715672314</c:v>
                </c:pt>
                <c:pt idx="5">
                  <c:v>5.961137533068225</c:v>
                </c:pt>
                <c:pt idx="6">
                  <c:v>7.2297205484221507</c:v>
                </c:pt>
                <c:pt idx="7">
                  <c:v>8.4870818468207432</c:v>
                </c:pt>
                <c:pt idx="8">
                  <c:v>9.7264474789495949</c:v>
                </c:pt>
                <c:pt idx="9">
                  <c:v>10.944226568345741</c:v>
                </c:pt>
                <c:pt idx="10">
                  <c:v>12.138655560521698</c:v>
                </c:pt>
                <c:pt idx="11">
                  <c:v>13.309038722096915</c:v>
                </c:pt>
                <c:pt idx="12">
                  <c:v>14.455310597770449</c:v>
                </c:pt>
                <c:pt idx="13">
                  <c:v>15.577777461297899</c:v>
                </c:pt>
                <c:pt idx="14">
                  <c:v>16.676961272798252</c:v>
                </c:pt>
                <c:pt idx="15">
                  <c:v>17.753503959636873</c:v>
                </c:pt>
                <c:pt idx="16">
                  <c:v>18.808108057235472</c:v>
                </c:pt>
                <c:pt idx="17">
                  <c:v>19.841499719201479</c:v>
                </c:pt>
                <c:pt idx="18">
                  <c:v>20.854405725830631</c:v>
                </c:pt>
                <c:pt idx="19">
                  <c:v>21.847539372516437</c:v>
                </c:pt>
                <c:pt idx="20">
                  <c:v>22.821592048351675</c:v>
                </c:pt>
                <c:pt idx="21">
                  <c:v>23.777228484267781</c:v>
                </c:pt>
                <c:pt idx="22">
                  <c:v>24.715084372661522</c:v>
                </c:pt>
                <c:pt idx="23">
                  <c:v>25.635765514957981</c:v>
                </c:pt>
                <c:pt idx="24">
                  <c:v>26.539847943868949</c:v>
                </c:pt>
                <c:pt idx="25">
                  <c:v>27.427878655075602</c:v>
                </c:pt>
                <c:pt idx="26">
                  <c:v>28.300376706207402</c:v>
                </c:pt>
                <c:pt idx="27">
                  <c:v>29.157834522479789</c:v>
                </c:pt>
                <c:pt idx="28">
                  <c:v>30.000719302730118</c:v>
                </c:pt>
                <c:pt idx="29">
                  <c:v>30.829474456113985</c:v>
                </c:pt>
                <c:pt idx="30">
                  <c:v>31.644521024372665</c:v>
                </c:pt>
                <c:pt idx="31">
                  <c:v>32.44625906125934</c:v>
                </c:pt>
                <c:pt idx="32">
                  <c:v>33.235068951999921</c:v>
                </c:pt>
                <c:pt idx="33">
                  <c:v>34.011312663283348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C7-42DE-9020-E8DA8F8415D5}"/>
            </c:ext>
          </c:extLst>
        </c:ser>
        <c:ser>
          <c:idx val="1"/>
          <c:order val="1"/>
          <c:tx>
            <c:strRef>
              <c:f>公式应用示例!$K$10</c:f>
              <c:strCache>
                <c:ptCount val="1"/>
                <c:pt idx="0">
                  <c:v>平值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公式应用示例!$I$11:$I$44</c:f>
              <c:numCache>
                <c:formatCode>General</c:formatCode>
                <c:ptCount val="34"/>
                <c:pt idx="0">
                  <c:v>0.1</c:v>
                </c:pt>
                <c:pt idx="1">
                  <c:v>0.4</c:v>
                </c:pt>
                <c:pt idx="2">
                  <c:v>0.7</c:v>
                </c:pt>
                <c:pt idx="3">
                  <c:v>1</c:v>
                </c:pt>
                <c:pt idx="4">
                  <c:v>1.3</c:v>
                </c:pt>
                <c:pt idx="5">
                  <c:v>1.6</c:v>
                </c:pt>
                <c:pt idx="6">
                  <c:v>1.9</c:v>
                </c:pt>
                <c:pt idx="7">
                  <c:v>2.2000000000000002</c:v>
                </c:pt>
                <c:pt idx="8">
                  <c:v>2.5</c:v>
                </c:pt>
                <c:pt idx="9">
                  <c:v>2.8</c:v>
                </c:pt>
                <c:pt idx="10">
                  <c:v>3.1</c:v>
                </c:pt>
                <c:pt idx="11">
                  <c:v>3.4</c:v>
                </c:pt>
                <c:pt idx="12">
                  <c:v>3.7</c:v>
                </c:pt>
                <c:pt idx="13">
                  <c:v>4</c:v>
                </c:pt>
                <c:pt idx="14">
                  <c:v>4.3</c:v>
                </c:pt>
                <c:pt idx="15">
                  <c:v>4.5999999999999996</c:v>
                </c:pt>
                <c:pt idx="16">
                  <c:v>4.9000000000000004</c:v>
                </c:pt>
                <c:pt idx="17">
                  <c:v>5.2</c:v>
                </c:pt>
                <c:pt idx="18">
                  <c:v>5.5</c:v>
                </c:pt>
                <c:pt idx="19">
                  <c:v>5.8</c:v>
                </c:pt>
                <c:pt idx="20">
                  <c:v>6.1</c:v>
                </c:pt>
                <c:pt idx="21">
                  <c:v>6.4</c:v>
                </c:pt>
                <c:pt idx="22">
                  <c:v>6.7</c:v>
                </c:pt>
                <c:pt idx="23">
                  <c:v>7</c:v>
                </c:pt>
                <c:pt idx="24">
                  <c:v>7.3</c:v>
                </c:pt>
                <c:pt idx="25">
                  <c:v>7.6</c:v>
                </c:pt>
                <c:pt idx="26">
                  <c:v>7.9</c:v>
                </c:pt>
                <c:pt idx="27">
                  <c:v>8.1999999999999993</c:v>
                </c:pt>
                <c:pt idx="28">
                  <c:v>8.5</c:v>
                </c:pt>
                <c:pt idx="29">
                  <c:v>8.8000000000000007</c:v>
                </c:pt>
                <c:pt idx="30">
                  <c:v>9.1</c:v>
                </c:pt>
                <c:pt idx="31">
                  <c:v>9.4</c:v>
                </c:pt>
                <c:pt idx="32">
                  <c:v>9.6999999999999993</c:v>
                </c:pt>
                <c:pt idx="33">
                  <c:v>10</c:v>
                </c:pt>
              </c:numCache>
            </c:numRef>
          </c:xVal>
          <c:yVal>
            <c:numRef>
              <c:f>公式应用示例!$K$11:$K$44</c:f>
              <c:numCache>
                <c:formatCode>General</c:formatCode>
                <c:ptCount val="34"/>
                <c:pt idx="0">
                  <c:v>3.3004125566778413</c:v>
                </c:pt>
                <c:pt idx="1">
                  <c:v>6.8780924564881474</c:v>
                </c:pt>
                <c:pt idx="2">
                  <c:v>9.3231518045262121</c:v>
                </c:pt>
                <c:pt idx="3">
                  <c:v>11.348476825143521</c:v>
                </c:pt>
                <c:pt idx="4">
                  <c:v>13.132115039415289</c:v>
                </c:pt>
                <c:pt idx="5">
                  <c:v>14.752069271071207</c:v>
                </c:pt>
                <c:pt idx="6">
                  <c:v>16.250895232365231</c:v>
                </c:pt>
                <c:pt idx="7">
                  <c:v>17.654881816234315</c:v>
                </c:pt>
                <c:pt idx="8">
                  <c:v>18.981643194585331</c:v>
                </c:pt>
                <c:pt idx="9">
                  <c:v>20.243681183019447</c:v>
                </c:pt>
                <c:pt idx="10">
                  <c:v>21.450260172878473</c:v>
                </c:pt>
                <c:pt idx="11">
                  <c:v>22.608479878409497</c:v>
                </c:pt>
                <c:pt idx="12">
                  <c:v>23.72392951997854</c:v>
                </c:pt>
                <c:pt idx="13">
                  <c:v>24.801107386882407</c:v>
                </c:pt>
                <c:pt idx="14">
                  <c:v>25.843701169429686</c:v>
                </c:pt>
                <c:pt idx="15">
                  <c:v>26.854781729526351</c:v>
                </c:pt>
                <c:pt idx="16">
                  <c:v>27.836940926573334</c:v>
                </c:pt>
                <c:pt idx="17">
                  <c:v>28.792392079182719</c:v>
                </c:pt>
                <c:pt idx="18">
                  <c:v>29.723044758869015</c:v>
                </c:pt>
                <c:pt idx="19">
                  <c:v>30.630561513887415</c:v>
                </c:pt>
                <c:pt idx="20">
                  <c:v>31.516401596455189</c:v>
                </c:pt>
                <c:pt idx="21">
                  <c:v>32.381855163348959</c:v>
                </c:pt>
                <c:pt idx="22">
                  <c:v>33.228070374516363</c:v>
                </c:pt>
                <c:pt idx="23">
                  <c:v>34.056075116508687</c:v>
                </c:pt>
                <c:pt idx="24">
                  <c:v>34.866794601785251</c:v>
                </c:pt>
                <c:pt idx="25">
                  <c:v>35.661065764387821</c:v>
                </c:pt>
                <c:pt idx="26">
                  <c:v>36.439649138842626</c:v>
                </c:pt>
                <c:pt idx="27">
                  <c:v>37.203238741415987</c:v>
                </c:pt>
                <c:pt idx="28">
                  <c:v>37.952470350705354</c:v>
                </c:pt>
                <c:pt idx="29">
                  <c:v>38.687928494432811</c:v>
                </c:pt>
                <c:pt idx="30">
                  <c:v>39.410152382020812</c:v>
                </c:pt>
                <c:pt idx="31">
                  <c:v>40.11964097172573</c:v>
                </c:pt>
                <c:pt idx="32">
                  <c:v>40.81685732235006</c:v>
                </c:pt>
                <c:pt idx="33">
                  <c:v>41.502232349708081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C7-42DE-9020-E8DA8F8415D5}"/>
            </c:ext>
          </c:extLst>
        </c:ser>
        <c:ser>
          <c:idx val="2"/>
          <c:order val="2"/>
          <c:tx>
            <c:strRef>
              <c:f>公式应用示例!$L$10</c:f>
              <c:strCache>
                <c:ptCount val="1"/>
                <c:pt idx="0">
                  <c:v>虚值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公式应用示例!$I$11:$I$44</c:f>
              <c:numCache>
                <c:formatCode>General</c:formatCode>
                <c:ptCount val="34"/>
                <c:pt idx="0">
                  <c:v>0.1</c:v>
                </c:pt>
                <c:pt idx="1">
                  <c:v>0.4</c:v>
                </c:pt>
                <c:pt idx="2">
                  <c:v>0.7</c:v>
                </c:pt>
                <c:pt idx="3">
                  <c:v>1</c:v>
                </c:pt>
                <c:pt idx="4">
                  <c:v>1.3</c:v>
                </c:pt>
                <c:pt idx="5">
                  <c:v>1.6</c:v>
                </c:pt>
                <c:pt idx="6">
                  <c:v>1.9</c:v>
                </c:pt>
                <c:pt idx="7">
                  <c:v>2.2000000000000002</c:v>
                </c:pt>
                <c:pt idx="8">
                  <c:v>2.5</c:v>
                </c:pt>
                <c:pt idx="9">
                  <c:v>2.8</c:v>
                </c:pt>
                <c:pt idx="10">
                  <c:v>3.1</c:v>
                </c:pt>
                <c:pt idx="11">
                  <c:v>3.4</c:v>
                </c:pt>
                <c:pt idx="12">
                  <c:v>3.7</c:v>
                </c:pt>
                <c:pt idx="13">
                  <c:v>4</c:v>
                </c:pt>
                <c:pt idx="14">
                  <c:v>4.3</c:v>
                </c:pt>
                <c:pt idx="15">
                  <c:v>4.5999999999999996</c:v>
                </c:pt>
                <c:pt idx="16">
                  <c:v>4.9000000000000004</c:v>
                </c:pt>
                <c:pt idx="17">
                  <c:v>5.2</c:v>
                </c:pt>
                <c:pt idx="18">
                  <c:v>5.5</c:v>
                </c:pt>
                <c:pt idx="19">
                  <c:v>5.8</c:v>
                </c:pt>
                <c:pt idx="20">
                  <c:v>6.1</c:v>
                </c:pt>
                <c:pt idx="21">
                  <c:v>6.4</c:v>
                </c:pt>
                <c:pt idx="22">
                  <c:v>6.7</c:v>
                </c:pt>
                <c:pt idx="23">
                  <c:v>7</c:v>
                </c:pt>
                <c:pt idx="24">
                  <c:v>7.3</c:v>
                </c:pt>
                <c:pt idx="25">
                  <c:v>7.6</c:v>
                </c:pt>
                <c:pt idx="26">
                  <c:v>7.9</c:v>
                </c:pt>
                <c:pt idx="27">
                  <c:v>8.1999999999999993</c:v>
                </c:pt>
                <c:pt idx="28">
                  <c:v>8.5</c:v>
                </c:pt>
                <c:pt idx="29">
                  <c:v>8.8000000000000007</c:v>
                </c:pt>
                <c:pt idx="30">
                  <c:v>9.1</c:v>
                </c:pt>
                <c:pt idx="31">
                  <c:v>9.4</c:v>
                </c:pt>
                <c:pt idx="32">
                  <c:v>9.6999999999999993</c:v>
                </c:pt>
                <c:pt idx="33">
                  <c:v>10</c:v>
                </c:pt>
              </c:numCache>
            </c:numRef>
          </c:xVal>
          <c:yVal>
            <c:numRef>
              <c:f>公式应用示例!$L$11:$L$44</c:f>
              <c:numCache>
                <c:formatCode>General</c:formatCode>
                <c:ptCount val="34"/>
                <c:pt idx="0">
                  <c:v>7.9526460588679048E-19</c:v>
                </c:pt>
                <c:pt idx="1">
                  <c:v>1.9358284987132336E-5</c:v>
                </c:pt>
                <c:pt idx="2">
                  <c:v>2.5664547698354412E-3</c:v>
                </c:pt>
                <c:pt idx="3">
                  <c:v>2.1395157337291304E-2</c:v>
                </c:pt>
                <c:pt idx="4">
                  <c:v>7.2859285258571105E-2</c:v>
                </c:pt>
                <c:pt idx="5">
                  <c:v>0.16471185581160386</c:v>
                </c:pt>
                <c:pt idx="6">
                  <c:v>0.29741819222497856</c:v>
                </c:pt>
                <c:pt idx="7">
                  <c:v>0.46781699458021508</c:v>
                </c:pt>
                <c:pt idx="8">
                  <c:v>0.67145043235537782</c:v>
                </c:pt>
                <c:pt idx="9">
                  <c:v>0.90370410293541248</c:v>
                </c:pt>
                <c:pt idx="10">
                  <c:v>1.1602894669643966</c:v>
                </c:pt>
                <c:pt idx="11">
                  <c:v>1.4374084412214865</c:v>
                </c:pt>
                <c:pt idx="12">
                  <c:v>1.7317751370896461</c:v>
                </c:pt>
                <c:pt idx="13">
                  <c:v>2.0405788150735145</c:v>
                </c:pt>
                <c:pt idx="14">
                  <c:v>2.3614269727192649</c:v>
                </c:pt>
                <c:pt idx="15">
                  <c:v>2.6922858471006279</c:v>
                </c:pt>
                <c:pt idx="16">
                  <c:v>3.031425424576458</c:v>
                </c:pt>
                <c:pt idx="17">
                  <c:v>3.3773713437508182</c:v>
                </c:pt>
                <c:pt idx="18">
                  <c:v>3.728863980691834</c:v>
                </c:pt>
                <c:pt idx="19">
                  <c:v>4.084824142843317</c:v>
                </c:pt>
                <c:pt idx="20">
                  <c:v>4.4443245097181752</c:v>
                </c:pt>
                <c:pt idx="21">
                  <c:v>4.806565927559328</c:v>
                </c:pt>
                <c:pt idx="22">
                  <c:v>5.170857740403779</c:v>
                </c:pt>
                <c:pt idx="23">
                  <c:v>5.5366014503844028</c:v>
                </c:pt>
                <c:pt idx="24">
                  <c:v>5.903277113632786</c:v>
                </c:pt>
                <c:pt idx="25">
                  <c:v>6.2704319815886898</c:v>
                </c:pt>
                <c:pt idx="26">
                  <c:v>6.6376709865550154</c:v>
                </c:pt>
                <c:pt idx="27">
                  <c:v>7.004648744673835</c:v>
                </c:pt>
                <c:pt idx="28">
                  <c:v>7.3710628105116687</c:v>
                </c:pt>
                <c:pt idx="29">
                  <c:v>7.7366479670393229</c:v>
                </c:pt>
                <c:pt idx="30">
                  <c:v>8.1011713749040375</c:v>
                </c:pt>
                <c:pt idx="31">
                  <c:v>8.4644284372606116</c:v>
                </c:pt>
                <c:pt idx="32">
                  <c:v>8.8262392625388362</c:v>
                </c:pt>
                <c:pt idx="33">
                  <c:v>9.1864456286057017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C7-42DE-9020-E8DA8F841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873344"/>
        <c:axId val="411870016"/>
      </c:scatterChart>
      <c:valAx>
        <c:axId val="411873344"/>
        <c:scaling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11870016"/>
        <c:crosses val="autoZero"/>
        <c:crossBetween val="midCat"/>
      </c:valAx>
      <c:valAx>
        <c:axId val="4118700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11873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公式应用示例!$N$10</c:f>
              <c:strCache>
                <c:ptCount val="1"/>
                <c:pt idx="0">
                  <c:v>实值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公式应用示例!$N$11:$N$43</c:f>
              <c:numCache>
                <c:formatCode>General</c:formatCode>
                <c:ptCount val="33"/>
                <c:pt idx="0">
                  <c:v>0.91798198072838488</c:v>
                </c:pt>
                <c:pt idx="1">
                  <c:v>1.0535512368003168</c:v>
                </c:pt>
                <c:pt idx="2">
                  <c:v>1.1791989464955179</c:v>
                </c:pt>
                <c:pt idx="3">
                  <c:v>1.2434886493582837</c:v>
                </c:pt>
                <c:pt idx="4">
                  <c:v>1.2673660615009936</c:v>
                </c:pt>
                <c:pt idx="5">
                  <c:v>1.2685830153539257</c:v>
                </c:pt>
                <c:pt idx="6">
                  <c:v>1.2573612983985925</c:v>
                </c:pt>
                <c:pt idx="7">
                  <c:v>1.2393656321288518</c:v>
                </c:pt>
                <c:pt idx="8">
                  <c:v>1.2177790893961458</c:v>
                </c:pt>
                <c:pt idx="9">
                  <c:v>1.1944289921759577</c:v>
                </c:pt>
                <c:pt idx="10">
                  <c:v>1.1703831615752165</c:v>
                </c:pt>
                <c:pt idx="11">
                  <c:v>1.1462718756735342</c:v>
                </c:pt>
                <c:pt idx="12">
                  <c:v>1.1224668635274497</c:v>
                </c:pt>
                <c:pt idx="13">
                  <c:v>1.0991838115003532</c:v>
                </c:pt>
                <c:pt idx="14">
                  <c:v>1.0765426868386214</c:v>
                </c:pt>
                <c:pt idx="15">
                  <c:v>1.0546040975985989</c:v>
                </c:pt>
                <c:pt idx="16">
                  <c:v>1.0333916619660073</c:v>
                </c:pt>
                <c:pt idx="17">
                  <c:v>1.0129060066291515</c:v>
                </c:pt>
                <c:pt idx="18">
                  <c:v>0.99313364668580562</c:v>
                </c:pt>
                <c:pt idx="19">
                  <c:v>0.9740526758352388</c:v>
                </c:pt>
                <c:pt idx="20">
                  <c:v>0.95563643591610514</c:v>
                </c:pt>
                <c:pt idx="21">
                  <c:v>0.93785588839374157</c:v>
                </c:pt>
                <c:pt idx="22">
                  <c:v>0.92068114229645914</c:v>
                </c:pt>
                <c:pt idx="23">
                  <c:v>0.90408242891096791</c:v>
                </c:pt>
                <c:pt idx="24">
                  <c:v>0.88803071120665322</c:v>
                </c:pt>
                <c:pt idx="25">
                  <c:v>0.87249805113179946</c:v>
                </c:pt>
                <c:pt idx="26">
                  <c:v>0.85745781627238671</c:v>
                </c:pt>
                <c:pt idx="27">
                  <c:v>0.84288478025032987</c:v>
                </c:pt>
                <c:pt idx="28">
                  <c:v>0.82875515338386663</c:v>
                </c:pt>
                <c:pt idx="29">
                  <c:v>0.81504656825867983</c:v>
                </c:pt>
                <c:pt idx="30">
                  <c:v>0.80173803688667533</c:v>
                </c:pt>
                <c:pt idx="31">
                  <c:v>0.7888098907405805</c:v>
                </c:pt>
                <c:pt idx="32">
                  <c:v>0.77624371128342773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F6-4901-9FA5-E2F6A8C4DB1D}"/>
            </c:ext>
          </c:extLst>
        </c:ser>
        <c:ser>
          <c:idx val="1"/>
          <c:order val="1"/>
          <c:tx>
            <c:strRef>
              <c:f>公式应用示例!$O$10</c:f>
              <c:strCache>
                <c:ptCount val="1"/>
                <c:pt idx="0">
                  <c:v>平值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公式应用示例!$O$11:$O$43</c:f>
              <c:numCache>
                <c:formatCode>General</c:formatCode>
                <c:ptCount val="33"/>
                <c:pt idx="0">
                  <c:v>3.5776798998103061</c:v>
                </c:pt>
                <c:pt idx="1">
                  <c:v>2.4450593480380647</c:v>
                </c:pt>
                <c:pt idx="2">
                  <c:v>2.0253250206173092</c:v>
                </c:pt>
                <c:pt idx="3">
                  <c:v>1.7836382142717682</c:v>
                </c:pt>
                <c:pt idx="4">
                  <c:v>1.6199542316559175</c:v>
                </c:pt>
                <c:pt idx="5">
                  <c:v>1.498825961294024</c:v>
                </c:pt>
                <c:pt idx="6">
                  <c:v>1.4039865838690844</c:v>
                </c:pt>
                <c:pt idx="7">
                  <c:v>1.3267613783510157</c:v>
                </c:pt>
                <c:pt idx="8">
                  <c:v>1.2620379884341162</c:v>
                </c:pt>
                <c:pt idx="9">
                  <c:v>1.2065789898590253</c:v>
                </c:pt>
                <c:pt idx="10">
                  <c:v>1.1582197055310246</c:v>
                </c:pt>
                <c:pt idx="11">
                  <c:v>1.1154496415690431</c:v>
                </c:pt>
                <c:pt idx="12">
                  <c:v>1.0771778669038667</c:v>
                </c:pt>
                <c:pt idx="13">
                  <c:v>1.0425937825472786</c:v>
                </c:pt>
                <c:pt idx="14">
                  <c:v>1.0110805600966657</c:v>
                </c:pt>
                <c:pt idx="15">
                  <c:v>0.98215919704698251</c:v>
                </c:pt>
                <c:pt idx="16">
                  <c:v>0.95545115260938474</c:v>
                </c:pt>
                <c:pt idx="17">
                  <c:v>0.93065267968629684</c:v>
                </c:pt>
                <c:pt idx="18">
                  <c:v>0.90751675501839912</c:v>
                </c:pt>
                <c:pt idx="19">
                  <c:v>0.8858400825677748</c:v>
                </c:pt>
                <c:pt idx="20">
                  <c:v>0.86545356689376973</c:v>
                </c:pt>
                <c:pt idx="21">
                  <c:v>0.84621521116740439</c:v>
                </c:pt>
                <c:pt idx="22">
                  <c:v>0.82800474199232355</c:v>
                </c:pt>
                <c:pt idx="23">
                  <c:v>0.81071948527656446</c:v>
                </c:pt>
                <c:pt idx="24">
                  <c:v>0.7942711626025698</c:v>
                </c:pt>
                <c:pt idx="25">
                  <c:v>0.7785833744548043</c:v>
                </c:pt>
                <c:pt idx="26">
                  <c:v>0.7635896025733615</c:v>
                </c:pt>
                <c:pt idx="27">
                  <c:v>0.74923160928936738</c:v>
                </c:pt>
                <c:pt idx="28">
                  <c:v>0.7354581437274561</c:v>
                </c:pt>
                <c:pt idx="29">
                  <c:v>0.72222388758800093</c:v>
                </c:pt>
                <c:pt idx="30">
                  <c:v>0.70948858970491813</c:v>
                </c:pt>
                <c:pt idx="31">
                  <c:v>0.69721635062433052</c:v>
                </c:pt>
                <c:pt idx="32">
                  <c:v>0.68537502735802036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6-4901-9FA5-E2F6A8C4DB1D}"/>
            </c:ext>
          </c:extLst>
        </c:ser>
        <c:ser>
          <c:idx val="2"/>
          <c:order val="2"/>
          <c:tx>
            <c:strRef>
              <c:f>公式应用示例!$P$10</c:f>
              <c:strCache>
                <c:ptCount val="1"/>
                <c:pt idx="0">
                  <c:v>虚值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公式应用示例!$P$11:$P$43</c:f>
              <c:numCache>
                <c:formatCode>General</c:formatCode>
                <c:ptCount val="33"/>
                <c:pt idx="0">
                  <c:v>1.935828498713154E-5</c:v>
                </c:pt>
                <c:pt idx="1">
                  <c:v>2.5470964848483086E-3</c:v>
                </c:pt>
                <c:pt idx="2">
                  <c:v>1.8828702567455863E-2</c:v>
                </c:pt>
                <c:pt idx="3">
                  <c:v>5.1464127921279801E-2</c:v>
                </c:pt>
                <c:pt idx="4">
                  <c:v>9.1852570553032753E-2</c:v>
                </c:pt>
                <c:pt idx="5">
                  <c:v>0.1327063364133747</c:v>
                </c:pt>
                <c:pt idx="6">
                  <c:v>0.17039880235523652</c:v>
                </c:pt>
                <c:pt idx="7">
                  <c:v>0.20363343777516274</c:v>
                </c:pt>
                <c:pt idx="8">
                  <c:v>0.23225367058003465</c:v>
                </c:pt>
                <c:pt idx="9">
                  <c:v>0.25658536402898413</c:v>
                </c:pt>
                <c:pt idx="10">
                  <c:v>0.27711897425708987</c:v>
                </c:pt>
                <c:pt idx="11">
                  <c:v>0.29436669586815967</c:v>
                </c:pt>
                <c:pt idx="12">
                  <c:v>0.30880367798386832</c:v>
                </c:pt>
                <c:pt idx="13">
                  <c:v>0.32084815764575048</c:v>
                </c:pt>
                <c:pt idx="14">
                  <c:v>0.33085887438136297</c:v>
                </c:pt>
                <c:pt idx="15">
                  <c:v>0.33913957747583012</c:v>
                </c:pt>
                <c:pt idx="16">
                  <c:v>0.34594591917436013</c:v>
                </c:pt>
                <c:pt idx="17">
                  <c:v>0.35149263694101585</c:v>
                </c:pt>
                <c:pt idx="18">
                  <c:v>0.35596016215148296</c:v>
                </c:pt>
                <c:pt idx="19">
                  <c:v>0.3595003668748582</c:v>
                </c:pt>
                <c:pt idx="20">
                  <c:v>0.36224141784115282</c:v>
                </c:pt>
                <c:pt idx="21">
                  <c:v>0.364291812844451</c:v>
                </c:pt>
                <c:pt idx="22">
                  <c:v>0.36574370998062378</c:v>
                </c:pt>
                <c:pt idx="23">
                  <c:v>0.36667566324838319</c:v>
                </c:pt>
                <c:pt idx="24">
                  <c:v>0.3671548679559038</c:v>
                </c:pt>
                <c:pt idx="25">
                  <c:v>0.36723900496632567</c:v>
                </c:pt>
                <c:pt idx="26">
                  <c:v>0.36697775811881961</c:v>
                </c:pt>
                <c:pt idx="27">
                  <c:v>0.36641406583783365</c:v>
                </c:pt>
                <c:pt idx="28">
                  <c:v>0.36558515652765422</c:v>
                </c:pt>
                <c:pt idx="29">
                  <c:v>0.3645234078647146</c:v>
                </c:pt>
                <c:pt idx="30">
                  <c:v>0.36325706235657407</c:v>
                </c:pt>
                <c:pt idx="31">
                  <c:v>0.36181082527822461</c:v>
                </c:pt>
                <c:pt idx="32">
                  <c:v>0.36020636606686551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6-4901-9FA5-E2F6A8C4D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9979184"/>
        <c:axId val="359980432"/>
      </c:lineChart>
      <c:catAx>
        <c:axId val="359979184"/>
        <c:scaling>
          <c:orientation val="maxMin"/>
        </c:scaling>
        <c:delete val="1"/>
        <c:axPos val="b"/>
        <c:majorTickMark val="none"/>
        <c:minorTickMark val="none"/>
        <c:tickLblPos val="nextTo"/>
        <c:crossAx val="359980432"/>
        <c:crosses val="autoZero"/>
        <c:auto val="1"/>
        <c:lblAlgn val="ctr"/>
        <c:lblOffset val="100"/>
        <c:noMultiLvlLbl val="0"/>
      </c:catAx>
      <c:valAx>
        <c:axId val="3599804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59979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公式应用示例!$S$10</c:f>
              <c:strCache>
                <c:ptCount val="1"/>
                <c:pt idx="0">
                  <c:v>实值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公式应用示例!$I$11:$I$44</c:f>
              <c:numCache>
                <c:formatCode>General</c:formatCode>
                <c:ptCount val="34"/>
                <c:pt idx="0">
                  <c:v>0.1</c:v>
                </c:pt>
                <c:pt idx="1">
                  <c:v>0.4</c:v>
                </c:pt>
                <c:pt idx="2">
                  <c:v>0.7</c:v>
                </c:pt>
                <c:pt idx="3">
                  <c:v>1</c:v>
                </c:pt>
                <c:pt idx="4">
                  <c:v>1.3</c:v>
                </c:pt>
                <c:pt idx="5">
                  <c:v>1.6</c:v>
                </c:pt>
                <c:pt idx="6">
                  <c:v>1.9</c:v>
                </c:pt>
                <c:pt idx="7">
                  <c:v>2.2000000000000002</c:v>
                </c:pt>
                <c:pt idx="8">
                  <c:v>2.5</c:v>
                </c:pt>
                <c:pt idx="9">
                  <c:v>2.8</c:v>
                </c:pt>
                <c:pt idx="10">
                  <c:v>3.1</c:v>
                </c:pt>
                <c:pt idx="11">
                  <c:v>3.4</c:v>
                </c:pt>
                <c:pt idx="12">
                  <c:v>3.7</c:v>
                </c:pt>
                <c:pt idx="13">
                  <c:v>4</c:v>
                </c:pt>
                <c:pt idx="14">
                  <c:v>4.3</c:v>
                </c:pt>
                <c:pt idx="15">
                  <c:v>4.5999999999999996</c:v>
                </c:pt>
                <c:pt idx="16">
                  <c:v>4.9000000000000004</c:v>
                </c:pt>
                <c:pt idx="17">
                  <c:v>5.2</c:v>
                </c:pt>
                <c:pt idx="18">
                  <c:v>5.5</c:v>
                </c:pt>
                <c:pt idx="19">
                  <c:v>5.8</c:v>
                </c:pt>
                <c:pt idx="20">
                  <c:v>6.1</c:v>
                </c:pt>
                <c:pt idx="21">
                  <c:v>6.4</c:v>
                </c:pt>
                <c:pt idx="22">
                  <c:v>6.7</c:v>
                </c:pt>
                <c:pt idx="23">
                  <c:v>7</c:v>
                </c:pt>
                <c:pt idx="24">
                  <c:v>7.3</c:v>
                </c:pt>
                <c:pt idx="25">
                  <c:v>7.6</c:v>
                </c:pt>
                <c:pt idx="26">
                  <c:v>7.9</c:v>
                </c:pt>
                <c:pt idx="27">
                  <c:v>8.1999999999999993</c:v>
                </c:pt>
                <c:pt idx="28">
                  <c:v>8.5</c:v>
                </c:pt>
                <c:pt idx="29">
                  <c:v>8.8000000000000007</c:v>
                </c:pt>
                <c:pt idx="30">
                  <c:v>9.1</c:v>
                </c:pt>
                <c:pt idx="31">
                  <c:v>9.4</c:v>
                </c:pt>
                <c:pt idx="32">
                  <c:v>9.6999999999999993</c:v>
                </c:pt>
                <c:pt idx="33">
                  <c:v>10</c:v>
                </c:pt>
              </c:numCache>
            </c:numRef>
          </c:xVal>
          <c:yVal>
            <c:numRef>
              <c:f>公式应用示例!$S$11:$S$44</c:f>
              <c:numCache>
                <c:formatCode>General</c:formatCode>
                <c:ptCount val="34"/>
                <c:pt idx="0">
                  <c:v>-49.999999791477961</c:v>
                </c:pt>
                <c:pt idx="1">
                  <c:v>-49.975296074893826</c:v>
                </c:pt>
                <c:pt idx="2">
                  <c:v>-49.807019667340612</c:v>
                </c:pt>
                <c:pt idx="3">
                  <c:v>-49.505163822940219</c:v>
                </c:pt>
                <c:pt idx="4">
                  <c:v>-49.131157613796098</c:v>
                </c:pt>
                <c:pt idx="5">
                  <c:v>-48.725483759181309</c:v>
                </c:pt>
                <c:pt idx="6">
                  <c:v>-48.310872514925521</c:v>
                </c:pt>
                <c:pt idx="7">
                  <c:v>-47.899831724017368</c:v>
                </c:pt>
                <c:pt idx="8">
                  <c:v>-47.499203888195119</c:v>
                </c:pt>
                <c:pt idx="9">
                  <c:v>-47.112647822141795</c:v>
                </c:pt>
                <c:pt idx="10">
                  <c:v>-46.741994409864226</c:v>
                </c:pt>
                <c:pt idx="11">
                  <c:v>-46.388006111015407</c:v>
                </c:pt>
                <c:pt idx="12">
                  <c:v>-46.050814509326443</c:v>
                </c:pt>
                <c:pt idx="13">
                  <c:v>-45.73017886698635</c:v>
                </c:pt>
                <c:pt idx="14">
                  <c:v>-45.42564217264345</c:v>
                </c:pt>
                <c:pt idx="15">
                  <c:v>-45.136626865783271</c:v>
                </c:pt>
                <c:pt idx="16">
                  <c:v>-44.862494201132591</c:v>
                </c:pt>
                <c:pt idx="17">
                  <c:v>-44.602581243696676</c:v>
                </c:pt>
                <c:pt idx="18">
                  <c:v>-44.356223865377785</c:v>
                </c:pt>
                <c:pt idx="19">
                  <c:v>-44.122770861640419</c:v>
                </c:pt>
                <c:pt idx="20">
                  <c:v>-43.901592377939217</c:v>
                </c:pt>
                <c:pt idx="21">
                  <c:v>-43.692084666563993</c:v>
                </c:pt>
                <c:pt idx="22">
                  <c:v>-43.493672471952543</c:v>
                </c:pt>
                <c:pt idx="23">
                  <c:v>-43.305809888023298</c:v>
                </c:pt>
                <c:pt idx="24">
                  <c:v>-43.127980240768395</c:v>
                </c:pt>
                <c:pt idx="25">
                  <c:v>-42.959695361379012</c:v>
                </c:pt>
                <c:pt idx="26">
                  <c:v>-42.800494492031639</c:v>
                </c:pt>
                <c:pt idx="27">
                  <c:v>-42.649942984972483</c:v>
                </c:pt>
                <c:pt idx="28">
                  <c:v>-42.507630901161789</c:v>
                </c:pt>
                <c:pt idx="29">
                  <c:v>-42.373171578215405</c:v>
                </c:pt>
                <c:pt idx="30">
                  <c:v>-42.246200212733925</c:v>
                </c:pt>
                <c:pt idx="31">
                  <c:v>-42.126372485431752</c:v>
                </c:pt>
                <c:pt idx="32">
                  <c:v>-42.01336324619097</c:v>
                </c:pt>
                <c:pt idx="33">
                  <c:v>-41.906865268544863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8C-4B91-AAAC-34A3D11264E1}"/>
            </c:ext>
          </c:extLst>
        </c:ser>
        <c:ser>
          <c:idx val="1"/>
          <c:order val="1"/>
          <c:tx>
            <c:strRef>
              <c:f>公式应用示例!$T$10</c:f>
              <c:strCache>
                <c:ptCount val="1"/>
                <c:pt idx="0">
                  <c:v>平值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公式应用示例!$I$11:$I$44</c:f>
              <c:numCache>
                <c:formatCode>General</c:formatCode>
                <c:ptCount val="34"/>
                <c:pt idx="0">
                  <c:v>0.1</c:v>
                </c:pt>
                <c:pt idx="1">
                  <c:v>0.4</c:v>
                </c:pt>
                <c:pt idx="2">
                  <c:v>0.7</c:v>
                </c:pt>
                <c:pt idx="3">
                  <c:v>1</c:v>
                </c:pt>
                <c:pt idx="4">
                  <c:v>1.3</c:v>
                </c:pt>
                <c:pt idx="5">
                  <c:v>1.6</c:v>
                </c:pt>
                <c:pt idx="6">
                  <c:v>1.9</c:v>
                </c:pt>
                <c:pt idx="7">
                  <c:v>2.2000000000000002</c:v>
                </c:pt>
                <c:pt idx="8">
                  <c:v>2.5</c:v>
                </c:pt>
                <c:pt idx="9">
                  <c:v>2.8</c:v>
                </c:pt>
                <c:pt idx="10">
                  <c:v>3.1</c:v>
                </c:pt>
                <c:pt idx="11">
                  <c:v>3.4</c:v>
                </c:pt>
                <c:pt idx="12">
                  <c:v>3.7</c:v>
                </c:pt>
                <c:pt idx="13">
                  <c:v>4</c:v>
                </c:pt>
                <c:pt idx="14">
                  <c:v>4.3</c:v>
                </c:pt>
                <c:pt idx="15">
                  <c:v>4.5999999999999996</c:v>
                </c:pt>
                <c:pt idx="16">
                  <c:v>4.9000000000000004</c:v>
                </c:pt>
                <c:pt idx="17">
                  <c:v>5.2</c:v>
                </c:pt>
                <c:pt idx="18">
                  <c:v>5.5</c:v>
                </c:pt>
                <c:pt idx="19">
                  <c:v>5.8</c:v>
                </c:pt>
                <c:pt idx="20">
                  <c:v>6.1</c:v>
                </c:pt>
                <c:pt idx="21">
                  <c:v>6.4</c:v>
                </c:pt>
                <c:pt idx="22">
                  <c:v>6.7</c:v>
                </c:pt>
                <c:pt idx="23">
                  <c:v>7</c:v>
                </c:pt>
                <c:pt idx="24">
                  <c:v>7.3</c:v>
                </c:pt>
                <c:pt idx="25">
                  <c:v>7.6</c:v>
                </c:pt>
                <c:pt idx="26">
                  <c:v>7.9</c:v>
                </c:pt>
                <c:pt idx="27">
                  <c:v>8.1999999999999993</c:v>
                </c:pt>
                <c:pt idx="28">
                  <c:v>8.5</c:v>
                </c:pt>
                <c:pt idx="29">
                  <c:v>8.8000000000000007</c:v>
                </c:pt>
                <c:pt idx="30">
                  <c:v>9.1</c:v>
                </c:pt>
                <c:pt idx="31">
                  <c:v>9.4</c:v>
                </c:pt>
                <c:pt idx="32">
                  <c:v>9.6999999999999993</c:v>
                </c:pt>
                <c:pt idx="33">
                  <c:v>10</c:v>
                </c:pt>
              </c:numCache>
            </c:numRef>
          </c:xVal>
          <c:yVal>
            <c:numRef>
              <c:f>公式应用示例!$T$11:$T$44</c:f>
              <c:numCache>
                <c:formatCode>General</c:formatCode>
                <c:ptCount val="34"/>
                <c:pt idx="0">
                  <c:v>3.0008621070151307</c:v>
                </c:pt>
                <c:pt idx="1">
                  <c:v>5.685263742681208</c:v>
                </c:pt>
                <c:pt idx="2">
                  <c:v>7.2450482614721707</c:v>
                </c:pt>
                <c:pt idx="3">
                  <c:v>8.3930301799943337</c:v>
                </c:pt>
                <c:pt idx="4">
                  <c:v>9.3071859540519597</c:v>
                </c:pt>
                <c:pt idx="5">
                  <c:v>10.065447978821666</c:v>
                </c:pt>
                <c:pt idx="6">
                  <c:v>10.710302169017559</c:v>
                </c:pt>
                <c:pt idx="7">
                  <c:v>11.267968245396212</c:v>
                </c:pt>
                <c:pt idx="8">
                  <c:v>11.755991827440617</c:v>
                </c:pt>
                <c:pt idx="9">
                  <c:v>12.186806792531911</c:v>
                </c:pt>
                <c:pt idx="10">
                  <c:v>12.569610202492527</c:v>
                </c:pt>
                <c:pt idx="11">
                  <c:v>12.911435045297182</c:v>
                </c:pt>
                <c:pt idx="12">
                  <c:v>13.217804412881655</c:v>
                </c:pt>
                <c:pt idx="13">
                  <c:v>13.493151058598162</c:v>
                </c:pt>
                <c:pt idx="14">
                  <c:v>13.741097723988013</c:v>
                </c:pt>
                <c:pt idx="15">
                  <c:v>13.964650904106186</c:v>
                </c:pt>
                <c:pt idx="16">
                  <c:v>14.166338668205267</c:v>
                </c:pt>
                <c:pt idx="17">
                  <c:v>14.348311116284563</c:v>
                </c:pt>
                <c:pt idx="18">
                  <c:v>14.512415167660599</c:v>
                </c:pt>
                <c:pt idx="19">
                  <c:v>14.660251279730556</c:v>
                </c:pt>
                <c:pt idx="20">
                  <c:v>14.793217170164283</c:v>
                </c:pt>
                <c:pt idx="21">
                  <c:v>14.912542012517186</c:v>
                </c:pt>
                <c:pt idx="22">
                  <c:v>15.019313529902316</c:v>
                </c:pt>
                <c:pt idx="23">
                  <c:v>15.114499713527398</c:v>
                </c:pt>
                <c:pt idx="24">
                  <c:v>15.198966417147915</c:v>
                </c:pt>
                <c:pt idx="25">
                  <c:v>15.273491747933196</c:v>
                </c:pt>
                <c:pt idx="26">
                  <c:v>15.338777940603602</c:v>
                </c:pt>
                <c:pt idx="27">
                  <c:v>15.395461233963722</c:v>
                </c:pt>
                <c:pt idx="28">
                  <c:v>15.44412014681345</c:v>
                </c:pt>
                <c:pt idx="29">
                  <c:v>15.485282460103409</c:v>
                </c:pt>
                <c:pt idx="30">
                  <c:v>15.51943114491424</c:v>
                </c:pt>
                <c:pt idx="31">
                  <c:v>15.547009425034627</c:v>
                </c:pt>
                <c:pt idx="32">
                  <c:v>15.568425124159166</c:v>
                </c:pt>
                <c:pt idx="33">
                  <c:v>15.584054417879873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8C-4B91-AAAC-34A3D11264E1}"/>
            </c:ext>
          </c:extLst>
        </c:ser>
        <c:ser>
          <c:idx val="2"/>
          <c:order val="2"/>
          <c:tx>
            <c:strRef>
              <c:f>公式应用示例!$U$10</c:f>
              <c:strCache>
                <c:ptCount val="1"/>
                <c:pt idx="0">
                  <c:v>虚值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公式应用示例!$I$11:$I$44</c:f>
              <c:numCache>
                <c:formatCode>General</c:formatCode>
                <c:ptCount val="34"/>
                <c:pt idx="0">
                  <c:v>0.1</c:v>
                </c:pt>
                <c:pt idx="1">
                  <c:v>0.4</c:v>
                </c:pt>
                <c:pt idx="2">
                  <c:v>0.7</c:v>
                </c:pt>
                <c:pt idx="3">
                  <c:v>1</c:v>
                </c:pt>
                <c:pt idx="4">
                  <c:v>1.3</c:v>
                </c:pt>
                <c:pt idx="5">
                  <c:v>1.6</c:v>
                </c:pt>
                <c:pt idx="6">
                  <c:v>1.9</c:v>
                </c:pt>
                <c:pt idx="7">
                  <c:v>2.2000000000000002</c:v>
                </c:pt>
                <c:pt idx="8">
                  <c:v>2.5</c:v>
                </c:pt>
                <c:pt idx="9">
                  <c:v>2.8</c:v>
                </c:pt>
                <c:pt idx="10">
                  <c:v>3.1</c:v>
                </c:pt>
                <c:pt idx="11">
                  <c:v>3.4</c:v>
                </c:pt>
                <c:pt idx="12">
                  <c:v>3.7</c:v>
                </c:pt>
                <c:pt idx="13">
                  <c:v>4</c:v>
                </c:pt>
                <c:pt idx="14">
                  <c:v>4.3</c:v>
                </c:pt>
                <c:pt idx="15">
                  <c:v>4.5999999999999996</c:v>
                </c:pt>
                <c:pt idx="16">
                  <c:v>4.9000000000000004</c:v>
                </c:pt>
                <c:pt idx="17">
                  <c:v>5.2</c:v>
                </c:pt>
                <c:pt idx="18">
                  <c:v>5.5</c:v>
                </c:pt>
                <c:pt idx="19">
                  <c:v>5.8</c:v>
                </c:pt>
                <c:pt idx="20">
                  <c:v>6.1</c:v>
                </c:pt>
                <c:pt idx="21">
                  <c:v>6.4</c:v>
                </c:pt>
                <c:pt idx="22">
                  <c:v>6.7</c:v>
                </c:pt>
                <c:pt idx="23">
                  <c:v>7</c:v>
                </c:pt>
                <c:pt idx="24">
                  <c:v>7.3</c:v>
                </c:pt>
                <c:pt idx="25">
                  <c:v>7.6</c:v>
                </c:pt>
                <c:pt idx="26">
                  <c:v>7.9</c:v>
                </c:pt>
                <c:pt idx="27">
                  <c:v>8.1999999999999993</c:v>
                </c:pt>
                <c:pt idx="28">
                  <c:v>8.5</c:v>
                </c:pt>
                <c:pt idx="29">
                  <c:v>8.8000000000000007</c:v>
                </c:pt>
                <c:pt idx="30">
                  <c:v>9.1</c:v>
                </c:pt>
                <c:pt idx="31">
                  <c:v>9.4</c:v>
                </c:pt>
                <c:pt idx="32">
                  <c:v>9.6999999999999993</c:v>
                </c:pt>
                <c:pt idx="33">
                  <c:v>10</c:v>
                </c:pt>
              </c:numCache>
            </c:numRef>
          </c:xVal>
          <c:yVal>
            <c:numRef>
              <c:f>公式应用示例!$U$11:$U$44</c:f>
              <c:numCache>
                <c:formatCode>General</c:formatCode>
                <c:ptCount val="34"/>
                <c:pt idx="0">
                  <c:v>-0.2995504496627035</c:v>
                </c:pt>
                <c:pt idx="1">
                  <c:v>-1.1928093555219661</c:v>
                </c:pt>
                <c:pt idx="2">
                  <c:v>-2.0755370882842143</c:v>
                </c:pt>
                <c:pt idx="3">
                  <c:v>-2.9340514878118853</c:v>
                </c:pt>
                <c:pt idx="4">
                  <c:v>-3.7520698001047492</c:v>
                </c:pt>
                <c:pt idx="5">
                  <c:v>-4.5219094364379231</c:v>
                </c:pt>
                <c:pt idx="6">
                  <c:v>-5.2431748711226831</c:v>
                </c:pt>
                <c:pt idx="7">
                  <c:v>-5.9190965762578998</c:v>
                </c:pt>
                <c:pt idx="8">
                  <c:v>-6.5542009347893355</c:v>
                </c:pt>
                <c:pt idx="9">
                  <c:v>-7.153170287552129</c:v>
                </c:pt>
                <c:pt idx="10">
                  <c:v>-7.7203605034215457</c:v>
                </c:pt>
                <c:pt idx="11">
                  <c:v>-8.2596363918908509</c:v>
                </c:pt>
                <c:pt idx="12">
                  <c:v>-8.7743499700072434</c:v>
                </c:pt>
                <c:pt idx="13">
                  <c:v>-9.2673775132107323</c:v>
                </c:pt>
                <c:pt idx="14">
                  <c:v>-9.7411764727224224</c:v>
                </c:pt>
                <c:pt idx="15">
                  <c:v>-10.19784497831953</c:v>
                </c:pt>
                <c:pt idx="16">
                  <c:v>-10.639176833791609</c:v>
                </c:pt>
                <c:pt idx="17">
                  <c:v>-11.066709619147325</c:v>
                </c:pt>
                <c:pt idx="18">
                  <c:v>-11.48176561051659</c:v>
                </c:pt>
                <c:pt idx="19">
                  <c:v>-11.885486091313538</c:v>
                </c:pt>
                <c:pt idx="20">
                  <c:v>-12.278859916572728</c:v>
                </c:pt>
                <c:pt idx="21">
                  <c:v>-12.66274722327244</c:v>
                </c:pt>
                <c:pt idx="22">
                  <c:v>-13.037899104210283</c:v>
                </c:pt>
                <c:pt idx="23">
                  <c:v>-13.404973952596876</c:v>
                </c:pt>
                <c:pt idx="24">
                  <c:v>-13.764551071004554</c:v>
                </c:pt>
                <c:pt idx="25">
                  <c:v>-14.117142034865935</c:v>
                </c:pt>
                <c:pt idx="26">
                  <c:v>-14.463200211684011</c:v>
                </c:pt>
                <c:pt idx="27">
                  <c:v>-14.803128762778442</c:v>
                </c:pt>
                <c:pt idx="28">
                  <c:v>-15.137287393380241</c:v>
                </c:pt>
                <c:pt idx="29">
                  <c:v>-15.465998067290066</c:v>
                </c:pt>
                <c:pt idx="30">
                  <c:v>-15.789549862202534</c:v>
                </c:pt>
                <c:pt idx="31">
                  <c:v>-16.108203109430491</c:v>
                </c:pt>
                <c:pt idx="32">
                  <c:v>-16.422192935652063</c:v>
                </c:pt>
                <c:pt idx="33">
                  <c:v>-16.731732303222515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8C-4B91-AAAC-34A3D11264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873344"/>
        <c:axId val="411870016"/>
      </c:scatterChart>
      <c:valAx>
        <c:axId val="411873344"/>
        <c:scaling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11870016"/>
        <c:crosses val="autoZero"/>
        <c:crossBetween val="midCat"/>
      </c:valAx>
      <c:valAx>
        <c:axId val="4118700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11873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公式应用示例!$V$10</c:f>
              <c:strCache>
                <c:ptCount val="1"/>
                <c:pt idx="0">
                  <c:v>实值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公式应用示例!$V$11:$V$43</c:f>
              <c:numCache>
                <c:formatCode>General</c:formatCode>
                <c:ptCount val="33"/>
                <c:pt idx="0">
                  <c:v>0.30000000000000004</c:v>
                </c:pt>
                <c:pt idx="1">
                  <c:v>0.29999999999999993</c:v>
                </c:pt>
                <c:pt idx="2">
                  <c:v>0.30000000000000004</c:v>
                </c:pt>
                <c:pt idx="3">
                  <c:v>0.30000000000000004</c:v>
                </c:pt>
                <c:pt idx="4">
                  <c:v>0.30000000000000004</c:v>
                </c:pt>
                <c:pt idx="5">
                  <c:v>0.29999999999999982</c:v>
                </c:pt>
                <c:pt idx="6">
                  <c:v>0.30000000000000027</c:v>
                </c:pt>
                <c:pt idx="7">
                  <c:v>0.29999999999999982</c:v>
                </c:pt>
                <c:pt idx="8">
                  <c:v>0.29999999999999982</c:v>
                </c:pt>
                <c:pt idx="9">
                  <c:v>0.30000000000000027</c:v>
                </c:pt>
                <c:pt idx="10">
                  <c:v>0.29999999999999982</c:v>
                </c:pt>
                <c:pt idx="11">
                  <c:v>0.30000000000000027</c:v>
                </c:pt>
                <c:pt idx="12">
                  <c:v>0.29999999999999982</c:v>
                </c:pt>
                <c:pt idx="13">
                  <c:v>0.29999999999999982</c:v>
                </c:pt>
                <c:pt idx="14">
                  <c:v>0.29999999999999982</c:v>
                </c:pt>
                <c:pt idx="15">
                  <c:v>0.30000000000000071</c:v>
                </c:pt>
                <c:pt idx="16">
                  <c:v>0.29999999999999982</c:v>
                </c:pt>
                <c:pt idx="17">
                  <c:v>0.29999999999999982</c:v>
                </c:pt>
                <c:pt idx="18">
                  <c:v>0.29999999999999982</c:v>
                </c:pt>
                <c:pt idx="19">
                  <c:v>0.29999999999999982</c:v>
                </c:pt>
                <c:pt idx="20">
                  <c:v>0.30000000000000071</c:v>
                </c:pt>
                <c:pt idx="21">
                  <c:v>0.29999999999999982</c:v>
                </c:pt>
                <c:pt idx="22">
                  <c:v>0.29999999999999982</c:v>
                </c:pt>
                <c:pt idx="23">
                  <c:v>0.29999999999999982</c:v>
                </c:pt>
                <c:pt idx="24">
                  <c:v>0.29999999999999982</c:v>
                </c:pt>
                <c:pt idx="25">
                  <c:v>0.30000000000000071</c:v>
                </c:pt>
                <c:pt idx="26">
                  <c:v>0.29999999999999893</c:v>
                </c:pt>
                <c:pt idx="27">
                  <c:v>0.30000000000000071</c:v>
                </c:pt>
                <c:pt idx="28">
                  <c:v>0.30000000000000071</c:v>
                </c:pt>
                <c:pt idx="29">
                  <c:v>0.29999999999999893</c:v>
                </c:pt>
                <c:pt idx="30">
                  <c:v>0.30000000000000071</c:v>
                </c:pt>
                <c:pt idx="31">
                  <c:v>0.29999999999999893</c:v>
                </c:pt>
                <c:pt idx="32">
                  <c:v>0.30000000000000071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26-470F-950E-2FD45FEE262C}"/>
            </c:ext>
          </c:extLst>
        </c:ser>
        <c:ser>
          <c:idx val="1"/>
          <c:order val="1"/>
          <c:tx>
            <c:strRef>
              <c:f>公式应用示例!$W$10</c:f>
              <c:strCache>
                <c:ptCount val="1"/>
                <c:pt idx="0">
                  <c:v>平值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公式应用示例!$W$11:$W$43</c:f>
              <c:numCache>
                <c:formatCode>General</c:formatCode>
                <c:ptCount val="33"/>
                <c:pt idx="0">
                  <c:v>2.4703716584134838E-2</c:v>
                </c:pt>
                <c:pt idx="1">
                  <c:v>0.16827640755321482</c:v>
                </c:pt>
                <c:pt idx="2">
                  <c:v>0.30185584440039293</c:v>
                </c:pt>
                <c:pt idx="3">
                  <c:v>0.37400620914412031</c:v>
                </c:pt>
                <c:pt idx="4">
                  <c:v>0.40567385461478978</c:v>
                </c:pt>
                <c:pt idx="5">
                  <c:v>0.41461124425578788</c:v>
                </c:pt>
                <c:pt idx="6">
                  <c:v>0.41104079090815304</c:v>
                </c:pt>
                <c:pt idx="7">
                  <c:v>0.40062783582224881</c:v>
                </c:pt>
                <c:pt idx="8">
                  <c:v>0.38655606605332338</c:v>
                </c:pt>
                <c:pt idx="9">
                  <c:v>0.37065341227756932</c:v>
                </c:pt>
                <c:pt idx="10">
                  <c:v>0.35398829884881877</c:v>
                </c:pt>
                <c:pt idx="11">
                  <c:v>0.33719160168896423</c:v>
                </c:pt>
                <c:pt idx="12">
                  <c:v>0.32063564234009334</c:v>
                </c:pt>
                <c:pt idx="13">
                  <c:v>0.3045366943429002</c:v>
                </c:pt>
                <c:pt idx="14">
                  <c:v>0.28901530686017907</c:v>
                </c:pt>
                <c:pt idx="15">
                  <c:v>0.2741326646506792</c:v>
                </c:pt>
                <c:pt idx="16">
                  <c:v>0.25991295743591536</c:v>
                </c:pt>
                <c:pt idx="17">
                  <c:v>0.2463573783188906</c:v>
                </c:pt>
                <c:pt idx="18">
                  <c:v>0.23345300373736677</c:v>
                </c:pt>
                <c:pt idx="19">
                  <c:v>0.22117848370120186</c:v>
                </c:pt>
                <c:pt idx="20">
                  <c:v>0.20950771137522395</c:v>
                </c:pt>
                <c:pt idx="21">
                  <c:v>0.19841219461144988</c:v>
                </c:pt>
                <c:pt idx="22">
                  <c:v>0.18786258392924537</c:v>
                </c:pt>
                <c:pt idx="23">
                  <c:v>0.17782964725490302</c:v>
                </c:pt>
                <c:pt idx="24">
                  <c:v>0.16828487938938252</c:v>
                </c:pt>
                <c:pt idx="25">
                  <c:v>0.15920086934737299</c:v>
                </c:pt>
                <c:pt idx="26">
                  <c:v>0.15055150705915565</c:v>
                </c:pt>
                <c:pt idx="27">
                  <c:v>0.14231208381069393</c:v>
                </c:pt>
                <c:pt idx="28">
                  <c:v>0.13445932294638396</c:v>
                </c:pt>
                <c:pt idx="29">
                  <c:v>0.1269713654814808</c:v>
                </c:pt>
                <c:pt idx="30">
                  <c:v>0.11982772730217306</c:v>
                </c:pt>
                <c:pt idx="31">
                  <c:v>0.11300923924078177</c:v>
                </c:pt>
                <c:pt idx="32">
                  <c:v>0.10649797764610724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26-470F-950E-2FD45FEE262C}"/>
            </c:ext>
          </c:extLst>
        </c:ser>
        <c:ser>
          <c:idx val="2"/>
          <c:order val="2"/>
          <c:tx>
            <c:strRef>
              <c:f>公式应用示例!$X$10</c:f>
              <c:strCache>
                <c:ptCount val="1"/>
                <c:pt idx="0">
                  <c:v>虚值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公式应用示例!$X$11:$X$43</c:f>
              <c:numCache>
                <c:formatCode>General</c:formatCode>
                <c:ptCount val="33"/>
                <c:pt idx="0">
                  <c:v>2.6844016356660774</c:v>
                </c:pt>
                <c:pt idx="1">
                  <c:v>1.5597845187909627</c:v>
                </c:pt>
                <c:pt idx="2">
                  <c:v>1.1479819185221629</c:v>
                </c:pt>
                <c:pt idx="3">
                  <c:v>0.91415577405762605</c:v>
                </c:pt>
                <c:pt idx="4">
                  <c:v>0.7582620247697065</c:v>
                </c:pt>
                <c:pt idx="5">
                  <c:v>0.6448541901958933</c:v>
                </c:pt>
                <c:pt idx="6">
                  <c:v>0.55766607637865206</c:v>
                </c:pt>
                <c:pt idx="7">
                  <c:v>0.48802358204440566</c:v>
                </c:pt>
                <c:pt idx="8">
                  <c:v>0.4308149650912938</c:v>
                </c:pt>
                <c:pt idx="9">
                  <c:v>0.38280340996061568</c:v>
                </c:pt>
                <c:pt idx="10">
                  <c:v>0.3418248428046553</c:v>
                </c:pt>
                <c:pt idx="11">
                  <c:v>0.3063693675844732</c:v>
                </c:pt>
                <c:pt idx="12">
                  <c:v>0.2753466457165068</c:v>
                </c:pt>
                <c:pt idx="13">
                  <c:v>0.24794666538985055</c:v>
                </c:pt>
                <c:pt idx="14">
                  <c:v>0.2235531801181736</c:v>
                </c:pt>
                <c:pt idx="15">
                  <c:v>0.20168776409908062</c:v>
                </c:pt>
                <c:pt idx="16">
                  <c:v>0.18197244807929636</c:v>
                </c:pt>
                <c:pt idx="17">
                  <c:v>0.1641040513760359</c:v>
                </c:pt>
                <c:pt idx="18">
                  <c:v>0.14783611206995673</c:v>
                </c:pt>
                <c:pt idx="19">
                  <c:v>0.1329658904337272</c:v>
                </c:pt>
                <c:pt idx="20">
                  <c:v>0.11932484235290275</c:v>
                </c:pt>
                <c:pt idx="21">
                  <c:v>0.10677151738513047</c:v>
                </c:pt>
                <c:pt idx="22">
                  <c:v>9.5186183625081355E-2</c:v>
                </c:pt>
                <c:pt idx="23">
                  <c:v>8.4466703620517336E-2</c:v>
                </c:pt>
                <c:pt idx="24">
                  <c:v>7.4525330785281341E-2</c:v>
                </c:pt>
                <c:pt idx="25">
                  <c:v>6.5286192670406251E-2</c:v>
                </c:pt>
                <c:pt idx="26">
                  <c:v>5.6683293360119791E-2</c:v>
                </c:pt>
                <c:pt idx="27">
                  <c:v>4.8658912849727898E-2</c:v>
                </c:pt>
                <c:pt idx="28">
                  <c:v>4.1162313289959229E-2</c:v>
                </c:pt>
                <c:pt idx="29">
                  <c:v>3.4148684810830332E-2</c:v>
                </c:pt>
                <c:pt idx="30">
                  <c:v>2.7578280120387433E-2</c:v>
                </c:pt>
                <c:pt idx="31">
                  <c:v>2.1415699124538889E-2</c:v>
                </c:pt>
                <c:pt idx="32">
                  <c:v>1.5629293720706983E-2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26-470F-950E-2FD45FEE2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9979184"/>
        <c:axId val="359980432"/>
      </c:lineChart>
      <c:catAx>
        <c:axId val="359979184"/>
        <c:scaling>
          <c:orientation val="maxMin"/>
        </c:scaling>
        <c:delete val="1"/>
        <c:axPos val="b"/>
        <c:majorTickMark val="none"/>
        <c:minorTickMark val="none"/>
        <c:tickLblPos val="nextTo"/>
        <c:crossAx val="359980432"/>
        <c:crosses val="autoZero"/>
        <c:auto val="1"/>
        <c:lblAlgn val="ctr"/>
        <c:lblOffset val="100"/>
        <c:noMultiLvlLbl val="0"/>
      </c:catAx>
      <c:valAx>
        <c:axId val="3599804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59979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公式应用示例!$AC$10</c:f>
              <c:strCache>
                <c:ptCount val="1"/>
                <c:pt idx="0">
                  <c:v>看涨期权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公式应用示例!$AB$11:$AB$30</c:f>
              <c:numCache>
                <c:formatCode>General</c:formatCode>
                <c:ptCount val="20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cat>
          <c:val>
            <c:numRef>
              <c:f>公式应用示例!$AC$11:$AC$30</c:f>
              <c:numCache>
                <c:formatCode>General</c:formatCode>
                <c:ptCount val="20"/>
                <c:pt idx="0">
                  <c:v>0.7085484288283439</c:v>
                </c:pt>
                <c:pt idx="1">
                  <c:v>1.2793234871263053</c:v>
                </c:pt>
                <c:pt idx="2">
                  <c:v>1.8528972547506015</c:v>
                </c:pt>
                <c:pt idx="3">
                  <c:v>2.4270986312887715</c:v>
                </c:pt>
                <c:pt idx="4">
                  <c:v>3.0014675008944849</c:v>
                </c:pt>
                <c:pt idx="5">
                  <c:v>3.5758303875233395</c:v>
                </c:pt>
                <c:pt idx="6">
                  <c:v>4.1500958468394202</c:v>
                </c:pt>
                <c:pt idx="7">
                  <c:v>4.7242032351867209</c:v>
                </c:pt>
                <c:pt idx="8">
                  <c:v>5.2981056230601808</c:v>
                </c:pt>
                <c:pt idx="9">
                  <c:v>5.8717629604677981</c:v>
                </c:pt>
                <c:pt idx="10">
                  <c:v>6.445138972006923</c:v>
                </c:pt>
                <c:pt idx="11">
                  <c:v>7.0181996064439147</c:v>
                </c:pt>
                <c:pt idx="12">
                  <c:v>7.5909122038942627</c:v>
                </c:pt>
                <c:pt idx="13">
                  <c:v>8.1632450218467341</c:v>
                </c:pt>
                <c:pt idx="14">
                  <c:v>8.7351669525844216</c:v>
                </c:pt>
                <c:pt idx="15">
                  <c:v>9.306647348267056</c:v>
                </c:pt>
                <c:pt idx="16">
                  <c:v>9.8776559093403691</c:v>
                </c:pt>
                <c:pt idx="17">
                  <c:v>10.448162611639113</c:v>
                </c:pt>
                <c:pt idx="18">
                  <c:v>11.018137657921748</c:v>
                </c:pt>
                <c:pt idx="19">
                  <c:v>11.587551445277938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42-4E2E-97E5-5C117221F46F}"/>
            </c:ext>
          </c:extLst>
        </c:ser>
        <c:ser>
          <c:idx val="1"/>
          <c:order val="1"/>
          <c:tx>
            <c:strRef>
              <c:f>公式应用示例!$AD$10</c:f>
              <c:strCache>
                <c:ptCount val="1"/>
                <c:pt idx="0">
                  <c:v>看跌期权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公式应用示例!$AB$11:$AB$30</c:f>
              <c:numCache>
                <c:formatCode>General</c:formatCode>
                <c:ptCount val="20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</c:numCache>
            </c:numRef>
          </c:cat>
          <c:val>
            <c:numRef>
              <c:f>公式应用示例!$AD$11:$AD$30</c:f>
              <c:numCache>
                <c:formatCode>General</c:formatCode>
                <c:ptCount val="20"/>
                <c:pt idx="0">
                  <c:v>0.45886066857435281</c:v>
                </c:pt>
                <c:pt idx="1">
                  <c:v>1.0296357268723142</c:v>
                </c:pt>
                <c:pt idx="2">
                  <c:v>1.6032094944966033</c:v>
                </c:pt>
                <c:pt idx="3">
                  <c:v>2.1774108710347804</c:v>
                </c:pt>
                <c:pt idx="4">
                  <c:v>2.7517797406404867</c:v>
                </c:pt>
                <c:pt idx="5">
                  <c:v>3.3261426272693484</c:v>
                </c:pt>
                <c:pt idx="6">
                  <c:v>3.9004080865854291</c:v>
                </c:pt>
                <c:pt idx="7">
                  <c:v>4.4745154749327227</c:v>
                </c:pt>
                <c:pt idx="8">
                  <c:v>5.0484178628061969</c:v>
                </c:pt>
                <c:pt idx="9">
                  <c:v>5.6220752002137928</c:v>
                </c:pt>
                <c:pt idx="10">
                  <c:v>6.1954512117529248</c:v>
                </c:pt>
                <c:pt idx="11">
                  <c:v>6.7685118461899165</c:v>
                </c:pt>
                <c:pt idx="12">
                  <c:v>7.3412244436402645</c:v>
                </c:pt>
                <c:pt idx="13">
                  <c:v>7.9135572615927501</c:v>
                </c:pt>
                <c:pt idx="14">
                  <c:v>8.4854791923304305</c:v>
                </c:pt>
                <c:pt idx="15">
                  <c:v>9.056959588013072</c:v>
                </c:pt>
                <c:pt idx="16">
                  <c:v>9.627968149086378</c:v>
                </c:pt>
                <c:pt idx="17">
                  <c:v>10.198474851385129</c:v>
                </c:pt>
                <c:pt idx="18">
                  <c:v>10.768449897667757</c:v>
                </c:pt>
                <c:pt idx="19">
                  <c:v>11.337863685023947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42-4E2E-97E5-5C117221F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3241664"/>
        <c:axId val="953244992"/>
      </c:lineChart>
      <c:catAx>
        <c:axId val="953241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3244992"/>
        <c:crosses val="autoZero"/>
        <c:auto val="1"/>
        <c:lblAlgn val="ctr"/>
        <c:lblOffset val="100"/>
        <c:noMultiLvlLbl val="0"/>
      </c:catAx>
      <c:valAx>
        <c:axId val="95324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3241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公式应用示例!$AG$10</c:f>
              <c:strCache>
                <c:ptCount val="1"/>
                <c:pt idx="0">
                  <c:v>看涨期权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公式应用示例!$AF$11:$AF$30</c:f>
              <c:numCache>
                <c:formatCode>General</c:formatCode>
                <c:ptCount val="2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0.09</c:v>
                </c:pt>
                <c:pt idx="5">
                  <c:v>0.11</c:v>
                </c:pt>
                <c:pt idx="6">
                  <c:v>0.13</c:v>
                </c:pt>
                <c:pt idx="7">
                  <c:v>0.15</c:v>
                </c:pt>
                <c:pt idx="8">
                  <c:v>0.17</c:v>
                </c:pt>
                <c:pt idx="9">
                  <c:v>0.19</c:v>
                </c:pt>
                <c:pt idx="10">
                  <c:v>0.21</c:v>
                </c:pt>
                <c:pt idx="11">
                  <c:v>0.23</c:v>
                </c:pt>
                <c:pt idx="12">
                  <c:v>0.25</c:v>
                </c:pt>
                <c:pt idx="13">
                  <c:v>0.27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</c:v>
                </c:pt>
                <c:pt idx="18">
                  <c:v>0.37</c:v>
                </c:pt>
                <c:pt idx="19">
                  <c:v>0.39</c:v>
                </c:pt>
              </c:numCache>
            </c:numRef>
          </c:cat>
          <c:val>
            <c:numRef>
              <c:f>公式应用示例!$AG$11:$AG$30</c:f>
              <c:numCache>
                <c:formatCode>General</c:formatCode>
                <c:ptCount val="20"/>
                <c:pt idx="0">
                  <c:v>2.919135397738458</c:v>
                </c:pt>
                <c:pt idx="1">
                  <c:v>3.0014675008944849</c:v>
                </c:pt>
                <c:pt idx="2">
                  <c:v>3.0851928483688695</c:v>
                </c:pt>
                <c:pt idx="3">
                  <c:v>3.1703062152616752</c:v>
                </c:pt>
                <c:pt idx="4">
                  <c:v>3.2568015780852093</c:v>
                </c:pt>
                <c:pt idx="5">
                  <c:v>3.3446721220089017</c:v>
                </c:pt>
                <c:pt idx="6">
                  <c:v>3.4339102493564653</c:v>
                </c:pt>
                <c:pt idx="7">
                  <c:v>3.5245075893337088</c:v>
                </c:pt>
                <c:pt idx="8">
                  <c:v>3.6164550089628946</c:v>
                </c:pt>
                <c:pt idx="9">
                  <c:v>3.7097426251961423</c:v>
                </c:pt>
                <c:pt idx="10">
                  <c:v>3.8043598181773106</c:v>
                </c:pt>
                <c:pt idx="11">
                  <c:v>3.9002952456192119</c:v>
                </c:pt>
                <c:pt idx="12">
                  <c:v>3.9975368582595863</c:v>
                </c:pt>
                <c:pt idx="13">
                  <c:v>4.096071916357154</c:v>
                </c:pt>
                <c:pt idx="14">
                  <c:v>4.195887007186542</c:v>
                </c:pt>
                <c:pt idx="15">
                  <c:v>4.2969680634879239</c:v>
                </c:pt>
                <c:pt idx="16">
                  <c:v>4.3993003828254658</c:v>
                </c:pt>
                <c:pt idx="17">
                  <c:v>4.5028686478067783</c:v>
                </c:pt>
                <c:pt idx="18">
                  <c:v>4.6076569471131066</c:v>
                </c:pt>
                <c:pt idx="19">
                  <c:v>4.713648797288684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94-4628-9739-5ACEB798EF13}"/>
            </c:ext>
          </c:extLst>
        </c:ser>
        <c:ser>
          <c:idx val="1"/>
          <c:order val="1"/>
          <c:tx>
            <c:strRef>
              <c:f>公式应用示例!$AH$10</c:f>
              <c:strCache>
                <c:ptCount val="1"/>
                <c:pt idx="0">
                  <c:v>看跌期权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公式应用示例!$AF$11:$AF$30</c:f>
              <c:numCache>
                <c:formatCode>General</c:formatCode>
                <c:ptCount val="2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0.09</c:v>
                </c:pt>
                <c:pt idx="5">
                  <c:v>0.11</c:v>
                </c:pt>
                <c:pt idx="6">
                  <c:v>0.13</c:v>
                </c:pt>
                <c:pt idx="7">
                  <c:v>0.15</c:v>
                </c:pt>
                <c:pt idx="8">
                  <c:v>0.17</c:v>
                </c:pt>
                <c:pt idx="9">
                  <c:v>0.19</c:v>
                </c:pt>
                <c:pt idx="10">
                  <c:v>0.21</c:v>
                </c:pt>
                <c:pt idx="11">
                  <c:v>0.23</c:v>
                </c:pt>
                <c:pt idx="12">
                  <c:v>0.25</c:v>
                </c:pt>
                <c:pt idx="13">
                  <c:v>0.27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</c:v>
                </c:pt>
                <c:pt idx="18">
                  <c:v>0.37</c:v>
                </c:pt>
                <c:pt idx="19">
                  <c:v>0.39</c:v>
                </c:pt>
              </c:numCache>
            </c:numRef>
          </c:cat>
          <c:val>
            <c:numRef>
              <c:f>公式应用示例!$AH$11:$AH$30</c:f>
              <c:numCache>
                <c:formatCode>General</c:formatCode>
                <c:ptCount val="20"/>
                <c:pt idx="0">
                  <c:v>2.8358367769843014</c:v>
                </c:pt>
                <c:pt idx="1">
                  <c:v>2.7517797406404867</c:v>
                </c:pt>
                <c:pt idx="2">
                  <c:v>2.669393032879853</c:v>
                </c:pt>
                <c:pt idx="3">
                  <c:v>2.588670967379997</c:v>
                </c:pt>
                <c:pt idx="4">
                  <c:v>2.5096070599990554</c:v>
                </c:pt>
                <c:pt idx="5">
                  <c:v>2.4321940360195526</c:v>
                </c:pt>
                <c:pt idx="6">
                  <c:v>2.3564238386440692</c:v>
                </c:pt>
                <c:pt idx="7">
                  <c:v>2.2822876387218543</c:v>
                </c:pt>
                <c:pt idx="8">
                  <c:v>2.2097758456818752</c:v>
                </c:pt>
                <c:pt idx="9">
                  <c:v>2.138878119645014</c:v>
                </c:pt>
                <c:pt idx="10">
                  <c:v>2.0695833846846341</c:v>
                </c:pt>
                <c:pt idx="11">
                  <c:v>2.0018798432025164</c:v>
                </c:pt>
                <c:pt idx="12">
                  <c:v>1.9357549913835896</c:v>
                </c:pt>
                <c:pt idx="13">
                  <c:v>1.871195635690782</c:v>
                </c:pt>
                <c:pt idx="14">
                  <c:v>1.808187910358555</c:v>
                </c:pt>
                <c:pt idx="15">
                  <c:v>1.7467172958413641</c:v>
                </c:pt>
                <c:pt idx="16">
                  <c:v>1.6867686381708609</c:v>
                </c:pt>
                <c:pt idx="17">
                  <c:v>1.6283261691740663</c:v>
                </c:pt>
                <c:pt idx="18">
                  <c:v>1.5713735275022955</c:v>
                </c:pt>
                <c:pt idx="19">
                  <c:v>1.5158937804192867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94-4628-9739-5ACEB798E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9717440"/>
        <c:axId val="1029714944"/>
      </c:lineChart>
      <c:catAx>
        <c:axId val="102971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29714944"/>
        <c:crosses val="autoZero"/>
        <c:auto val="1"/>
        <c:lblAlgn val="ctr"/>
        <c:lblOffset val="100"/>
        <c:noMultiLvlLbl val="0"/>
      </c:catAx>
      <c:valAx>
        <c:axId val="102971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2971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公式应用示例!$AK$10</c:f>
              <c:strCache>
                <c:ptCount val="1"/>
                <c:pt idx="0">
                  <c:v>看涨期权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公式应用示例!$AJ$11:$AJ$30</c:f>
              <c:numCache>
                <c:formatCode>General</c:formatCode>
                <c:ptCount val="2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0.09</c:v>
                </c:pt>
                <c:pt idx="5">
                  <c:v>0.11</c:v>
                </c:pt>
                <c:pt idx="6">
                  <c:v>0.13</c:v>
                </c:pt>
                <c:pt idx="7">
                  <c:v>0.15</c:v>
                </c:pt>
                <c:pt idx="8">
                  <c:v>0.17</c:v>
                </c:pt>
                <c:pt idx="9">
                  <c:v>0.19</c:v>
                </c:pt>
                <c:pt idx="10">
                  <c:v>0.21</c:v>
                </c:pt>
                <c:pt idx="11">
                  <c:v>0.23</c:v>
                </c:pt>
                <c:pt idx="12">
                  <c:v>0.25</c:v>
                </c:pt>
                <c:pt idx="13">
                  <c:v>0.27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</c:v>
                </c:pt>
                <c:pt idx="18">
                  <c:v>0.37</c:v>
                </c:pt>
                <c:pt idx="19">
                  <c:v>0.39</c:v>
                </c:pt>
              </c:numCache>
            </c:numRef>
          </c:cat>
          <c:val>
            <c:numRef>
              <c:f>公式应用示例!$AK$11:$AK$30</c:f>
              <c:numCache>
                <c:formatCode>General</c:formatCode>
                <c:ptCount val="20"/>
                <c:pt idx="0">
                  <c:v>2.9576612536250195</c:v>
                </c:pt>
                <c:pt idx="1">
                  <c:v>2.8713059804361194</c:v>
                </c:pt>
                <c:pt idx="2">
                  <c:v>2.7866238685489435</c:v>
                </c:pt>
                <c:pt idx="3">
                  <c:v>2.7036104503536933</c:v>
                </c:pt>
                <c:pt idx="4">
                  <c:v>2.622260453954155</c:v>
                </c:pt>
                <c:pt idx="5">
                  <c:v>2.5425678084878456</c:v>
                </c:pt>
                <c:pt idx="6">
                  <c:v>2.4645256507204891</c:v>
                </c:pt>
                <c:pt idx="7">
                  <c:v>2.3881263328984943</c:v>
                </c:pt>
                <c:pt idx="8">
                  <c:v>2.3133614318402351</c:v>
                </c:pt>
                <c:pt idx="9">
                  <c:v>2.2402217592433331</c:v>
                </c:pt>
                <c:pt idx="10">
                  <c:v>2.1686973731820416</c:v>
                </c:pt>
                <c:pt idx="11">
                  <c:v>2.0987775907660406</c:v>
                </c:pt>
                <c:pt idx="12">
                  <c:v>2.030451001928455</c:v>
                </c:pt>
                <c:pt idx="13">
                  <c:v>1.9637054843086759</c:v>
                </c:pt>
                <c:pt idx="14">
                  <c:v>1.8985282191922082</c:v>
                </c:pt>
                <c:pt idx="15">
                  <c:v>1.8349057084678435</c:v>
                </c:pt>
                <c:pt idx="16">
                  <c:v>1.7728237925593149</c:v>
                </c:pt>
                <c:pt idx="17">
                  <c:v>1.7122676692867671</c:v>
                </c:pt>
                <c:pt idx="18">
                  <c:v>1.6532219136112687</c:v>
                </c:pt>
                <c:pt idx="19">
                  <c:v>1.5956704982131313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60-475E-9551-C54FCFDCEFBA}"/>
            </c:ext>
          </c:extLst>
        </c:ser>
        <c:ser>
          <c:idx val="1"/>
          <c:order val="1"/>
          <c:tx>
            <c:strRef>
              <c:f>公式应用示例!$AL$10</c:f>
              <c:strCache>
                <c:ptCount val="1"/>
                <c:pt idx="0">
                  <c:v>看跌期权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公式应用示例!$AJ$11:$AJ$30</c:f>
              <c:numCache>
                <c:formatCode>General</c:formatCode>
                <c:ptCount val="20"/>
                <c:pt idx="0">
                  <c:v>0.01</c:v>
                </c:pt>
                <c:pt idx="1">
                  <c:v>0.03</c:v>
                </c:pt>
                <c:pt idx="2">
                  <c:v>0.05</c:v>
                </c:pt>
                <c:pt idx="3">
                  <c:v>7.0000000000000007E-2</c:v>
                </c:pt>
                <c:pt idx="4">
                  <c:v>0.09</c:v>
                </c:pt>
                <c:pt idx="5">
                  <c:v>0.11</c:v>
                </c:pt>
                <c:pt idx="6">
                  <c:v>0.13</c:v>
                </c:pt>
                <c:pt idx="7">
                  <c:v>0.15</c:v>
                </c:pt>
                <c:pt idx="8">
                  <c:v>0.17</c:v>
                </c:pt>
                <c:pt idx="9">
                  <c:v>0.19</c:v>
                </c:pt>
                <c:pt idx="10">
                  <c:v>0.21</c:v>
                </c:pt>
                <c:pt idx="11">
                  <c:v>0.23</c:v>
                </c:pt>
                <c:pt idx="12">
                  <c:v>0.25</c:v>
                </c:pt>
                <c:pt idx="13">
                  <c:v>0.27</c:v>
                </c:pt>
                <c:pt idx="14">
                  <c:v>0.28999999999999998</c:v>
                </c:pt>
                <c:pt idx="15">
                  <c:v>0.31</c:v>
                </c:pt>
                <c:pt idx="16">
                  <c:v>0.33</c:v>
                </c:pt>
                <c:pt idx="17">
                  <c:v>0.35</c:v>
                </c:pt>
                <c:pt idx="18">
                  <c:v>0.37</c:v>
                </c:pt>
                <c:pt idx="19">
                  <c:v>0.39</c:v>
                </c:pt>
              </c:numCache>
            </c:numRef>
          </c:cat>
          <c:val>
            <c:numRef>
              <c:f>公式应用示例!$AL$11:$AL$30</c:f>
              <c:numCache>
                <c:formatCode>General</c:formatCode>
                <c:ptCount val="20"/>
                <c:pt idx="0">
                  <c:v>2.7912721141251851</c:v>
                </c:pt>
                <c:pt idx="1">
                  <c:v>2.8713059804361194</c:v>
                </c:pt>
                <c:pt idx="2">
                  <c:v>2.9527359237839619</c:v>
                </c:pt>
                <c:pt idx="3">
                  <c:v>3.0355579379814017</c:v>
                </c:pt>
                <c:pt idx="4">
                  <c:v>3.119767211786332</c:v>
                </c:pt>
                <c:pt idx="5">
                  <c:v>3.2053581342231965</c:v>
                </c:pt>
                <c:pt idx="6">
                  <c:v>3.292324301178887</c:v>
                </c:pt>
                <c:pt idx="7">
                  <c:v>3.380658523256372</c:v>
                </c:pt>
                <c:pt idx="8">
                  <c:v>3.4703528348672634</c:v>
                </c:pt>
                <c:pt idx="9">
                  <c:v>3.5613985045404775</c:v>
                </c:pt>
                <c:pt idx="10">
                  <c:v>3.6537860464207341</c:v>
                </c:pt>
                <c:pt idx="11">
                  <c:v>3.7475052329287379</c:v>
                </c:pt>
                <c:pt idx="12">
                  <c:v>3.8425451085504534</c:v>
                </c:pt>
                <c:pt idx="13">
                  <c:v>3.9388940047210497</c:v>
                </c:pt>
                <c:pt idx="14">
                  <c:v>4.036539555766204</c:v>
                </c:pt>
                <c:pt idx="15">
                  <c:v>4.1354687158604193</c:v>
                </c:pt>
                <c:pt idx="16">
                  <c:v>4.2356677769599287</c:v>
                </c:pt>
                <c:pt idx="17">
                  <c:v>4.3371223876654881</c:v>
                </c:pt>
                <c:pt idx="18">
                  <c:v>4.4398175729680958</c:v>
                </c:pt>
                <c:pt idx="19">
                  <c:v>4.5437377548285411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60-475E-9551-C54FCFDCE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3027728"/>
        <c:axId val="1023029808"/>
      </c:lineChart>
      <c:catAx>
        <c:axId val="1023027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23029808"/>
        <c:crosses val="autoZero"/>
        <c:auto val="1"/>
        <c:lblAlgn val="ctr"/>
        <c:lblOffset val="100"/>
        <c:noMultiLvlLbl val="0"/>
      </c:catAx>
      <c:valAx>
        <c:axId val="102302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23027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公式应用示例!$AO$10</c:f>
              <c:strCache>
                <c:ptCount val="1"/>
                <c:pt idx="0">
                  <c:v>看涨期权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公式应用示例!$AN$11:$AN$30</c:f>
              <c:numCache>
                <c:formatCode>General</c:formatCode>
                <c:ptCount val="20"/>
                <c:pt idx="0">
                  <c:v>0.1</c:v>
                </c:pt>
                <c:pt idx="1">
                  <c:v>0.4</c:v>
                </c:pt>
                <c:pt idx="2">
                  <c:v>0.7</c:v>
                </c:pt>
                <c:pt idx="3">
                  <c:v>1</c:v>
                </c:pt>
                <c:pt idx="4">
                  <c:v>1.3</c:v>
                </c:pt>
                <c:pt idx="5">
                  <c:v>1.6</c:v>
                </c:pt>
                <c:pt idx="6">
                  <c:v>1.9</c:v>
                </c:pt>
                <c:pt idx="7">
                  <c:v>2.2000000000000002</c:v>
                </c:pt>
                <c:pt idx="8">
                  <c:v>2.5</c:v>
                </c:pt>
                <c:pt idx="9">
                  <c:v>2.8</c:v>
                </c:pt>
                <c:pt idx="10">
                  <c:v>3.1</c:v>
                </c:pt>
                <c:pt idx="11">
                  <c:v>3.4</c:v>
                </c:pt>
                <c:pt idx="12">
                  <c:v>3.7</c:v>
                </c:pt>
                <c:pt idx="13">
                  <c:v>4</c:v>
                </c:pt>
                <c:pt idx="14">
                  <c:v>4.3</c:v>
                </c:pt>
                <c:pt idx="15">
                  <c:v>4.5999999999999996</c:v>
                </c:pt>
                <c:pt idx="16">
                  <c:v>4.9000000000000004</c:v>
                </c:pt>
                <c:pt idx="17">
                  <c:v>5.2</c:v>
                </c:pt>
                <c:pt idx="18">
                  <c:v>5.5</c:v>
                </c:pt>
                <c:pt idx="19">
                  <c:v>5.8</c:v>
                </c:pt>
              </c:numCache>
            </c:numRef>
          </c:cat>
          <c:val>
            <c:numRef>
              <c:f>公式应用示例!$AO$11:$AO$30</c:f>
              <c:numCache>
                <c:formatCode>General</c:formatCode>
                <c:ptCount val="20"/>
                <c:pt idx="0">
                  <c:v>3.3004125566778413</c:v>
                </c:pt>
                <c:pt idx="1">
                  <c:v>6.8780924564881474</c:v>
                </c:pt>
                <c:pt idx="2">
                  <c:v>9.3231518045262121</c:v>
                </c:pt>
                <c:pt idx="3">
                  <c:v>11.348476825143521</c:v>
                </c:pt>
                <c:pt idx="4">
                  <c:v>13.132115039415289</c:v>
                </c:pt>
                <c:pt idx="5">
                  <c:v>14.752069271071207</c:v>
                </c:pt>
                <c:pt idx="6">
                  <c:v>16.250895232365231</c:v>
                </c:pt>
                <c:pt idx="7">
                  <c:v>17.654881816234315</c:v>
                </c:pt>
                <c:pt idx="8">
                  <c:v>18.981643194585331</c:v>
                </c:pt>
                <c:pt idx="9">
                  <c:v>20.243681183019447</c:v>
                </c:pt>
                <c:pt idx="10">
                  <c:v>21.450260172878473</c:v>
                </c:pt>
                <c:pt idx="11">
                  <c:v>22.608479878409497</c:v>
                </c:pt>
                <c:pt idx="12">
                  <c:v>23.72392951997854</c:v>
                </c:pt>
                <c:pt idx="13">
                  <c:v>24.801107386882407</c:v>
                </c:pt>
                <c:pt idx="14">
                  <c:v>25.843701169429686</c:v>
                </c:pt>
                <c:pt idx="15">
                  <c:v>26.854781729526351</c:v>
                </c:pt>
                <c:pt idx="16">
                  <c:v>27.836940926573334</c:v>
                </c:pt>
                <c:pt idx="17">
                  <c:v>28.792392079182719</c:v>
                </c:pt>
                <c:pt idx="18">
                  <c:v>29.723044758869015</c:v>
                </c:pt>
                <c:pt idx="19">
                  <c:v>30.630561513887415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45-4236-989D-D5A80080ADA8}"/>
            </c:ext>
          </c:extLst>
        </c:ser>
        <c:ser>
          <c:idx val="1"/>
          <c:order val="1"/>
          <c:tx>
            <c:strRef>
              <c:f>公式应用示例!$AP$10</c:f>
              <c:strCache>
                <c:ptCount val="1"/>
                <c:pt idx="0">
                  <c:v>看跌期权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公式应用示例!$AN$11:$AN$30</c:f>
              <c:numCache>
                <c:formatCode>General</c:formatCode>
                <c:ptCount val="20"/>
                <c:pt idx="0">
                  <c:v>0.1</c:v>
                </c:pt>
                <c:pt idx="1">
                  <c:v>0.4</c:v>
                </c:pt>
                <c:pt idx="2">
                  <c:v>0.7</c:v>
                </c:pt>
                <c:pt idx="3">
                  <c:v>1</c:v>
                </c:pt>
                <c:pt idx="4">
                  <c:v>1.3</c:v>
                </c:pt>
                <c:pt idx="5">
                  <c:v>1.6</c:v>
                </c:pt>
                <c:pt idx="6">
                  <c:v>1.9</c:v>
                </c:pt>
                <c:pt idx="7">
                  <c:v>2.2000000000000002</c:v>
                </c:pt>
                <c:pt idx="8">
                  <c:v>2.5</c:v>
                </c:pt>
                <c:pt idx="9">
                  <c:v>2.8</c:v>
                </c:pt>
                <c:pt idx="10">
                  <c:v>3.1</c:v>
                </c:pt>
                <c:pt idx="11">
                  <c:v>3.4</c:v>
                </c:pt>
                <c:pt idx="12">
                  <c:v>3.7</c:v>
                </c:pt>
                <c:pt idx="13">
                  <c:v>4</c:v>
                </c:pt>
                <c:pt idx="14">
                  <c:v>4.3</c:v>
                </c:pt>
                <c:pt idx="15">
                  <c:v>4.5999999999999996</c:v>
                </c:pt>
                <c:pt idx="16">
                  <c:v>4.9000000000000004</c:v>
                </c:pt>
                <c:pt idx="17">
                  <c:v>5.2</c:v>
                </c:pt>
                <c:pt idx="18">
                  <c:v>5.5</c:v>
                </c:pt>
                <c:pt idx="19">
                  <c:v>5.8</c:v>
                </c:pt>
              </c:numCache>
            </c:numRef>
          </c:cat>
          <c:val>
            <c:numRef>
              <c:f>公式应用示例!$AP$11:$AP$30</c:f>
              <c:numCache>
                <c:formatCode>General</c:formatCode>
                <c:ptCount val="20"/>
                <c:pt idx="0">
                  <c:v>3.0008621070151307</c:v>
                </c:pt>
                <c:pt idx="1">
                  <c:v>5.685263742681208</c:v>
                </c:pt>
                <c:pt idx="2">
                  <c:v>7.2450482614721707</c:v>
                </c:pt>
                <c:pt idx="3">
                  <c:v>8.3930301799943337</c:v>
                </c:pt>
                <c:pt idx="4">
                  <c:v>9.3071859540519597</c:v>
                </c:pt>
                <c:pt idx="5">
                  <c:v>10.065447978821666</c:v>
                </c:pt>
                <c:pt idx="6">
                  <c:v>10.710302169017559</c:v>
                </c:pt>
                <c:pt idx="7">
                  <c:v>11.267968245396212</c:v>
                </c:pt>
                <c:pt idx="8">
                  <c:v>11.755991827440617</c:v>
                </c:pt>
                <c:pt idx="9">
                  <c:v>12.186806792531911</c:v>
                </c:pt>
                <c:pt idx="10">
                  <c:v>12.569610202492527</c:v>
                </c:pt>
                <c:pt idx="11">
                  <c:v>12.911435045297182</c:v>
                </c:pt>
                <c:pt idx="12">
                  <c:v>13.217804412881655</c:v>
                </c:pt>
                <c:pt idx="13">
                  <c:v>13.493151058598162</c:v>
                </c:pt>
                <c:pt idx="14">
                  <c:v>13.741097723988013</c:v>
                </c:pt>
                <c:pt idx="15">
                  <c:v>13.964650904106186</c:v>
                </c:pt>
                <c:pt idx="16">
                  <c:v>14.166338668205267</c:v>
                </c:pt>
                <c:pt idx="17">
                  <c:v>14.348311116284563</c:v>
                </c:pt>
                <c:pt idx="18">
                  <c:v>14.512415167660599</c:v>
                </c:pt>
                <c:pt idx="19">
                  <c:v>14.660251279730556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45-4236-989D-D5A80080A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6133296"/>
        <c:axId val="1606137456"/>
      </c:lineChart>
      <c:catAx>
        <c:axId val="160613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06137456"/>
        <c:crosses val="autoZero"/>
        <c:auto val="1"/>
        <c:lblAlgn val="ctr"/>
        <c:lblOffset val="100"/>
        <c:noMultiLvlLbl val="0"/>
      </c:catAx>
      <c:valAx>
        <c:axId val="160613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0613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244929</xdr:colOff>
      <xdr:row>17</xdr:row>
      <xdr:rowOff>48532</xdr:rowOff>
    </xdr:from>
    <xdr:to>
      <xdr:col>3</xdr:col>
      <xdr:colOff>397329</xdr:colOff>
      <xdr:row>25</xdr:row>
      <xdr:rowOff>200933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DD30EE3-F19D-4C53-A7F9-89BC187AF0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333086</xdr:colOff>
      <xdr:row>26</xdr:row>
      <xdr:rowOff>53148</xdr:rowOff>
    </xdr:from>
    <xdr:to>
      <xdr:col>3</xdr:col>
      <xdr:colOff>490598</xdr:colOff>
      <xdr:row>34</xdr:row>
      <xdr:rowOff>208849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8E6648B2-B998-4B8C-9BB3-258CD09C49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18225</xdr:colOff>
      <xdr:row>11</xdr:row>
      <xdr:rowOff>197880</xdr:rowOff>
    </xdr:from>
    <xdr:to>
      <xdr:col>11</xdr:col>
      <xdr:colOff>1297792</xdr:colOff>
      <xdr:row>24</xdr:row>
      <xdr:rowOff>163286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33ED6B76-A27C-4273-A325-7268FD9617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675821</xdr:colOff>
      <xdr:row>25</xdr:row>
      <xdr:rowOff>299357</xdr:rowOff>
    </xdr:from>
    <xdr:to>
      <xdr:col>11</xdr:col>
      <xdr:colOff>1156607</xdr:colOff>
      <xdr:row>33</xdr:row>
      <xdr:rowOff>228599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65A38B13-74FD-4E44-8808-6841E49FC1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453571</xdr:colOff>
      <xdr:row>12</xdr:row>
      <xdr:rowOff>27212</xdr:rowOff>
    </xdr:from>
    <xdr:to>
      <xdr:col>20</xdr:col>
      <xdr:colOff>553356</xdr:colOff>
      <xdr:row>20</xdr:row>
      <xdr:rowOff>9070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DB20FCD8-5048-41D6-8E5E-C0549C72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263070</xdr:colOff>
      <xdr:row>17</xdr:row>
      <xdr:rowOff>281213</xdr:rowOff>
    </xdr:from>
    <xdr:to>
      <xdr:col>24</xdr:col>
      <xdr:colOff>190498</xdr:colOff>
      <xdr:row>27</xdr:row>
      <xdr:rowOff>27212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4C4C90C7-52B0-4CEE-A8EC-E5FC68F3CC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145144</xdr:colOff>
      <xdr:row>14</xdr:row>
      <xdr:rowOff>90713</xdr:rowOff>
    </xdr:from>
    <xdr:to>
      <xdr:col>30</xdr:col>
      <xdr:colOff>158751</xdr:colOff>
      <xdr:row>20</xdr:row>
      <xdr:rowOff>1814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F872FC9A-28B0-4667-8DB1-F0BE459567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580571</xdr:colOff>
      <xdr:row>15</xdr:row>
      <xdr:rowOff>181428</xdr:rowOff>
    </xdr:from>
    <xdr:to>
      <xdr:col>34</xdr:col>
      <xdr:colOff>476249</xdr:colOff>
      <xdr:row>22</xdr:row>
      <xdr:rowOff>10886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563B0993-23D4-4C77-AC1F-261BECEA47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126999</xdr:colOff>
      <xdr:row>17</xdr:row>
      <xdr:rowOff>190500</xdr:rowOff>
    </xdr:from>
    <xdr:to>
      <xdr:col>38</xdr:col>
      <xdr:colOff>412748</xdr:colOff>
      <xdr:row>23</xdr:row>
      <xdr:rowOff>1814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6306580B-930D-4140-86C1-8BDE34D7F1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38</xdr:col>
      <xdr:colOff>544285</xdr:colOff>
      <xdr:row>21</xdr:row>
      <xdr:rowOff>181427</xdr:rowOff>
    </xdr:from>
    <xdr:to>
      <xdr:col>42</xdr:col>
      <xdr:colOff>467178</xdr:colOff>
      <xdr:row>26</xdr:row>
      <xdr:rowOff>255813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7BB5346B-DA7D-44CF-8FCC-D1105A70B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210"/>
  <sheetViews>
    <sheetView tabSelected="1" zoomScale="70" zoomScaleNormal="70" workbookViewId="0">
      <selection activeCell="AO12" sqref="AO12"/>
    </sheetView>
  </sheetViews>
  <sheetFormatPr defaultRowHeight="15" x14ac:dyDescent="0.25"/>
  <cols>
    <col min="1" max="1" width="27.08203125" customWidth="1"/>
    <col min="2" max="2" width="16.6640625" customWidth="1"/>
    <col min="3" max="3" width="14.25" customWidth="1"/>
    <col min="4" max="4" width="12.33203125" bestFit="1" customWidth="1"/>
    <col min="9" max="9" width="10.1640625" bestFit="1" customWidth="1"/>
    <col min="10" max="10" width="12.33203125" bestFit="1" customWidth="1"/>
    <col min="11" max="11" width="31.1640625" customWidth="1"/>
    <col min="12" max="12" width="21.6640625" customWidth="1"/>
  </cols>
  <sheetData>
    <row r="1" spans="1:42" ht="25.5" customHeight="1" x14ac:dyDescent="0.25">
      <c r="A1" s="2" t="s">
        <v>0</v>
      </c>
      <c r="B1" s="1">
        <v>100</v>
      </c>
      <c r="E1" s="5" t="s">
        <v>9</v>
      </c>
      <c r="F1" s="5"/>
      <c r="G1" s="5"/>
      <c r="H1" s="5"/>
      <c r="I1" s="5"/>
      <c r="J1" s="5"/>
      <c r="K1" s="3" t="s">
        <v>8</v>
      </c>
      <c r="L1" s="3" t="s">
        <v>11</v>
      </c>
    </row>
    <row r="2" spans="1:42" ht="25.5" x14ac:dyDescent="0.25">
      <c r="A2" s="2" t="s">
        <v>1</v>
      </c>
      <c r="B2" s="1">
        <v>0.25</v>
      </c>
      <c r="E2" s="5"/>
      <c r="F2" s="5"/>
      <c r="G2" s="5"/>
      <c r="H2" s="5"/>
      <c r="I2" s="5"/>
      <c r="J2" s="5"/>
      <c r="K2" s="4" t="s">
        <v>6</v>
      </c>
      <c r="L2" s="4" t="s">
        <v>15</v>
      </c>
    </row>
    <row r="3" spans="1:42" ht="25.5" x14ac:dyDescent="0.25">
      <c r="A3" s="2" t="s">
        <v>4</v>
      </c>
      <c r="B3" s="1">
        <v>0.03</v>
      </c>
      <c r="E3" s="5"/>
      <c r="F3" s="5"/>
      <c r="G3" s="5"/>
      <c r="H3" s="5"/>
      <c r="I3" s="5"/>
      <c r="J3" s="5"/>
      <c r="K3" s="4" t="s">
        <v>7</v>
      </c>
      <c r="L3" s="4" t="s">
        <v>16</v>
      </c>
    </row>
    <row r="4" spans="1:42" ht="25.5" x14ac:dyDescent="0.25">
      <c r="A4" s="2" t="s">
        <v>2</v>
      </c>
      <c r="B4" s="1">
        <v>0</v>
      </c>
      <c r="E4" s="5"/>
      <c r="F4" s="5"/>
      <c r="G4" s="5"/>
      <c r="H4" s="5"/>
      <c r="I4" s="5"/>
      <c r="J4" s="5"/>
      <c r="K4" s="4" t="s">
        <v>10</v>
      </c>
      <c r="L4" s="4" t="s">
        <v>17</v>
      </c>
    </row>
    <row r="5" spans="1:42" ht="25.5" x14ac:dyDescent="0.25">
      <c r="A5" s="2" t="s">
        <v>3</v>
      </c>
      <c r="B5" s="1">
        <f>30/360</f>
        <v>8.3333333333333329E-2</v>
      </c>
      <c r="E5" s="5"/>
      <c r="F5" s="5"/>
      <c r="G5" s="5"/>
      <c r="H5" s="5"/>
      <c r="I5" s="5"/>
      <c r="J5" s="5"/>
      <c r="K5" s="4" t="s">
        <v>12</v>
      </c>
      <c r="L5" s="4" t="s">
        <v>18</v>
      </c>
    </row>
    <row r="6" spans="1:42" ht="25.5" x14ac:dyDescent="0.25">
      <c r="A6" s="2" t="s">
        <v>5</v>
      </c>
      <c r="B6" s="1">
        <v>100</v>
      </c>
      <c r="E6" s="5"/>
      <c r="F6" s="5"/>
      <c r="G6" s="5"/>
      <c r="H6" s="5"/>
      <c r="I6" s="5"/>
      <c r="J6" s="5"/>
      <c r="K6" s="4" t="s">
        <v>13</v>
      </c>
      <c r="L6" s="4" t="s">
        <v>19</v>
      </c>
    </row>
    <row r="7" spans="1:42" x14ac:dyDescent="0.25">
      <c r="E7" s="5"/>
      <c r="F7" s="5"/>
      <c r="G7" s="5"/>
      <c r="H7" s="5"/>
      <c r="I7" s="5"/>
      <c r="J7" s="5"/>
      <c r="K7" s="4" t="s">
        <v>14</v>
      </c>
      <c r="L7" s="4" t="s">
        <v>20</v>
      </c>
    </row>
    <row r="8" spans="1:42" ht="25.5" x14ac:dyDescent="0.25">
      <c r="A8" s="1"/>
      <c r="B8" s="1"/>
      <c r="C8" s="1"/>
      <c r="E8" s="5"/>
      <c r="F8" s="5"/>
      <c r="G8" s="5"/>
      <c r="H8" s="5"/>
      <c r="I8" s="5"/>
      <c r="J8" s="5"/>
      <c r="K8" s="6" t="s">
        <v>29</v>
      </c>
      <c r="N8" s="3" t="s">
        <v>28</v>
      </c>
      <c r="R8" s="3" t="s">
        <v>31</v>
      </c>
    </row>
    <row r="9" spans="1:42" ht="25.5" x14ac:dyDescent="0.25">
      <c r="A9" s="1"/>
      <c r="B9" s="1"/>
      <c r="C9" s="1"/>
      <c r="I9" s="3" t="s">
        <v>26</v>
      </c>
      <c r="J9">
        <v>150</v>
      </c>
      <c r="K9">
        <v>100</v>
      </c>
      <c r="L9">
        <v>50</v>
      </c>
      <c r="N9" s="3" t="s">
        <v>27</v>
      </c>
      <c r="R9" s="3" t="s">
        <v>26</v>
      </c>
      <c r="S9">
        <v>150</v>
      </c>
      <c r="T9">
        <v>100</v>
      </c>
      <c r="U9">
        <v>50</v>
      </c>
      <c r="V9" s="3" t="s">
        <v>27</v>
      </c>
      <c r="AB9" s="3" t="s">
        <v>30</v>
      </c>
      <c r="AF9" s="3" t="s">
        <v>34</v>
      </c>
      <c r="AJ9" s="3" t="s">
        <v>35</v>
      </c>
      <c r="AN9" s="3" t="s">
        <v>36</v>
      </c>
    </row>
    <row r="10" spans="1:42" ht="25.5" x14ac:dyDescent="0.25">
      <c r="A10" s="1" t="s">
        <v>25</v>
      </c>
      <c r="B10" s="1"/>
      <c r="I10" s="3" t="s">
        <v>21</v>
      </c>
      <c r="J10" s="3" t="s">
        <v>22</v>
      </c>
      <c r="K10" s="3" t="s">
        <v>23</v>
      </c>
      <c r="L10" s="3" t="s">
        <v>24</v>
      </c>
      <c r="N10" s="3" t="s">
        <v>22</v>
      </c>
      <c r="O10" s="3" t="s">
        <v>23</v>
      </c>
      <c r="P10" s="3" t="s">
        <v>24</v>
      </c>
      <c r="R10" s="3" t="s">
        <v>21</v>
      </c>
      <c r="S10" s="3" t="s">
        <v>22</v>
      </c>
      <c r="T10" s="3" t="s">
        <v>23</v>
      </c>
      <c r="U10" s="3" t="s">
        <v>24</v>
      </c>
      <c r="V10" s="3" t="s">
        <v>22</v>
      </c>
      <c r="W10" s="3" t="s">
        <v>23</v>
      </c>
      <c r="X10" s="3" t="s">
        <v>24</v>
      </c>
      <c r="AC10" s="3" t="s">
        <v>32</v>
      </c>
      <c r="AD10" s="3" t="s">
        <v>33</v>
      </c>
      <c r="AG10" s="3" t="s">
        <v>32</v>
      </c>
      <c r="AH10" s="3" t="s">
        <v>33</v>
      </c>
      <c r="AK10" s="3" t="s">
        <v>32</v>
      </c>
      <c r="AL10" s="3" t="s">
        <v>33</v>
      </c>
      <c r="AO10" s="3" t="s">
        <v>32</v>
      </c>
      <c r="AP10" s="3" t="s">
        <v>33</v>
      </c>
    </row>
    <row r="11" spans="1:42" ht="25.5" x14ac:dyDescent="0.25">
      <c r="A11" s="1">
        <v>1</v>
      </c>
      <c r="B11" s="1">
        <f t="shared" ref="B11:B42" si="0">BS_call(A11,σ,rf,q,T,X)</f>
        <v>0</v>
      </c>
      <c r="C11">
        <f t="shared" ref="C11:C42" si="1">in_val_call(A11,σ,rf,q,T,X)</f>
        <v>0</v>
      </c>
      <c r="D11">
        <f>B11-C11</f>
        <v>0</v>
      </c>
      <c r="E11" s="1">
        <f t="shared" ref="E11:E42" si="2">BS_put(A11,σ,rf,q,T,X)</f>
        <v>98.750312239746009</v>
      </c>
      <c r="F11">
        <f t="shared" ref="F11:F42" si="3">in_val_put(A11,σ,rf,q,T,X)</f>
        <v>99</v>
      </c>
      <c r="G11">
        <f>E11-F11</f>
        <v>-0.24968776025399109</v>
      </c>
      <c r="I11">
        <v>0.1</v>
      </c>
      <c r="J11">
        <f>BS_call($J$9,σ,rf,q,I11,X)-in_val_call($J$9,σ,rf,q,I11,X)</f>
        <v>0.29955065818472804</v>
      </c>
      <c r="K11">
        <f>BS_call(S,σ,rf,q,I11,X)-in_val_call(S,σ,rf,q,I11,X)</f>
        <v>3.3004125566778413</v>
      </c>
      <c r="L11">
        <f>BS_call($L$9,σ,rf,q,I11,X)-in_val_call($L$9,σ,rf,q,I11,X)</f>
        <v>7.9526460588679048E-19</v>
      </c>
      <c r="N11">
        <f>J12-J11</f>
        <v>0.91798198072838488</v>
      </c>
      <c r="O11">
        <f t="shared" ref="O11:P11" si="4">K12-K11</f>
        <v>3.5776798998103061</v>
      </c>
      <c r="P11">
        <f t="shared" si="4"/>
        <v>1.935828498713154E-5</v>
      </c>
      <c r="R11">
        <v>0.1</v>
      </c>
      <c r="S11">
        <f>BS_put($J$9,σ,rf,q,R11,X)-in_val_call($J$9,σ,rf,q,R11,X)</f>
        <v>-49.999999791477961</v>
      </c>
      <c r="T11">
        <f>BS_put(S,σ,rf,q,R11,X)-in_val_put(S,σ,rf,q,R11,X)</f>
        <v>3.0008621070151307</v>
      </c>
      <c r="U11">
        <f>BS_put($L$9,σ,rf,q,R11,X)-in_val_put($L$9,σ,rf,q,R11,X)</f>
        <v>-0.2995504496627035</v>
      </c>
      <c r="V11">
        <f>R12-R11</f>
        <v>0.30000000000000004</v>
      </c>
      <c r="W11">
        <f t="shared" ref="W11:W43" si="5">S12-S11</f>
        <v>2.4703716584134838E-2</v>
      </c>
      <c r="X11">
        <f t="shared" ref="X11:X43" si="6">T12-T11</f>
        <v>2.6844016356660774</v>
      </c>
      <c r="AB11">
        <v>0.05</v>
      </c>
      <c r="AC11">
        <f>BS_call(S,AB11,rf,q,T,X)-in_val_call(S,AB11,rf,q,T,X)</f>
        <v>0.7085484288283439</v>
      </c>
      <c r="AD11">
        <f>BS_put(S,AB11,rf,q,T,X)-in_val_put(S,AB11,rf,q,T,X)</f>
        <v>0.45886066857435281</v>
      </c>
      <c r="AF11">
        <v>0.01</v>
      </c>
      <c r="AG11">
        <f>BS_call(S,σ,AF11,q,T,X)-in_val_call(S,σ,AF11,q,T,X)</f>
        <v>2.919135397738458</v>
      </c>
      <c r="AH11">
        <f>BS_put(S,σ,AF11,q,T,X)-in_val_put(S,σ,AF11,q,T,X)</f>
        <v>2.8358367769843014</v>
      </c>
      <c r="AJ11">
        <v>0.01</v>
      </c>
      <c r="AK11">
        <f>BS_call(S,σ,rf,AJ11,T,X)-in_val_call(S,σ,rf,AJ11,T,X)</f>
        <v>2.9576612536250195</v>
      </c>
      <c r="AL11">
        <f>BS_put(S,σ,rf,AJ11,T,X)-in_val_put(S,σ,rf,AJ11,T,X)</f>
        <v>2.7912721141251851</v>
      </c>
      <c r="AN11">
        <v>0.1</v>
      </c>
      <c r="AO11">
        <f>BS_call(S,σ,rf,q,AN11,X)-in_val_call(S,σ,rf,q,AN11,X)</f>
        <v>3.3004125566778413</v>
      </c>
      <c r="AP11">
        <f>BS_put(S,σ,rf,q,AN11,X)-in_val_put(S,σ,rf,q,AN11,X)</f>
        <v>3.0008621070151307</v>
      </c>
    </row>
    <row r="12" spans="1:42" ht="25.5" x14ac:dyDescent="0.25">
      <c r="A12" s="1">
        <v>2</v>
      </c>
      <c r="B12" s="1">
        <f t="shared" si="0"/>
        <v>0</v>
      </c>
      <c r="C12">
        <f t="shared" si="1"/>
        <v>0</v>
      </c>
      <c r="D12">
        <f t="shared" ref="D12:D75" si="7">B12-C12</f>
        <v>0</v>
      </c>
      <c r="E12" s="1">
        <f t="shared" si="2"/>
        <v>97.750312239746009</v>
      </c>
      <c r="F12">
        <f t="shared" si="3"/>
        <v>98</v>
      </c>
      <c r="G12">
        <f t="shared" ref="G12:G75" si="8">E12-F12</f>
        <v>-0.24968776025399109</v>
      </c>
      <c r="I12">
        <v>0.4</v>
      </c>
      <c r="J12">
        <f>BS_call($J$9,σ,rf,q,I12,X)-in_val_call($J$9,σ,rf,q,I12,X)</f>
        <v>1.2175326389131129</v>
      </c>
      <c r="K12">
        <f t="shared" ref="K11:K12" si="9">BS_call(S,σ,rf,q,I12,X)-in_val_call(S,σ,rf,q,I12,X)</f>
        <v>6.8780924564881474</v>
      </c>
      <c r="L12">
        <f>BS_call($L$9,σ,rf,q,I12,X)-in_val_call($L$9,σ,rf,q,I12,X)</f>
        <v>1.9358284987132336E-5</v>
      </c>
      <c r="N12">
        <f t="shared" ref="N12:N42" si="10">J13-J12</f>
        <v>1.0535512368003168</v>
      </c>
      <c r="O12">
        <f t="shared" ref="O12:O43" si="11">K13-K12</f>
        <v>2.4450593480380647</v>
      </c>
      <c r="P12">
        <f t="shared" ref="P12:P43" si="12">L13-L12</f>
        <v>2.5470964848483086E-3</v>
      </c>
      <c r="R12">
        <v>0.4</v>
      </c>
      <c r="S12">
        <f>BS_put($J$9,σ,rf,q,R12,X)-in_val_call($J$9,σ,rf,q,R12,X)</f>
        <v>-49.975296074893826</v>
      </c>
      <c r="T12">
        <f>BS_put(S,σ,rf,q,R12,X)-in_val_put(S,σ,rf,q,R12,X)</f>
        <v>5.685263742681208</v>
      </c>
      <c r="U12">
        <f>BS_put($L$9,σ,rf,q,R12,X)-in_val_put($L$9,σ,rf,q,R12,X)</f>
        <v>-1.1928093555219661</v>
      </c>
      <c r="V12">
        <f t="shared" ref="V12:V42" si="13">R13-R12</f>
        <v>0.29999999999999993</v>
      </c>
      <c r="W12">
        <f t="shared" si="5"/>
        <v>0.16827640755321482</v>
      </c>
      <c r="X12">
        <f t="shared" si="6"/>
        <v>1.5597845187909627</v>
      </c>
      <c r="AB12">
        <v>0.1</v>
      </c>
      <c r="AC12">
        <f>BS_call(S,AB12,rf,q,T,X)-in_val_call(S,AB12,rf,q,T,X)</f>
        <v>1.2793234871263053</v>
      </c>
      <c r="AD12">
        <f>BS_put(S,AB12,rf,q,T,X)-in_val_put(S,AB12,rf,q,T,X)</f>
        <v>1.0296357268723142</v>
      </c>
      <c r="AF12">
        <v>0.03</v>
      </c>
      <c r="AG12">
        <f>BS_call(S,σ,AF12,q,T,X)-in_val_call(S,σ,AF12,q,T,X)</f>
        <v>3.0014675008944849</v>
      </c>
      <c r="AH12">
        <f>BS_put(S,σ,AF12,q,T,X)-in_val_put(S,σ,AF12,q,T,X)</f>
        <v>2.7517797406404867</v>
      </c>
      <c r="AJ12">
        <v>0.03</v>
      </c>
      <c r="AK12">
        <f>BS_call(S,σ,rf,AJ12,T,X)-in_val_call(S,σ,rf,AJ12,T,X)</f>
        <v>2.8713059804361194</v>
      </c>
      <c r="AL12">
        <f>BS_put(S,σ,rf,AJ12,T,X)-in_val_put(S,σ,rf,AJ12,T,X)</f>
        <v>2.8713059804361194</v>
      </c>
      <c r="AN12">
        <v>0.4</v>
      </c>
      <c r="AO12">
        <f>BS_call(S,σ,rf,q,AN12,X)-in_val_call(S,σ,rf,q,AN12,X)</f>
        <v>6.8780924564881474</v>
      </c>
      <c r="AP12">
        <f>BS_put(S,σ,rf,q,AN12,X)-in_val_put(S,σ,rf,q,AN12,X)</f>
        <v>5.685263742681208</v>
      </c>
    </row>
    <row r="13" spans="1:42" ht="25.5" x14ac:dyDescent="0.25">
      <c r="A13" s="1">
        <v>3</v>
      </c>
      <c r="B13" s="1">
        <f t="shared" si="0"/>
        <v>0</v>
      </c>
      <c r="C13">
        <f t="shared" si="1"/>
        <v>0</v>
      </c>
      <c r="D13">
        <f t="shared" si="7"/>
        <v>0</v>
      </c>
      <c r="E13" s="1">
        <f t="shared" si="2"/>
        <v>96.750312239746009</v>
      </c>
      <c r="F13">
        <f t="shared" si="3"/>
        <v>97</v>
      </c>
      <c r="G13">
        <f t="shared" si="8"/>
        <v>-0.24968776025399109</v>
      </c>
      <c r="I13">
        <v>0.7</v>
      </c>
      <c r="J13">
        <f>BS_call($J$9,σ,rf,q,I13,X)-in_val_call($J$9,σ,rf,q,I13,X)</f>
        <v>2.2710838757134297</v>
      </c>
      <c r="K13">
        <f t="shared" ref="K13:K24" si="14">BS_call(S,σ,rf,q,I13,X)-in_val_call(S,σ,rf,q,I13,X)</f>
        <v>9.3231518045262121</v>
      </c>
      <c r="L13">
        <f>BS_call($L$9,σ,rf,q,I13,X)-in_val_call($L$9,σ,rf,q,I13,X)</f>
        <v>2.5664547698354412E-3</v>
      </c>
      <c r="N13">
        <f t="shared" si="10"/>
        <v>1.1791989464955179</v>
      </c>
      <c r="O13">
        <f t="shared" si="11"/>
        <v>2.0253250206173092</v>
      </c>
      <c r="P13">
        <f t="shared" si="12"/>
        <v>1.8828702567455863E-2</v>
      </c>
      <c r="R13">
        <v>0.7</v>
      </c>
      <c r="S13">
        <f>BS_put($J$9,σ,rf,q,R13,X)-in_val_call($J$9,σ,rf,q,R13,X)</f>
        <v>-49.807019667340612</v>
      </c>
      <c r="T13">
        <f>BS_put(S,σ,rf,q,R13,X)-in_val_put(S,σ,rf,q,R13,X)</f>
        <v>7.2450482614721707</v>
      </c>
      <c r="U13">
        <f>BS_put($L$9,σ,rf,q,R13,X)-in_val_put($L$9,σ,rf,q,R13,X)</f>
        <v>-2.0755370882842143</v>
      </c>
      <c r="V13">
        <f t="shared" si="13"/>
        <v>0.30000000000000004</v>
      </c>
      <c r="W13">
        <f t="shared" si="5"/>
        <v>0.30185584440039293</v>
      </c>
      <c r="X13">
        <f t="shared" si="6"/>
        <v>1.1479819185221629</v>
      </c>
      <c r="AB13">
        <v>0.15</v>
      </c>
      <c r="AC13">
        <f>BS_call(S,AB13,rf,q,T,X)-in_val_call(S,AB13,rf,q,T,X)</f>
        <v>1.8528972547506015</v>
      </c>
      <c r="AD13">
        <f>BS_put(S,AB13,rf,q,T,X)-in_val_put(S,AB13,rf,q,T,X)</f>
        <v>1.6032094944966033</v>
      </c>
      <c r="AF13">
        <v>0.05</v>
      </c>
      <c r="AG13">
        <f>BS_call(S,σ,AF13,q,T,X)-in_val_call(S,σ,AF13,q,T,X)</f>
        <v>3.0851928483688695</v>
      </c>
      <c r="AH13">
        <f>BS_put(S,σ,AF13,q,T,X)-in_val_put(S,σ,AF13,q,T,X)</f>
        <v>2.669393032879853</v>
      </c>
      <c r="AJ13">
        <v>0.05</v>
      </c>
      <c r="AK13">
        <f>BS_call(S,σ,rf,AJ13,T,X)-in_val_call(S,σ,rf,AJ13,T,X)</f>
        <v>2.7866238685489435</v>
      </c>
      <c r="AL13">
        <f>BS_put(S,σ,rf,AJ13,T,X)-in_val_put(S,σ,rf,AJ13,T,X)</f>
        <v>2.9527359237839619</v>
      </c>
      <c r="AN13">
        <v>0.7</v>
      </c>
      <c r="AO13">
        <f>BS_call(S,σ,rf,q,AN13,X)-in_val_call(S,σ,rf,q,AN13,X)</f>
        <v>9.3231518045262121</v>
      </c>
      <c r="AP13">
        <f>BS_put(S,σ,rf,q,AN13,X)-in_val_put(S,σ,rf,q,AN13,X)</f>
        <v>7.2450482614721707</v>
      </c>
    </row>
    <row r="14" spans="1:42" ht="25.5" x14ac:dyDescent="0.25">
      <c r="A14" s="1">
        <v>4</v>
      </c>
      <c r="B14" s="1">
        <f t="shared" si="0"/>
        <v>0</v>
      </c>
      <c r="C14">
        <f t="shared" si="1"/>
        <v>0</v>
      </c>
      <c r="D14">
        <f t="shared" si="7"/>
        <v>0</v>
      </c>
      <c r="E14" s="1">
        <f t="shared" si="2"/>
        <v>95.750312239746009</v>
      </c>
      <c r="F14">
        <f t="shared" si="3"/>
        <v>96</v>
      </c>
      <c r="G14">
        <f t="shared" si="8"/>
        <v>-0.24968776025399109</v>
      </c>
      <c r="I14">
        <v>1</v>
      </c>
      <c r="J14">
        <f>BS_call($J$9,σ,rf,q,I14,X)-in_val_call($J$9,σ,rf,q,I14,X)</f>
        <v>3.4502828222089477</v>
      </c>
      <c r="K14">
        <f t="shared" si="14"/>
        <v>11.348476825143521</v>
      </c>
      <c r="L14">
        <f>BS_call($L$9,σ,rf,q,I14,X)-in_val_call($L$9,σ,rf,q,I14,X)</f>
        <v>2.1395157337291304E-2</v>
      </c>
      <c r="N14">
        <f t="shared" si="10"/>
        <v>1.2434886493582837</v>
      </c>
      <c r="O14">
        <f t="shared" si="11"/>
        <v>1.7836382142717682</v>
      </c>
      <c r="P14">
        <f t="shared" si="12"/>
        <v>5.1464127921279801E-2</v>
      </c>
      <c r="R14">
        <v>1</v>
      </c>
      <c r="S14">
        <f>BS_put($J$9,σ,rf,q,R14,X)-in_val_call($J$9,σ,rf,q,R14,X)</f>
        <v>-49.505163822940219</v>
      </c>
      <c r="T14">
        <f>BS_put(S,σ,rf,q,R14,X)-in_val_put(S,σ,rf,q,R14,X)</f>
        <v>8.3930301799943337</v>
      </c>
      <c r="U14">
        <f>BS_put($L$9,σ,rf,q,R14,X)-in_val_put($L$9,σ,rf,q,R14,X)</f>
        <v>-2.9340514878118853</v>
      </c>
      <c r="V14">
        <f t="shared" si="13"/>
        <v>0.30000000000000004</v>
      </c>
      <c r="W14">
        <f t="shared" si="5"/>
        <v>0.37400620914412031</v>
      </c>
      <c r="X14">
        <f t="shared" si="6"/>
        <v>0.91415577405762605</v>
      </c>
      <c r="AB14">
        <v>0.2</v>
      </c>
      <c r="AC14">
        <f>BS_call(S,AB14,rf,q,T,X)-in_val_call(S,AB14,rf,q,T,X)</f>
        <v>2.4270986312887715</v>
      </c>
      <c r="AD14">
        <f>BS_put(S,AB14,rf,q,T,X)-in_val_put(S,AB14,rf,q,T,X)</f>
        <v>2.1774108710347804</v>
      </c>
      <c r="AF14">
        <v>7.0000000000000007E-2</v>
      </c>
      <c r="AG14">
        <f>BS_call(S,σ,AF14,q,T,X)-in_val_call(S,σ,AF14,q,T,X)</f>
        <v>3.1703062152616752</v>
      </c>
      <c r="AH14">
        <f>BS_put(S,σ,AF14,q,T,X)-in_val_put(S,σ,AF14,q,T,X)</f>
        <v>2.588670967379997</v>
      </c>
      <c r="AJ14">
        <v>7.0000000000000007E-2</v>
      </c>
      <c r="AK14">
        <f>BS_call(S,σ,rf,AJ14,T,X)-in_val_call(S,σ,rf,AJ14,T,X)</f>
        <v>2.7036104503536933</v>
      </c>
      <c r="AL14">
        <f>BS_put(S,σ,rf,AJ14,T,X)-in_val_put(S,σ,rf,AJ14,T,X)</f>
        <v>3.0355579379814017</v>
      </c>
      <c r="AN14">
        <v>1</v>
      </c>
      <c r="AO14">
        <f>BS_call(S,σ,rf,q,AN14,X)-in_val_call(S,σ,rf,q,AN14,X)</f>
        <v>11.348476825143521</v>
      </c>
      <c r="AP14">
        <f>BS_put(S,σ,rf,q,AN14,X)-in_val_put(S,σ,rf,q,AN14,X)</f>
        <v>8.3930301799943337</v>
      </c>
    </row>
    <row r="15" spans="1:42" ht="25.5" x14ac:dyDescent="0.25">
      <c r="A15" s="1">
        <v>5</v>
      </c>
      <c r="B15" s="1">
        <f t="shared" si="0"/>
        <v>0</v>
      </c>
      <c r="C15">
        <f t="shared" si="1"/>
        <v>0</v>
      </c>
      <c r="D15">
        <f t="shared" si="7"/>
        <v>0</v>
      </c>
      <c r="E15" s="1">
        <f t="shared" si="2"/>
        <v>94.750312239746009</v>
      </c>
      <c r="F15">
        <f t="shared" si="3"/>
        <v>95</v>
      </c>
      <c r="G15">
        <f t="shared" si="8"/>
        <v>-0.24968776025399109</v>
      </c>
      <c r="I15">
        <v>1.3</v>
      </c>
      <c r="J15">
        <f>BS_call($J$9,σ,rf,q,I15,X)-in_val_call($J$9,σ,rf,q,I15,X)</f>
        <v>4.6937714715672314</v>
      </c>
      <c r="K15">
        <f t="shared" si="14"/>
        <v>13.132115039415289</v>
      </c>
      <c r="L15">
        <f>BS_call($L$9,σ,rf,q,I15,X)-in_val_call($L$9,σ,rf,q,I15,X)</f>
        <v>7.2859285258571105E-2</v>
      </c>
      <c r="N15">
        <f t="shared" si="10"/>
        <v>1.2673660615009936</v>
      </c>
      <c r="O15">
        <f t="shared" si="11"/>
        <v>1.6199542316559175</v>
      </c>
      <c r="P15">
        <f t="shared" si="12"/>
        <v>9.1852570553032753E-2</v>
      </c>
      <c r="R15">
        <v>1.3</v>
      </c>
      <c r="S15">
        <f>BS_put($J$9,σ,rf,q,R15,X)-in_val_call($J$9,σ,rf,q,R15,X)</f>
        <v>-49.131157613796098</v>
      </c>
      <c r="T15">
        <f>BS_put(S,σ,rf,q,R15,X)-in_val_put(S,σ,rf,q,R15,X)</f>
        <v>9.3071859540519597</v>
      </c>
      <c r="U15">
        <f>BS_put($L$9,σ,rf,q,R15,X)-in_val_put($L$9,σ,rf,q,R15,X)</f>
        <v>-3.7520698001047492</v>
      </c>
      <c r="V15">
        <f t="shared" si="13"/>
        <v>0.30000000000000004</v>
      </c>
      <c r="W15">
        <f t="shared" si="5"/>
        <v>0.40567385461478978</v>
      </c>
      <c r="X15">
        <f t="shared" si="6"/>
        <v>0.7582620247697065</v>
      </c>
      <c r="AB15">
        <v>0.25</v>
      </c>
      <c r="AC15">
        <f>BS_call(S,AB15,rf,q,T,X)-in_val_call(S,AB15,rf,q,T,X)</f>
        <v>3.0014675008944849</v>
      </c>
      <c r="AD15">
        <f>BS_put(S,AB15,rf,q,T,X)-in_val_put(S,AB15,rf,q,T,X)</f>
        <v>2.7517797406404867</v>
      </c>
      <c r="AF15">
        <v>0.09</v>
      </c>
      <c r="AG15">
        <f>BS_call(S,σ,AF15,q,T,X)-in_val_call(S,σ,AF15,q,T,X)</f>
        <v>3.2568015780852093</v>
      </c>
      <c r="AH15">
        <f>BS_put(S,σ,AF15,q,T,X)-in_val_put(S,σ,AF15,q,T,X)</f>
        <v>2.5096070599990554</v>
      </c>
      <c r="AJ15">
        <v>0.09</v>
      </c>
      <c r="AK15">
        <f>BS_call(S,σ,rf,AJ15,T,X)-in_val_call(S,σ,rf,AJ15,T,X)</f>
        <v>2.622260453954155</v>
      </c>
      <c r="AL15">
        <f>BS_put(S,σ,rf,AJ15,T,X)-in_val_put(S,σ,rf,AJ15,T,X)</f>
        <v>3.119767211786332</v>
      </c>
      <c r="AN15">
        <v>1.3</v>
      </c>
      <c r="AO15">
        <f>BS_call(S,σ,rf,q,AN15,X)-in_val_call(S,σ,rf,q,AN15,X)</f>
        <v>13.132115039415289</v>
      </c>
      <c r="AP15">
        <f>BS_put(S,σ,rf,q,AN15,X)-in_val_put(S,σ,rf,q,AN15,X)</f>
        <v>9.3071859540519597</v>
      </c>
    </row>
    <row r="16" spans="1:42" ht="25.5" x14ac:dyDescent="0.25">
      <c r="A16" s="1">
        <v>6</v>
      </c>
      <c r="B16" s="1">
        <f t="shared" si="0"/>
        <v>0</v>
      </c>
      <c r="C16">
        <f t="shared" si="1"/>
        <v>0</v>
      </c>
      <c r="D16">
        <f t="shared" si="7"/>
        <v>0</v>
      </c>
      <c r="E16" s="1">
        <f t="shared" si="2"/>
        <v>93.750312239746009</v>
      </c>
      <c r="F16">
        <f t="shared" si="3"/>
        <v>94</v>
      </c>
      <c r="G16">
        <f t="shared" si="8"/>
        <v>-0.24968776025399109</v>
      </c>
      <c r="I16">
        <v>1.6</v>
      </c>
      <c r="J16">
        <f>BS_call($J$9,σ,rf,q,I16,X)-in_val_call($J$9,σ,rf,q,I16,X)</f>
        <v>5.961137533068225</v>
      </c>
      <c r="K16">
        <f t="shared" si="14"/>
        <v>14.752069271071207</v>
      </c>
      <c r="L16">
        <f>BS_call($L$9,σ,rf,q,I16,X)-in_val_call($L$9,σ,rf,q,I16,X)</f>
        <v>0.16471185581160386</v>
      </c>
      <c r="N16">
        <f t="shared" si="10"/>
        <v>1.2685830153539257</v>
      </c>
      <c r="O16">
        <f t="shared" si="11"/>
        <v>1.498825961294024</v>
      </c>
      <c r="P16">
        <f t="shared" si="12"/>
        <v>0.1327063364133747</v>
      </c>
      <c r="R16">
        <v>1.6</v>
      </c>
      <c r="S16">
        <f>BS_put($J$9,σ,rf,q,R16,X)-in_val_call($J$9,σ,rf,q,R16,X)</f>
        <v>-48.725483759181309</v>
      </c>
      <c r="T16">
        <f>BS_put(S,σ,rf,q,R16,X)-in_val_put(S,σ,rf,q,R16,X)</f>
        <v>10.065447978821666</v>
      </c>
      <c r="U16">
        <f>BS_put($L$9,σ,rf,q,R16,X)-in_val_put($L$9,σ,rf,q,R16,X)</f>
        <v>-4.5219094364379231</v>
      </c>
      <c r="V16">
        <f t="shared" si="13"/>
        <v>0.29999999999999982</v>
      </c>
      <c r="W16">
        <f t="shared" si="5"/>
        <v>0.41461124425578788</v>
      </c>
      <c r="X16">
        <f t="shared" si="6"/>
        <v>0.6448541901958933</v>
      </c>
      <c r="AB16">
        <v>0.3</v>
      </c>
      <c r="AC16">
        <f>BS_call(S,AB16,rf,q,T,X)-in_val_call(S,AB16,rf,q,T,X)</f>
        <v>3.5758303875233395</v>
      </c>
      <c r="AD16">
        <f>BS_put(S,AB16,rf,q,T,X)-in_val_put(S,AB16,rf,q,T,X)</f>
        <v>3.3261426272693484</v>
      </c>
      <c r="AF16">
        <v>0.11</v>
      </c>
      <c r="AG16">
        <f>BS_call(S,σ,AF16,q,T,X)-in_val_call(S,σ,AF16,q,T,X)</f>
        <v>3.3446721220089017</v>
      </c>
      <c r="AH16">
        <f>BS_put(S,σ,AF16,q,T,X)-in_val_put(S,σ,AF16,q,T,X)</f>
        <v>2.4321940360195526</v>
      </c>
      <c r="AJ16">
        <v>0.11</v>
      </c>
      <c r="AK16">
        <f>BS_call(S,σ,rf,AJ16,T,X)-in_val_call(S,σ,rf,AJ16,T,X)</f>
        <v>2.5425678084878456</v>
      </c>
      <c r="AL16">
        <f>BS_put(S,σ,rf,AJ16,T,X)-in_val_put(S,σ,rf,AJ16,T,X)</f>
        <v>3.2053581342231965</v>
      </c>
      <c r="AN16">
        <v>1.6</v>
      </c>
      <c r="AO16">
        <f>BS_call(S,σ,rf,q,AN16,X)-in_val_call(S,σ,rf,q,AN16,X)</f>
        <v>14.752069271071207</v>
      </c>
      <c r="AP16">
        <f>BS_put(S,σ,rf,q,AN16,X)-in_val_put(S,σ,rf,q,AN16,X)</f>
        <v>10.065447978821666</v>
      </c>
    </row>
    <row r="17" spans="1:42" ht="25.5" x14ac:dyDescent="0.25">
      <c r="A17" s="1">
        <v>7</v>
      </c>
      <c r="B17" s="1">
        <f t="shared" si="0"/>
        <v>2.9402649677978304E-298</v>
      </c>
      <c r="C17">
        <f t="shared" si="1"/>
        <v>0</v>
      </c>
      <c r="D17">
        <f t="shared" si="7"/>
        <v>2.9402649677978304E-298</v>
      </c>
      <c r="E17" s="1">
        <f t="shared" si="2"/>
        <v>92.750312239746009</v>
      </c>
      <c r="F17">
        <f t="shared" si="3"/>
        <v>93</v>
      </c>
      <c r="G17">
        <f t="shared" si="8"/>
        <v>-0.24968776025399109</v>
      </c>
      <c r="I17">
        <v>1.9</v>
      </c>
      <c r="J17">
        <f>BS_call($J$9,σ,rf,q,I17,X)-in_val_call($J$9,σ,rf,q,I17,X)</f>
        <v>7.2297205484221507</v>
      </c>
      <c r="K17">
        <f t="shared" si="14"/>
        <v>16.250895232365231</v>
      </c>
      <c r="L17">
        <f>BS_call($L$9,σ,rf,q,I17,X)-in_val_call($L$9,σ,rf,q,I17,X)</f>
        <v>0.29741819222497856</v>
      </c>
      <c r="N17">
        <f t="shared" si="10"/>
        <v>1.2573612983985925</v>
      </c>
      <c r="O17">
        <f t="shared" si="11"/>
        <v>1.4039865838690844</v>
      </c>
      <c r="P17">
        <f t="shared" si="12"/>
        <v>0.17039880235523652</v>
      </c>
      <c r="R17">
        <v>1.9</v>
      </c>
      <c r="S17">
        <f>BS_put($J$9,σ,rf,q,R17,X)-in_val_call($J$9,σ,rf,q,R17,X)</f>
        <v>-48.310872514925521</v>
      </c>
      <c r="T17">
        <f>BS_put(S,σ,rf,q,R17,X)-in_val_put(S,σ,rf,q,R17,X)</f>
        <v>10.710302169017559</v>
      </c>
      <c r="U17">
        <f>BS_put($L$9,σ,rf,q,R17,X)-in_val_put($L$9,σ,rf,q,R17,X)</f>
        <v>-5.2431748711226831</v>
      </c>
      <c r="V17">
        <f t="shared" si="13"/>
        <v>0.30000000000000027</v>
      </c>
      <c r="W17">
        <f t="shared" si="5"/>
        <v>0.41104079090815304</v>
      </c>
      <c r="X17">
        <f t="shared" si="6"/>
        <v>0.55766607637865206</v>
      </c>
      <c r="AB17">
        <v>0.35</v>
      </c>
      <c r="AC17">
        <f>BS_call(S,AB17,rf,q,T,X)-in_val_call(S,AB17,rf,q,T,X)</f>
        <v>4.1500958468394202</v>
      </c>
      <c r="AD17">
        <f>BS_put(S,AB17,rf,q,T,X)-in_val_put(S,AB17,rf,q,T,X)</f>
        <v>3.9004080865854291</v>
      </c>
      <c r="AF17">
        <v>0.13</v>
      </c>
      <c r="AG17">
        <f>BS_call(S,σ,AF17,q,T,X)-in_val_call(S,σ,AF17,q,T,X)</f>
        <v>3.4339102493564653</v>
      </c>
      <c r="AH17">
        <f>BS_put(S,σ,AF17,q,T,X)-in_val_put(S,σ,AF17,q,T,X)</f>
        <v>2.3564238386440692</v>
      </c>
      <c r="AJ17">
        <v>0.13</v>
      </c>
      <c r="AK17">
        <f>BS_call(S,σ,rf,AJ17,T,X)-in_val_call(S,σ,rf,AJ17,T,X)</f>
        <v>2.4645256507204891</v>
      </c>
      <c r="AL17">
        <f>BS_put(S,σ,rf,AJ17,T,X)-in_val_put(S,σ,rf,AJ17,T,X)</f>
        <v>3.292324301178887</v>
      </c>
      <c r="AN17">
        <v>1.9</v>
      </c>
      <c r="AO17">
        <f>BS_call(S,σ,rf,q,AN17,X)-in_val_call(S,σ,rf,q,AN17,X)</f>
        <v>16.250895232365231</v>
      </c>
      <c r="AP17">
        <f>BS_put(S,σ,rf,q,AN17,X)-in_val_put(S,σ,rf,q,AN17,X)</f>
        <v>10.710302169017559</v>
      </c>
    </row>
    <row r="18" spans="1:42" ht="25.5" x14ac:dyDescent="0.25">
      <c r="A18" s="1">
        <v>8</v>
      </c>
      <c r="B18" s="1">
        <f t="shared" si="0"/>
        <v>2.4001723651159603E-269</v>
      </c>
      <c r="C18">
        <f t="shared" si="1"/>
        <v>0</v>
      </c>
      <c r="D18">
        <f t="shared" si="7"/>
        <v>2.4001723651159603E-269</v>
      </c>
      <c r="E18" s="1">
        <f t="shared" si="2"/>
        <v>91.750312239746009</v>
      </c>
      <c r="F18">
        <f t="shared" si="3"/>
        <v>92</v>
      </c>
      <c r="G18">
        <f t="shared" si="8"/>
        <v>-0.24968776025399109</v>
      </c>
      <c r="I18">
        <v>2.2000000000000002</v>
      </c>
      <c r="J18">
        <f>BS_call($J$9,σ,rf,q,I18,X)-in_val_call($J$9,σ,rf,q,I18,X)</f>
        <v>8.4870818468207432</v>
      </c>
      <c r="K18">
        <f t="shared" si="14"/>
        <v>17.654881816234315</v>
      </c>
      <c r="L18">
        <f>BS_call($L$9,σ,rf,q,I18,X)-in_val_call($L$9,σ,rf,q,I18,X)</f>
        <v>0.46781699458021508</v>
      </c>
      <c r="N18">
        <f t="shared" si="10"/>
        <v>1.2393656321288518</v>
      </c>
      <c r="O18">
        <f t="shared" si="11"/>
        <v>1.3267613783510157</v>
      </c>
      <c r="P18">
        <f t="shared" si="12"/>
        <v>0.20363343777516274</v>
      </c>
      <c r="R18">
        <v>2.2000000000000002</v>
      </c>
      <c r="S18">
        <f>BS_put($J$9,σ,rf,q,R18,X)-in_val_call($J$9,σ,rf,q,R18,X)</f>
        <v>-47.899831724017368</v>
      </c>
      <c r="T18">
        <f>BS_put(S,σ,rf,q,R18,X)-in_val_put(S,σ,rf,q,R18,X)</f>
        <v>11.267968245396212</v>
      </c>
      <c r="U18">
        <f>BS_put($L$9,σ,rf,q,R18,X)-in_val_put($L$9,σ,rf,q,R18,X)</f>
        <v>-5.9190965762578998</v>
      </c>
      <c r="V18">
        <f t="shared" si="13"/>
        <v>0.29999999999999982</v>
      </c>
      <c r="W18">
        <f t="shared" si="5"/>
        <v>0.40062783582224881</v>
      </c>
      <c r="X18">
        <f t="shared" si="6"/>
        <v>0.48802358204440566</v>
      </c>
      <c r="AB18">
        <v>0.4</v>
      </c>
      <c r="AC18">
        <f>BS_call(S,AB18,rf,q,T,X)-in_val_call(S,AB18,rf,q,T,X)</f>
        <v>4.7242032351867209</v>
      </c>
      <c r="AD18">
        <f>BS_put(S,AB18,rf,q,T,X)-in_val_put(S,AB18,rf,q,T,X)</f>
        <v>4.4745154749327227</v>
      </c>
      <c r="AF18">
        <v>0.15</v>
      </c>
      <c r="AG18">
        <f>BS_call(S,σ,AF18,q,T,X)-in_val_call(S,σ,AF18,q,T,X)</f>
        <v>3.5245075893337088</v>
      </c>
      <c r="AH18">
        <f>BS_put(S,σ,AF18,q,T,X)-in_val_put(S,σ,AF18,q,T,X)</f>
        <v>2.2822876387218543</v>
      </c>
      <c r="AJ18">
        <v>0.15</v>
      </c>
      <c r="AK18">
        <f>BS_call(S,σ,rf,AJ18,T,X)-in_val_call(S,σ,rf,AJ18,T,X)</f>
        <v>2.3881263328984943</v>
      </c>
      <c r="AL18">
        <f>BS_put(S,σ,rf,AJ18,T,X)-in_val_put(S,σ,rf,AJ18,T,X)</f>
        <v>3.380658523256372</v>
      </c>
      <c r="AN18">
        <v>2.2000000000000002</v>
      </c>
      <c r="AO18">
        <f>BS_call(S,σ,rf,q,AN18,X)-in_val_call(S,σ,rf,q,AN18,X)</f>
        <v>17.654881816234315</v>
      </c>
      <c r="AP18">
        <f>BS_put(S,σ,rf,q,AN18,X)-in_val_put(S,σ,rf,q,AN18,X)</f>
        <v>11.267968245396212</v>
      </c>
    </row>
    <row r="19" spans="1:42" ht="25.5" x14ac:dyDescent="0.25">
      <c r="A19" s="1">
        <v>9</v>
      </c>
      <c r="B19" s="1">
        <f t="shared" si="0"/>
        <v>4.4687918593247823E-245</v>
      </c>
      <c r="C19">
        <f t="shared" si="1"/>
        <v>0</v>
      </c>
      <c r="D19">
        <f t="shared" si="7"/>
        <v>4.4687918593247823E-245</v>
      </c>
      <c r="E19" s="1">
        <f t="shared" si="2"/>
        <v>90.750312239746009</v>
      </c>
      <c r="F19">
        <f t="shared" si="3"/>
        <v>91</v>
      </c>
      <c r="G19">
        <f t="shared" si="8"/>
        <v>-0.24968776025399109</v>
      </c>
      <c r="I19">
        <v>2.5</v>
      </c>
      <c r="J19">
        <f>BS_call($J$9,σ,rf,q,I19,X)-in_val_call($J$9,σ,rf,q,I19,X)</f>
        <v>9.7264474789495949</v>
      </c>
      <c r="K19">
        <f t="shared" si="14"/>
        <v>18.981643194585331</v>
      </c>
      <c r="L19">
        <f>BS_call($L$9,σ,rf,q,I19,X)-in_val_call($L$9,σ,rf,q,I19,X)</f>
        <v>0.67145043235537782</v>
      </c>
      <c r="N19">
        <f t="shared" si="10"/>
        <v>1.2177790893961458</v>
      </c>
      <c r="O19">
        <f t="shared" si="11"/>
        <v>1.2620379884341162</v>
      </c>
      <c r="P19">
        <f t="shared" si="12"/>
        <v>0.23225367058003465</v>
      </c>
      <c r="R19">
        <v>2.5</v>
      </c>
      <c r="S19">
        <f>BS_put($J$9,σ,rf,q,R19,X)-in_val_call($J$9,σ,rf,q,R19,X)</f>
        <v>-47.499203888195119</v>
      </c>
      <c r="T19">
        <f>BS_put(S,σ,rf,q,R19,X)-in_val_put(S,σ,rf,q,R19,X)</f>
        <v>11.755991827440617</v>
      </c>
      <c r="U19">
        <f>BS_put($L$9,σ,rf,q,R19,X)-in_val_put($L$9,σ,rf,q,R19,X)</f>
        <v>-6.5542009347893355</v>
      </c>
      <c r="V19">
        <f t="shared" si="13"/>
        <v>0.29999999999999982</v>
      </c>
      <c r="W19">
        <f t="shared" si="5"/>
        <v>0.38655606605332338</v>
      </c>
      <c r="X19">
        <f t="shared" si="6"/>
        <v>0.4308149650912938</v>
      </c>
      <c r="AB19">
        <v>0.45</v>
      </c>
      <c r="AC19">
        <f>BS_call(S,AB19,rf,q,T,X)-in_val_call(S,AB19,rf,q,T,X)</f>
        <v>5.2981056230601808</v>
      </c>
      <c r="AD19">
        <f>BS_put(S,AB19,rf,q,T,X)-in_val_put(S,AB19,rf,q,T,X)</f>
        <v>5.0484178628061969</v>
      </c>
      <c r="AF19">
        <v>0.17</v>
      </c>
      <c r="AG19">
        <f>BS_call(S,σ,AF19,q,T,X)-in_val_call(S,σ,AF19,q,T,X)</f>
        <v>3.6164550089628946</v>
      </c>
      <c r="AH19">
        <f>BS_put(S,σ,AF19,q,T,X)-in_val_put(S,σ,AF19,q,T,X)</f>
        <v>2.2097758456818752</v>
      </c>
      <c r="AJ19">
        <v>0.17</v>
      </c>
      <c r="AK19">
        <f>BS_call(S,σ,rf,AJ19,T,X)-in_val_call(S,σ,rf,AJ19,T,X)</f>
        <v>2.3133614318402351</v>
      </c>
      <c r="AL19">
        <f>BS_put(S,σ,rf,AJ19,T,X)-in_val_put(S,σ,rf,AJ19,T,X)</f>
        <v>3.4703528348672634</v>
      </c>
      <c r="AN19">
        <v>2.5</v>
      </c>
      <c r="AO19">
        <f>BS_call(S,σ,rf,q,AN19,X)-in_val_call(S,σ,rf,q,AN19,X)</f>
        <v>18.981643194585331</v>
      </c>
      <c r="AP19">
        <f>BS_put(S,σ,rf,q,AN19,X)-in_val_put(S,σ,rf,q,AN19,X)</f>
        <v>11.755991827440617</v>
      </c>
    </row>
    <row r="20" spans="1:42" ht="25.5" x14ac:dyDescent="0.25">
      <c r="A20" s="1">
        <v>10</v>
      </c>
      <c r="B20" s="1">
        <f t="shared" si="0"/>
        <v>2.4095590273855556E-224</v>
      </c>
      <c r="C20">
        <f t="shared" si="1"/>
        <v>0</v>
      </c>
      <c r="D20">
        <f t="shared" si="7"/>
        <v>2.4095590273855556E-224</v>
      </c>
      <c r="E20" s="1">
        <f t="shared" si="2"/>
        <v>89.750312239746009</v>
      </c>
      <c r="F20">
        <f t="shared" si="3"/>
        <v>90</v>
      </c>
      <c r="G20">
        <f t="shared" si="8"/>
        <v>-0.24968776025399109</v>
      </c>
      <c r="I20">
        <v>2.8</v>
      </c>
      <c r="J20">
        <f>BS_call($J$9,σ,rf,q,I20,X)-in_val_call($J$9,σ,rf,q,I20,X)</f>
        <v>10.944226568345741</v>
      </c>
      <c r="K20">
        <f t="shared" si="14"/>
        <v>20.243681183019447</v>
      </c>
      <c r="L20">
        <f>BS_call($L$9,σ,rf,q,I20,X)-in_val_call($L$9,σ,rf,q,I20,X)</f>
        <v>0.90370410293541248</v>
      </c>
      <c r="N20">
        <f t="shared" si="10"/>
        <v>1.1944289921759577</v>
      </c>
      <c r="O20">
        <f t="shared" si="11"/>
        <v>1.2065789898590253</v>
      </c>
      <c r="P20">
        <f t="shared" si="12"/>
        <v>0.25658536402898413</v>
      </c>
      <c r="R20">
        <v>2.8</v>
      </c>
      <c r="S20">
        <f>BS_put($J$9,σ,rf,q,R20,X)-in_val_call($J$9,σ,rf,q,R20,X)</f>
        <v>-47.112647822141795</v>
      </c>
      <c r="T20">
        <f>BS_put(S,σ,rf,q,R20,X)-in_val_put(S,σ,rf,q,R20,X)</f>
        <v>12.186806792531911</v>
      </c>
      <c r="U20">
        <f>BS_put($L$9,σ,rf,q,R20,X)-in_val_put($L$9,σ,rf,q,R20,X)</f>
        <v>-7.153170287552129</v>
      </c>
      <c r="V20">
        <f t="shared" si="13"/>
        <v>0.30000000000000027</v>
      </c>
      <c r="W20">
        <f t="shared" si="5"/>
        <v>0.37065341227756932</v>
      </c>
      <c r="X20">
        <f t="shared" si="6"/>
        <v>0.38280340996061568</v>
      </c>
      <c r="AB20">
        <v>0.5</v>
      </c>
      <c r="AC20">
        <f>BS_call(S,AB20,rf,q,T,X)-in_val_call(S,AB20,rf,q,T,X)</f>
        <v>5.8717629604677981</v>
      </c>
      <c r="AD20">
        <f>BS_put(S,AB20,rf,q,T,X)-in_val_put(S,AB20,rf,q,T,X)</f>
        <v>5.6220752002137928</v>
      </c>
      <c r="AF20">
        <v>0.19</v>
      </c>
      <c r="AG20">
        <f>BS_call(S,σ,AF20,q,T,X)-in_val_call(S,σ,AF20,q,T,X)</f>
        <v>3.7097426251961423</v>
      </c>
      <c r="AH20">
        <f>BS_put(S,σ,AF20,q,T,X)-in_val_put(S,σ,AF20,q,T,X)</f>
        <v>2.138878119645014</v>
      </c>
      <c r="AJ20">
        <v>0.19</v>
      </c>
      <c r="AK20">
        <f>BS_call(S,σ,rf,AJ20,T,X)-in_val_call(S,σ,rf,AJ20,T,X)</f>
        <v>2.2402217592433331</v>
      </c>
      <c r="AL20">
        <f>BS_put(S,σ,rf,AJ20,T,X)-in_val_put(S,σ,rf,AJ20,T,X)</f>
        <v>3.5613985045404775</v>
      </c>
      <c r="AN20">
        <v>2.8</v>
      </c>
      <c r="AO20">
        <f>BS_call(S,σ,rf,q,AN20,X)-in_val_call(S,σ,rf,q,AN20,X)</f>
        <v>20.243681183019447</v>
      </c>
      <c r="AP20">
        <f>BS_put(S,σ,rf,q,AN20,X)-in_val_put(S,σ,rf,q,AN20,X)</f>
        <v>12.186806792531911</v>
      </c>
    </row>
    <row r="21" spans="1:42" ht="25.5" x14ac:dyDescent="0.25">
      <c r="A21" s="1">
        <v>11</v>
      </c>
      <c r="B21" s="1">
        <f t="shared" si="0"/>
        <v>2.1889354098306329E-206</v>
      </c>
      <c r="C21">
        <f t="shared" si="1"/>
        <v>0</v>
      </c>
      <c r="D21">
        <f t="shared" si="7"/>
        <v>2.1889354098306329E-206</v>
      </c>
      <c r="E21" s="1">
        <f t="shared" si="2"/>
        <v>88.750312239746009</v>
      </c>
      <c r="F21">
        <f t="shared" si="3"/>
        <v>89</v>
      </c>
      <c r="G21">
        <f t="shared" si="8"/>
        <v>-0.24968776025399109</v>
      </c>
      <c r="I21">
        <v>3.1</v>
      </c>
      <c r="J21">
        <f>BS_call($J$9,σ,rf,q,I21,X)-in_val_call($J$9,σ,rf,q,I21,X)</f>
        <v>12.138655560521698</v>
      </c>
      <c r="K21">
        <f t="shared" si="14"/>
        <v>21.450260172878473</v>
      </c>
      <c r="L21">
        <f>BS_call($L$9,σ,rf,q,I21,X)-in_val_call($L$9,σ,rf,q,I21,X)</f>
        <v>1.1602894669643966</v>
      </c>
      <c r="N21">
        <f t="shared" si="10"/>
        <v>1.1703831615752165</v>
      </c>
      <c r="O21">
        <f t="shared" si="11"/>
        <v>1.1582197055310246</v>
      </c>
      <c r="P21">
        <f t="shared" si="12"/>
        <v>0.27711897425708987</v>
      </c>
      <c r="R21">
        <v>3.1</v>
      </c>
      <c r="S21">
        <f>BS_put($J$9,σ,rf,q,R21,X)-in_val_call($J$9,σ,rf,q,R21,X)</f>
        <v>-46.741994409864226</v>
      </c>
      <c r="T21">
        <f>BS_put(S,σ,rf,q,R21,X)-in_val_put(S,σ,rf,q,R21,X)</f>
        <v>12.569610202492527</v>
      </c>
      <c r="U21">
        <f>BS_put($L$9,σ,rf,q,R21,X)-in_val_put($L$9,σ,rf,q,R21,X)</f>
        <v>-7.7203605034215457</v>
      </c>
      <c r="V21">
        <f t="shared" si="13"/>
        <v>0.29999999999999982</v>
      </c>
      <c r="W21">
        <f t="shared" si="5"/>
        <v>0.35398829884881877</v>
      </c>
      <c r="X21">
        <f t="shared" si="6"/>
        <v>0.3418248428046553</v>
      </c>
      <c r="AB21">
        <v>0.55000000000000004</v>
      </c>
      <c r="AC21">
        <f>BS_call(S,AB21,rf,q,T,X)-in_val_call(S,AB21,rf,q,T,X)</f>
        <v>6.445138972006923</v>
      </c>
      <c r="AD21">
        <f>BS_put(S,AB21,rf,q,T,X)-in_val_put(S,AB21,rf,q,T,X)</f>
        <v>6.1954512117529248</v>
      </c>
      <c r="AF21">
        <v>0.21</v>
      </c>
      <c r="AG21">
        <f>BS_call(S,σ,AF21,q,T,X)-in_val_call(S,σ,AF21,q,T,X)</f>
        <v>3.8043598181773106</v>
      </c>
      <c r="AH21">
        <f>BS_put(S,σ,AF21,q,T,X)-in_val_put(S,σ,AF21,q,T,X)</f>
        <v>2.0695833846846341</v>
      </c>
      <c r="AJ21">
        <v>0.21</v>
      </c>
      <c r="AK21">
        <f>BS_call(S,σ,rf,AJ21,T,X)-in_val_call(S,σ,rf,AJ21,T,X)</f>
        <v>2.1686973731820416</v>
      </c>
      <c r="AL21">
        <f>BS_put(S,σ,rf,AJ21,T,X)-in_val_put(S,σ,rf,AJ21,T,X)</f>
        <v>3.6537860464207341</v>
      </c>
      <c r="AN21">
        <v>3.1</v>
      </c>
      <c r="AO21">
        <f>BS_call(S,σ,rf,q,AN21,X)-in_val_call(S,σ,rf,q,AN21,X)</f>
        <v>21.450260172878473</v>
      </c>
      <c r="AP21">
        <f>BS_put(S,σ,rf,q,AN21,X)-in_val_put(S,σ,rf,q,AN21,X)</f>
        <v>12.569610202492527</v>
      </c>
    </row>
    <row r="22" spans="1:42" ht="25.5" x14ac:dyDescent="0.25">
      <c r="A22" s="1">
        <v>12</v>
      </c>
      <c r="B22" s="1">
        <f t="shared" si="0"/>
        <v>1.1881339593738688E-190</v>
      </c>
      <c r="C22">
        <f t="shared" si="1"/>
        <v>0</v>
      </c>
      <c r="D22">
        <f t="shared" si="7"/>
        <v>1.1881339593738688E-190</v>
      </c>
      <c r="E22" s="1">
        <f t="shared" si="2"/>
        <v>87.750312239746009</v>
      </c>
      <c r="F22">
        <f t="shared" si="3"/>
        <v>88</v>
      </c>
      <c r="G22">
        <f t="shared" si="8"/>
        <v>-0.24968776025399109</v>
      </c>
      <c r="I22">
        <v>3.4</v>
      </c>
      <c r="J22">
        <f>BS_call($J$9,σ,rf,q,I22,X)-in_val_call($J$9,σ,rf,q,I22,X)</f>
        <v>13.309038722096915</v>
      </c>
      <c r="K22">
        <f t="shared" si="14"/>
        <v>22.608479878409497</v>
      </c>
      <c r="L22">
        <f>BS_call($L$9,σ,rf,q,I22,X)-in_val_call($L$9,σ,rf,q,I22,X)</f>
        <v>1.4374084412214865</v>
      </c>
      <c r="N22">
        <f t="shared" si="10"/>
        <v>1.1462718756735342</v>
      </c>
      <c r="O22">
        <f t="shared" si="11"/>
        <v>1.1154496415690431</v>
      </c>
      <c r="P22">
        <f t="shared" si="12"/>
        <v>0.29436669586815967</v>
      </c>
      <c r="R22">
        <v>3.4</v>
      </c>
      <c r="S22">
        <f>BS_put($J$9,σ,rf,q,R22,X)-in_val_call($J$9,σ,rf,q,R22,X)</f>
        <v>-46.388006111015407</v>
      </c>
      <c r="T22">
        <f>BS_put(S,σ,rf,q,R22,X)-in_val_put(S,σ,rf,q,R22,X)</f>
        <v>12.911435045297182</v>
      </c>
      <c r="U22">
        <f>BS_put($L$9,σ,rf,q,R22,X)-in_val_put($L$9,σ,rf,q,R22,X)</f>
        <v>-8.2596363918908509</v>
      </c>
      <c r="V22">
        <f t="shared" si="13"/>
        <v>0.30000000000000027</v>
      </c>
      <c r="W22">
        <f t="shared" si="5"/>
        <v>0.33719160168896423</v>
      </c>
      <c r="X22">
        <f t="shared" si="6"/>
        <v>0.3063693675844732</v>
      </c>
      <c r="AB22">
        <v>0.6</v>
      </c>
      <c r="AC22">
        <f>BS_call(S,AB22,rf,q,T,X)-in_val_call(S,AB22,rf,q,T,X)</f>
        <v>7.0181996064439147</v>
      </c>
      <c r="AD22">
        <f>BS_put(S,AB22,rf,q,T,X)-in_val_put(S,AB22,rf,q,T,X)</f>
        <v>6.7685118461899165</v>
      </c>
      <c r="AF22">
        <v>0.23</v>
      </c>
      <c r="AG22">
        <f>BS_call(S,σ,AF22,q,T,X)-in_val_call(S,σ,AF22,q,T,X)</f>
        <v>3.9002952456192119</v>
      </c>
      <c r="AH22">
        <f>BS_put(S,σ,AF22,q,T,X)-in_val_put(S,σ,AF22,q,T,X)</f>
        <v>2.0018798432025164</v>
      </c>
      <c r="AJ22">
        <v>0.23</v>
      </c>
      <c r="AK22">
        <f>BS_call(S,σ,rf,AJ22,T,X)-in_val_call(S,σ,rf,AJ22,T,X)</f>
        <v>2.0987775907660406</v>
      </c>
      <c r="AL22">
        <f>BS_put(S,σ,rf,AJ22,T,X)-in_val_put(S,σ,rf,AJ22,T,X)</f>
        <v>3.7475052329287379</v>
      </c>
      <c r="AN22">
        <v>3.4</v>
      </c>
      <c r="AO22">
        <f>BS_call(S,σ,rf,q,AN22,X)-in_val_call(S,σ,rf,q,AN22,X)</f>
        <v>22.608479878409497</v>
      </c>
      <c r="AP22">
        <f>BS_put(S,σ,rf,q,AN22,X)-in_val_put(S,σ,rf,q,AN22,X)</f>
        <v>12.911435045297182</v>
      </c>
    </row>
    <row r="23" spans="1:42" ht="25.5" x14ac:dyDescent="0.25">
      <c r="A23" s="1">
        <v>13</v>
      </c>
      <c r="B23" s="1">
        <f t="shared" si="0"/>
        <v>9.8427677628419265E-177</v>
      </c>
      <c r="C23">
        <f t="shared" si="1"/>
        <v>0</v>
      </c>
      <c r="D23">
        <f t="shared" si="7"/>
        <v>9.8427677628419265E-177</v>
      </c>
      <c r="E23" s="1">
        <f t="shared" si="2"/>
        <v>86.750312239746009</v>
      </c>
      <c r="F23">
        <f t="shared" si="3"/>
        <v>87</v>
      </c>
      <c r="G23">
        <f t="shared" si="8"/>
        <v>-0.24968776025399109</v>
      </c>
      <c r="I23">
        <v>3.7</v>
      </c>
      <c r="J23">
        <f>BS_call($J$9,σ,rf,q,I23,X)-in_val_call($J$9,σ,rf,q,I23,X)</f>
        <v>14.455310597770449</v>
      </c>
      <c r="K23">
        <f t="shared" si="14"/>
        <v>23.72392951997854</v>
      </c>
      <c r="L23">
        <f>BS_call($L$9,σ,rf,q,I23,X)-in_val_call($L$9,σ,rf,q,I23,X)</f>
        <v>1.7317751370896461</v>
      </c>
      <c r="N23">
        <f t="shared" si="10"/>
        <v>1.1224668635274497</v>
      </c>
      <c r="O23">
        <f t="shared" si="11"/>
        <v>1.0771778669038667</v>
      </c>
      <c r="P23">
        <f t="shared" si="12"/>
        <v>0.30880367798386832</v>
      </c>
      <c r="R23">
        <v>3.7</v>
      </c>
      <c r="S23">
        <f>BS_put($J$9,σ,rf,q,R23,X)-in_val_call($J$9,σ,rf,q,R23,X)</f>
        <v>-46.050814509326443</v>
      </c>
      <c r="T23">
        <f>BS_put(S,σ,rf,q,R23,X)-in_val_put(S,σ,rf,q,R23,X)</f>
        <v>13.217804412881655</v>
      </c>
      <c r="U23">
        <f>BS_put($L$9,σ,rf,q,R23,X)-in_val_put($L$9,σ,rf,q,R23,X)</f>
        <v>-8.7743499700072434</v>
      </c>
      <c r="V23">
        <f t="shared" si="13"/>
        <v>0.29999999999999982</v>
      </c>
      <c r="W23">
        <f t="shared" si="5"/>
        <v>0.32063564234009334</v>
      </c>
      <c r="X23">
        <f t="shared" si="6"/>
        <v>0.2753466457165068</v>
      </c>
      <c r="AB23">
        <v>0.65</v>
      </c>
      <c r="AC23">
        <f>BS_call(S,AB23,rf,q,T,X)-in_val_call(S,AB23,rf,q,T,X)</f>
        <v>7.5909122038942627</v>
      </c>
      <c r="AD23">
        <f>BS_put(S,AB23,rf,q,T,X)-in_val_put(S,AB23,rf,q,T,X)</f>
        <v>7.3412244436402645</v>
      </c>
      <c r="AF23">
        <v>0.25</v>
      </c>
      <c r="AG23">
        <f>BS_call(S,σ,AF23,q,T,X)-in_val_call(S,σ,AF23,q,T,X)</f>
        <v>3.9975368582595863</v>
      </c>
      <c r="AH23">
        <f>BS_put(S,σ,AF23,q,T,X)-in_val_put(S,σ,AF23,q,T,X)</f>
        <v>1.9357549913835896</v>
      </c>
      <c r="AJ23">
        <v>0.25</v>
      </c>
      <c r="AK23">
        <f>BS_call(S,σ,rf,AJ23,T,X)-in_val_call(S,σ,rf,AJ23,T,X)</f>
        <v>2.030451001928455</v>
      </c>
      <c r="AL23">
        <f>BS_put(S,σ,rf,AJ23,T,X)-in_val_put(S,σ,rf,AJ23,T,X)</f>
        <v>3.8425451085504534</v>
      </c>
      <c r="AN23">
        <v>3.7</v>
      </c>
      <c r="AO23">
        <f>BS_call(S,σ,rf,q,AN23,X)-in_val_call(S,σ,rf,q,AN23,X)</f>
        <v>23.72392951997854</v>
      </c>
      <c r="AP23">
        <f>BS_put(S,σ,rf,q,AN23,X)-in_val_put(S,σ,rf,q,AN23,X)</f>
        <v>13.217804412881655</v>
      </c>
    </row>
    <row r="24" spans="1:42" ht="25.5" x14ac:dyDescent="0.25">
      <c r="A24" s="1">
        <v>14</v>
      </c>
      <c r="B24" s="1">
        <f t="shared" si="0"/>
        <v>2.536891297711622E-164</v>
      </c>
      <c r="C24">
        <f t="shared" si="1"/>
        <v>0</v>
      </c>
      <c r="D24">
        <f t="shared" si="7"/>
        <v>2.536891297711622E-164</v>
      </c>
      <c r="E24" s="1">
        <f t="shared" si="2"/>
        <v>85.750312239746009</v>
      </c>
      <c r="F24">
        <f t="shared" si="3"/>
        <v>86</v>
      </c>
      <c r="G24">
        <f t="shared" si="8"/>
        <v>-0.24968776025399109</v>
      </c>
      <c r="I24">
        <v>4</v>
      </c>
      <c r="J24">
        <f>BS_call($J$9,σ,rf,q,I24,X)-in_val_call($J$9,σ,rf,q,I24,X)</f>
        <v>15.577777461297899</v>
      </c>
      <c r="K24">
        <f t="shared" si="14"/>
        <v>24.801107386882407</v>
      </c>
      <c r="L24">
        <f>BS_call($L$9,σ,rf,q,I24,X)-in_val_call($L$9,σ,rf,q,I24,X)</f>
        <v>2.0405788150735145</v>
      </c>
      <c r="N24">
        <f t="shared" si="10"/>
        <v>1.0991838115003532</v>
      </c>
      <c r="O24">
        <f t="shared" si="11"/>
        <v>1.0425937825472786</v>
      </c>
      <c r="P24">
        <f t="shared" si="12"/>
        <v>0.32084815764575048</v>
      </c>
      <c r="R24">
        <v>4</v>
      </c>
      <c r="S24">
        <f>BS_put($J$9,σ,rf,q,R24,X)-in_val_call($J$9,σ,rf,q,R24,X)</f>
        <v>-45.73017886698635</v>
      </c>
      <c r="T24">
        <f>BS_put(S,σ,rf,q,R24,X)-in_val_put(S,σ,rf,q,R24,X)</f>
        <v>13.493151058598162</v>
      </c>
      <c r="U24">
        <f>BS_put($L$9,σ,rf,q,R24,X)-in_val_put($L$9,σ,rf,q,R24,X)</f>
        <v>-9.2673775132107323</v>
      </c>
      <c r="V24">
        <f t="shared" si="13"/>
        <v>0.29999999999999982</v>
      </c>
      <c r="W24">
        <f t="shared" si="5"/>
        <v>0.3045366943429002</v>
      </c>
      <c r="X24">
        <f t="shared" si="6"/>
        <v>0.24794666538985055</v>
      </c>
      <c r="AB24">
        <v>0.7</v>
      </c>
      <c r="AC24">
        <f>BS_call(S,AB24,rf,q,T,X)-in_val_call(S,AB24,rf,q,T,X)</f>
        <v>8.1632450218467341</v>
      </c>
      <c r="AD24">
        <f>BS_put(S,AB24,rf,q,T,X)-in_val_put(S,AB24,rf,q,T,X)</f>
        <v>7.9135572615927501</v>
      </c>
      <c r="AF24">
        <v>0.27</v>
      </c>
      <c r="AG24">
        <f>BS_call(S,σ,AF24,q,T,X)-in_val_call(S,σ,AF24,q,T,X)</f>
        <v>4.096071916357154</v>
      </c>
      <c r="AH24">
        <f>BS_put(S,σ,AF24,q,T,X)-in_val_put(S,σ,AF24,q,T,X)</f>
        <v>1.871195635690782</v>
      </c>
      <c r="AJ24">
        <v>0.27</v>
      </c>
      <c r="AK24">
        <f>BS_call(S,σ,rf,AJ24,T,X)-in_val_call(S,σ,rf,AJ24,T,X)</f>
        <v>1.9637054843086759</v>
      </c>
      <c r="AL24">
        <f>BS_put(S,σ,rf,AJ24,T,X)-in_val_put(S,σ,rf,AJ24,T,X)</f>
        <v>3.9388940047210497</v>
      </c>
      <c r="AN24">
        <v>4</v>
      </c>
      <c r="AO24">
        <f>BS_call(S,σ,rf,q,AN24,X)-in_val_call(S,σ,rf,q,AN24,X)</f>
        <v>24.801107386882407</v>
      </c>
      <c r="AP24">
        <f>BS_put(S,σ,rf,q,AN24,X)-in_val_put(S,σ,rf,q,AN24,X)</f>
        <v>13.493151058598162</v>
      </c>
    </row>
    <row r="25" spans="1:42" ht="25.5" x14ac:dyDescent="0.25">
      <c r="A25" s="1">
        <v>15</v>
      </c>
      <c r="B25" s="1">
        <f t="shared" si="0"/>
        <v>3.5343590078733465E-153</v>
      </c>
      <c r="C25">
        <f t="shared" si="1"/>
        <v>0</v>
      </c>
      <c r="D25">
        <f t="shared" si="7"/>
        <v>3.5343590078733465E-153</v>
      </c>
      <c r="E25" s="1">
        <f t="shared" si="2"/>
        <v>84.750312239746009</v>
      </c>
      <c r="F25">
        <f t="shared" si="3"/>
        <v>85</v>
      </c>
      <c r="G25">
        <f t="shared" si="8"/>
        <v>-0.24968776025399109</v>
      </c>
      <c r="I25">
        <v>4.3</v>
      </c>
      <c r="J25">
        <f>BS_call($J$9,σ,rf,q,I25,X)-in_val_call($J$9,σ,rf,q,I25,X)</f>
        <v>16.676961272798252</v>
      </c>
      <c r="K25">
        <f t="shared" ref="K25:K44" si="15">BS_call(S,σ,rf,q,I25,X)-in_val_call(S,σ,rf,q,I25,X)</f>
        <v>25.843701169429686</v>
      </c>
      <c r="L25">
        <f>BS_call($L$9,σ,rf,q,I25,X)-in_val_call($L$9,σ,rf,q,I25,X)</f>
        <v>2.3614269727192649</v>
      </c>
      <c r="N25">
        <f t="shared" si="10"/>
        <v>1.0765426868386214</v>
      </c>
      <c r="O25">
        <f t="shared" si="11"/>
        <v>1.0110805600966657</v>
      </c>
      <c r="P25">
        <f t="shared" si="12"/>
        <v>0.33085887438136297</v>
      </c>
      <c r="R25">
        <v>4.3</v>
      </c>
      <c r="S25">
        <f>BS_put($J$9,σ,rf,q,R25,X)-in_val_call($J$9,σ,rf,q,R25,X)</f>
        <v>-45.42564217264345</v>
      </c>
      <c r="T25">
        <f>BS_put(S,σ,rf,q,R25,X)-in_val_put(S,σ,rf,q,R25,X)</f>
        <v>13.741097723988013</v>
      </c>
      <c r="U25">
        <f>BS_put($L$9,σ,rf,q,R25,X)-in_val_put($L$9,σ,rf,q,R25,X)</f>
        <v>-9.7411764727224224</v>
      </c>
      <c r="V25">
        <f t="shared" si="13"/>
        <v>0.29999999999999982</v>
      </c>
      <c r="W25">
        <f t="shared" si="5"/>
        <v>0.28901530686017907</v>
      </c>
      <c r="X25">
        <f t="shared" si="6"/>
        <v>0.2235531801181736</v>
      </c>
      <c r="AB25">
        <v>0.75</v>
      </c>
      <c r="AC25">
        <f>BS_call(S,AB25,rf,q,T,X)-in_val_call(S,AB25,rf,q,T,X)</f>
        <v>8.7351669525844216</v>
      </c>
      <c r="AD25">
        <f>BS_put(S,AB25,rf,q,T,X)-in_val_put(S,AB25,rf,q,T,X)</f>
        <v>8.4854791923304305</v>
      </c>
      <c r="AF25">
        <v>0.28999999999999998</v>
      </c>
      <c r="AG25">
        <f>BS_call(S,σ,AF25,q,T,X)-in_val_call(S,σ,AF25,q,T,X)</f>
        <v>4.195887007186542</v>
      </c>
      <c r="AH25">
        <f>BS_put(S,σ,AF25,q,T,X)-in_val_put(S,σ,AF25,q,T,X)</f>
        <v>1.808187910358555</v>
      </c>
      <c r="AJ25">
        <v>0.28999999999999998</v>
      </c>
      <c r="AK25">
        <f>BS_call(S,σ,rf,AJ25,T,X)-in_val_call(S,σ,rf,AJ25,T,X)</f>
        <v>1.8985282191922082</v>
      </c>
      <c r="AL25">
        <f>BS_put(S,σ,rf,AJ25,T,X)-in_val_put(S,σ,rf,AJ25,T,X)</f>
        <v>4.036539555766204</v>
      </c>
      <c r="AN25">
        <v>4.3</v>
      </c>
      <c r="AO25">
        <f>BS_call(S,σ,rf,q,AN25,X)-in_val_call(S,σ,rf,q,AN25,X)</f>
        <v>25.843701169429686</v>
      </c>
      <c r="AP25">
        <f>BS_put(S,σ,rf,q,AN25,X)-in_val_put(S,σ,rf,q,AN25,X)</f>
        <v>13.741097723988013</v>
      </c>
    </row>
    <row r="26" spans="1:42" ht="25.5" x14ac:dyDescent="0.25">
      <c r="A26" s="1">
        <v>16</v>
      </c>
      <c r="B26" s="1">
        <f t="shared" si="0"/>
        <v>4.1168251042306617E-143</v>
      </c>
      <c r="C26">
        <f t="shared" si="1"/>
        <v>0</v>
      </c>
      <c r="D26">
        <f t="shared" si="7"/>
        <v>4.1168251042306617E-143</v>
      </c>
      <c r="E26" s="1">
        <f t="shared" si="2"/>
        <v>83.750312239746009</v>
      </c>
      <c r="F26">
        <f t="shared" si="3"/>
        <v>84</v>
      </c>
      <c r="G26">
        <f t="shared" si="8"/>
        <v>-0.24968776025399109</v>
      </c>
      <c r="I26">
        <v>4.5999999999999996</v>
      </c>
      <c r="J26">
        <f>BS_call($J$9,σ,rf,q,I26,X)-in_val_call($J$9,σ,rf,q,I26,X)</f>
        <v>17.753503959636873</v>
      </c>
      <c r="K26">
        <f t="shared" si="15"/>
        <v>26.854781729526351</v>
      </c>
      <c r="L26">
        <f>BS_call($L$9,σ,rf,q,I26,X)-in_val_call($L$9,σ,rf,q,I26,X)</f>
        <v>2.6922858471006279</v>
      </c>
      <c r="N26">
        <f t="shared" si="10"/>
        <v>1.0546040975985989</v>
      </c>
      <c r="O26">
        <f t="shared" si="11"/>
        <v>0.98215919704698251</v>
      </c>
      <c r="P26">
        <f t="shared" si="12"/>
        <v>0.33913957747583012</v>
      </c>
      <c r="R26">
        <v>4.5999999999999996</v>
      </c>
      <c r="S26">
        <f>BS_put($J$9,σ,rf,q,R26,X)-in_val_call($J$9,σ,rf,q,R26,X)</f>
        <v>-45.136626865783271</v>
      </c>
      <c r="T26">
        <f>BS_put(S,σ,rf,q,R26,X)-in_val_put(S,σ,rf,q,R26,X)</f>
        <v>13.964650904106186</v>
      </c>
      <c r="U26">
        <f>BS_put($L$9,σ,rf,q,R26,X)-in_val_put($L$9,σ,rf,q,R26,X)</f>
        <v>-10.19784497831953</v>
      </c>
      <c r="V26">
        <f t="shared" si="13"/>
        <v>0.30000000000000071</v>
      </c>
      <c r="W26">
        <f t="shared" si="5"/>
        <v>0.2741326646506792</v>
      </c>
      <c r="X26">
        <f t="shared" si="6"/>
        <v>0.20168776409908062</v>
      </c>
      <c r="AB26">
        <v>0.8</v>
      </c>
      <c r="AC26">
        <f>BS_call(S,AB26,rf,q,T,X)-in_val_call(S,AB26,rf,q,T,X)</f>
        <v>9.306647348267056</v>
      </c>
      <c r="AD26">
        <f>BS_put(S,AB26,rf,q,T,X)-in_val_put(S,AB26,rf,q,T,X)</f>
        <v>9.056959588013072</v>
      </c>
      <c r="AF26">
        <v>0.31</v>
      </c>
      <c r="AG26">
        <f>BS_call(S,σ,AF26,q,T,X)-in_val_call(S,σ,AF26,q,T,X)</f>
        <v>4.2969680634879239</v>
      </c>
      <c r="AH26">
        <f>BS_put(S,σ,AF26,q,T,X)-in_val_put(S,σ,AF26,q,T,X)</f>
        <v>1.7467172958413641</v>
      </c>
      <c r="AJ26">
        <v>0.31</v>
      </c>
      <c r="AK26">
        <f>BS_call(S,σ,rf,AJ26,T,X)-in_val_call(S,σ,rf,AJ26,T,X)</f>
        <v>1.8349057084678435</v>
      </c>
      <c r="AL26">
        <f>BS_put(S,σ,rf,AJ26,T,X)-in_val_put(S,σ,rf,AJ26,T,X)</f>
        <v>4.1354687158604193</v>
      </c>
      <c r="AN26">
        <v>4.5999999999999996</v>
      </c>
      <c r="AO26">
        <f>BS_call(S,σ,rf,q,AN26,X)-in_val_call(S,σ,rf,q,AN26,X)</f>
        <v>26.854781729526351</v>
      </c>
      <c r="AP26">
        <f>BS_put(S,σ,rf,q,AN26,X)-in_val_put(S,σ,rf,q,AN26,X)</f>
        <v>13.964650904106186</v>
      </c>
    </row>
    <row r="27" spans="1:42" ht="25.5" x14ac:dyDescent="0.25">
      <c r="A27" s="1">
        <v>17</v>
      </c>
      <c r="B27" s="1">
        <f t="shared" si="0"/>
        <v>5.6880374562922635E-134</v>
      </c>
      <c r="C27">
        <f t="shared" si="1"/>
        <v>0</v>
      </c>
      <c r="D27">
        <f t="shared" si="7"/>
        <v>5.6880374562922635E-134</v>
      </c>
      <c r="E27" s="1">
        <f t="shared" si="2"/>
        <v>82.750312239746009</v>
      </c>
      <c r="F27">
        <f t="shared" si="3"/>
        <v>83</v>
      </c>
      <c r="G27">
        <f t="shared" si="8"/>
        <v>-0.24968776025399109</v>
      </c>
      <c r="I27">
        <v>4.9000000000000004</v>
      </c>
      <c r="J27">
        <f>BS_call($J$9,σ,rf,q,I27,X)-in_val_call($J$9,σ,rf,q,I27,X)</f>
        <v>18.808108057235472</v>
      </c>
      <c r="K27">
        <f t="shared" si="15"/>
        <v>27.836940926573334</v>
      </c>
      <c r="L27">
        <f>BS_call($L$9,σ,rf,q,I27,X)-in_val_call($L$9,σ,rf,q,I27,X)</f>
        <v>3.031425424576458</v>
      </c>
      <c r="N27">
        <f t="shared" si="10"/>
        <v>1.0333916619660073</v>
      </c>
      <c r="O27">
        <f t="shared" si="11"/>
        <v>0.95545115260938474</v>
      </c>
      <c r="P27">
        <f t="shared" si="12"/>
        <v>0.34594591917436013</v>
      </c>
      <c r="R27">
        <v>4.9000000000000004</v>
      </c>
      <c r="S27">
        <f>BS_put($J$9,σ,rf,q,R27,X)-in_val_call($J$9,σ,rf,q,R27,X)</f>
        <v>-44.862494201132591</v>
      </c>
      <c r="T27">
        <f>BS_put(S,σ,rf,q,R27,X)-in_val_put(S,σ,rf,q,R27,X)</f>
        <v>14.166338668205267</v>
      </c>
      <c r="U27">
        <f>BS_put($L$9,σ,rf,q,R27,X)-in_val_put($L$9,σ,rf,q,R27,X)</f>
        <v>-10.639176833791609</v>
      </c>
      <c r="V27">
        <f t="shared" si="13"/>
        <v>0.29999999999999982</v>
      </c>
      <c r="W27">
        <f t="shared" si="5"/>
        <v>0.25991295743591536</v>
      </c>
      <c r="X27">
        <f t="shared" si="6"/>
        <v>0.18197244807929636</v>
      </c>
      <c r="AB27">
        <v>0.85</v>
      </c>
      <c r="AC27">
        <f>BS_call(S,AB27,rf,q,T,X)-in_val_call(S,AB27,rf,q,T,X)</f>
        <v>9.8776559093403691</v>
      </c>
      <c r="AD27">
        <f>BS_put(S,AB27,rf,q,T,X)-in_val_put(S,AB27,rf,q,T,X)</f>
        <v>9.627968149086378</v>
      </c>
      <c r="AF27">
        <v>0.33</v>
      </c>
      <c r="AG27">
        <f>BS_call(S,σ,AF27,q,T,X)-in_val_call(S,σ,AF27,q,T,X)</f>
        <v>4.3993003828254658</v>
      </c>
      <c r="AH27">
        <f>BS_put(S,σ,AF27,q,T,X)-in_val_put(S,σ,AF27,q,T,X)</f>
        <v>1.6867686381708609</v>
      </c>
      <c r="AJ27">
        <v>0.33</v>
      </c>
      <c r="AK27">
        <f>BS_call(S,σ,rf,AJ27,T,X)-in_val_call(S,σ,rf,AJ27,T,X)</f>
        <v>1.7728237925593149</v>
      </c>
      <c r="AL27">
        <f>BS_put(S,σ,rf,AJ27,T,X)-in_val_put(S,σ,rf,AJ27,T,X)</f>
        <v>4.2356677769599287</v>
      </c>
      <c r="AN27">
        <v>4.9000000000000004</v>
      </c>
      <c r="AO27">
        <f>BS_call(S,σ,rf,q,AN27,X)-in_val_call(S,σ,rf,q,AN27,X)</f>
        <v>27.836940926573334</v>
      </c>
      <c r="AP27">
        <f>BS_put(S,σ,rf,q,AN27,X)-in_val_put(S,σ,rf,q,AN27,X)</f>
        <v>14.166338668205267</v>
      </c>
    </row>
    <row r="28" spans="1:42" ht="25.5" x14ac:dyDescent="0.25">
      <c r="A28" s="1">
        <v>18</v>
      </c>
      <c r="B28" s="1">
        <f t="shared" si="0"/>
        <v>1.2387844282035814E-125</v>
      </c>
      <c r="C28">
        <f t="shared" si="1"/>
        <v>0</v>
      </c>
      <c r="D28">
        <f t="shared" si="7"/>
        <v>1.2387844282035814E-125</v>
      </c>
      <c r="E28" s="1">
        <f t="shared" si="2"/>
        <v>81.750312239746009</v>
      </c>
      <c r="F28">
        <f t="shared" si="3"/>
        <v>82</v>
      </c>
      <c r="G28">
        <f t="shared" si="8"/>
        <v>-0.24968776025399109</v>
      </c>
      <c r="I28">
        <v>5.2</v>
      </c>
      <c r="J28">
        <f>BS_call($J$9,σ,rf,q,I28,X)-in_val_call($J$9,σ,rf,q,I28,X)</f>
        <v>19.841499719201479</v>
      </c>
      <c r="K28">
        <f t="shared" si="15"/>
        <v>28.792392079182719</v>
      </c>
      <c r="L28">
        <f>BS_call($L$9,σ,rf,q,I28,X)-in_val_call($L$9,σ,rf,q,I28,X)</f>
        <v>3.3773713437508182</v>
      </c>
      <c r="N28">
        <f t="shared" si="10"/>
        <v>1.0129060066291515</v>
      </c>
      <c r="O28">
        <f t="shared" si="11"/>
        <v>0.93065267968629684</v>
      </c>
      <c r="P28">
        <f t="shared" si="12"/>
        <v>0.35149263694101585</v>
      </c>
      <c r="R28">
        <v>5.2</v>
      </c>
      <c r="S28">
        <f>BS_put($J$9,σ,rf,q,R28,X)-in_val_call($J$9,σ,rf,q,R28,X)</f>
        <v>-44.602581243696676</v>
      </c>
      <c r="T28">
        <f>BS_put(S,σ,rf,q,R28,X)-in_val_put(S,σ,rf,q,R28,X)</f>
        <v>14.348311116284563</v>
      </c>
      <c r="U28">
        <f>BS_put($L$9,σ,rf,q,R28,X)-in_val_put($L$9,σ,rf,q,R28,X)</f>
        <v>-11.066709619147325</v>
      </c>
      <c r="V28">
        <f t="shared" si="13"/>
        <v>0.29999999999999982</v>
      </c>
      <c r="W28">
        <f t="shared" si="5"/>
        <v>0.2463573783188906</v>
      </c>
      <c r="X28">
        <f t="shared" si="6"/>
        <v>0.1641040513760359</v>
      </c>
      <c r="AB28">
        <v>0.9</v>
      </c>
      <c r="AC28">
        <f>BS_call(S,AB28,rf,q,T,X)-in_val_call(S,AB28,rf,q,T,X)</f>
        <v>10.448162611639113</v>
      </c>
      <c r="AD28">
        <f>BS_put(S,AB28,rf,q,T,X)-in_val_put(S,AB28,rf,q,T,X)</f>
        <v>10.198474851385129</v>
      </c>
      <c r="AF28">
        <v>0.35</v>
      </c>
      <c r="AG28">
        <f>BS_call(S,σ,AF28,q,T,X)-in_val_call(S,σ,AF28,q,T,X)</f>
        <v>4.5028686478067783</v>
      </c>
      <c r="AH28">
        <f>BS_put(S,σ,AF28,q,T,X)-in_val_put(S,σ,AF28,q,T,X)</f>
        <v>1.6283261691740663</v>
      </c>
      <c r="AJ28">
        <v>0.35</v>
      </c>
      <c r="AK28">
        <f>BS_call(S,σ,rf,AJ28,T,X)-in_val_call(S,σ,rf,AJ28,T,X)</f>
        <v>1.7122676692867671</v>
      </c>
      <c r="AL28">
        <f>BS_put(S,σ,rf,AJ28,T,X)-in_val_put(S,σ,rf,AJ28,T,X)</f>
        <v>4.3371223876654881</v>
      </c>
      <c r="AN28">
        <v>5.2</v>
      </c>
      <c r="AO28">
        <f>BS_call(S,σ,rf,q,AN28,X)-in_val_call(S,σ,rf,q,AN28,X)</f>
        <v>28.792392079182719</v>
      </c>
      <c r="AP28">
        <f>BS_put(S,σ,rf,q,AN28,X)-in_val_put(S,σ,rf,q,AN28,X)</f>
        <v>14.348311116284563</v>
      </c>
    </row>
    <row r="29" spans="1:42" ht="25.5" x14ac:dyDescent="0.25">
      <c r="A29" s="1">
        <v>19</v>
      </c>
      <c r="B29" s="1">
        <f t="shared" si="0"/>
        <v>5.3734309416647772E-118</v>
      </c>
      <c r="C29">
        <f t="shared" si="1"/>
        <v>0</v>
      </c>
      <c r="D29">
        <f t="shared" si="7"/>
        <v>5.3734309416647772E-118</v>
      </c>
      <c r="E29" s="1">
        <f t="shared" si="2"/>
        <v>80.750312239746009</v>
      </c>
      <c r="F29">
        <f t="shared" si="3"/>
        <v>81</v>
      </c>
      <c r="G29">
        <f t="shared" si="8"/>
        <v>-0.24968776025399109</v>
      </c>
      <c r="I29">
        <v>5.5</v>
      </c>
      <c r="J29">
        <f>BS_call($J$9,σ,rf,q,I29,X)-in_val_call($J$9,σ,rf,q,I29,X)</f>
        <v>20.854405725830631</v>
      </c>
      <c r="K29">
        <f t="shared" si="15"/>
        <v>29.723044758869015</v>
      </c>
      <c r="L29">
        <f>BS_call($L$9,σ,rf,q,I29,X)-in_val_call($L$9,σ,rf,q,I29,X)</f>
        <v>3.728863980691834</v>
      </c>
      <c r="N29">
        <f t="shared" si="10"/>
        <v>0.99313364668580562</v>
      </c>
      <c r="O29">
        <f t="shared" si="11"/>
        <v>0.90751675501839912</v>
      </c>
      <c r="P29">
        <f t="shared" si="12"/>
        <v>0.35596016215148296</v>
      </c>
      <c r="R29">
        <v>5.5</v>
      </c>
      <c r="S29">
        <f>BS_put($J$9,σ,rf,q,R29,X)-in_val_call($J$9,σ,rf,q,R29,X)</f>
        <v>-44.356223865377785</v>
      </c>
      <c r="T29">
        <f>BS_put(S,σ,rf,q,R29,X)-in_val_put(S,σ,rf,q,R29,X)</f>
        <v>14.512415167660599</v>
      </c>
      <c r="U29">
        <f>BS_put($L$9,σ,rf,q,R29,X)-in_val_put($L$9,σ,rf,q,R29,X)</f>
        <v>-11.48176561051659</v>
      </c>
      <c r="V29">
        <f t="shared" si="13"/>
        <v>0.29999999999999982</v>
      </c>
      <c r="W29">
        <f t="shared" si="5"/>
        <v>0.23345300373736677</v>
      </c>
      <c r="X29">
        <f t="shared" si="6"/>
        <v>0.14783611206995673</v>
      </c>
      <c r="AB29">
        <v>0.95</v>
      </c>
      <c r="AC29">
        <f>BS_call(S,AB29,rf,q,T,X)-in_val_call(S,AB29,rf,q,T,X)</f>
        <v>11.018137657921748</v>
      </c>
      <c r="AD29">
        <f>BS_put(S,AB29,rf,q,T,X)-in_val_put(S,AB29,rf,q,T,X)</f>
        <v>10.768449897667757</v>
      </c>
      <c r="AF29">
        <v>0.37</v>
      </c>
      <c r="AG29">
        <f>BS_call(S,σ,AF29,q,T,X)-in_val_call(S,σ,AF29,q,T,X)</f>
        <v>4.6076569471131066</v>
      </c>
      <c r="AH29">
        <f>BS_put(S,σ,AF29,q,T,X)-in_val_put(S,σ,AF29,q,T,X)</f>
        <v>1.5713735275022955</v>
      </c>
      <c r="AJ29">
        <v>0.37</v>
      </c>
      <c r="AK29">
        <f>BS_call(S,σ,rf,AJ29,T,X)-in_val_call(S,σ,rf,AJ29,T,X)</f>
        <v>1.6532219136112687</v>
      </c>
      <c r="AL29">
        <f>BS_put(S,σ,rf,AJ29,T,X)-in_val_put(S,σ,rf,AJ29,T,X)</f>
        <v>4.4398175729680958</v>
      </c>
      <c r="AN29">
        <v>5.5</v>
      </c>
      <c r="AO29">
        <f>BS_call(S,σ,rf,q,AN29,X)-in_val_call(S,σ,rf,q,AN29,X)</f>
        <v>29.723044758869015</v>
      </c>
      <c r="AP29">
        <f>BS_put(S,σ,rf,q,AN29,X)-in_val_put(S,σ,rf,q,AN29,X)</f>
        <v>14.512415167660599</v>
      </c>
    </row>
    <row r="30" spans="1:42" ht="25.5" x14ac:dyDescent="0.25">
      <c r="A30" s="1">
        <v>20</v>
      </c>
      <c r="B30" s="1">
        <f t="shared" si="0"/>
        <v>5.6389575593875006E-111</v>
      </c>
      <c r="C30">
        <f t="shared" si="1"/>
        <v>0</v>
      </c>
      <c r="D30">
        <f t="shared" si="7"/>
        <v>5.6389575593875006E-111</v>
      </c>
      <c r="E30" s="1">
        <f t="shared" si="2"/>
        <v>79.750312239746009</v>
      </c>
      <c r="F30">
        <f t="shared" si="3"/>
        <v>80</v>
      </c>
      <c r="G30">
        <f t="shared" si="8"/>
        <v>-0.24968776025399109</v>
      </c>
      <c r="I30">
        <v>5.8</v>
      </c>
      <c r="J30">
        <f>BS_call($J$9,σ,rf,q,I30,X)-in_val_call($J$9,σ,rf,q,I30,X)</f>
        <v>21.847539372516437</v>
      </c>
      <c r="K30">
        <f t="shared" si="15"/>
        <v>30.630561513887415</v>
      </c>
      <c r="L30">
        <f>BS_call($L$9,σ,rf,q,I30,X)-in_val_call($L$9,σ,rf,q,I30,X)</f>
        <v>4.084824142843317</v>
      </c>
      <c r="N30">
        <f t="shared" si="10"/>
        <v>0.9740526758352388</v>
      </c>
      <c r="O30">
        <f t="shared" si="11"/>
        <v>0.8858400825677748</v>
      </c>
      <c r="P30">
        <f t="shared" si="12"/>
        <v>0.3595003668748582</v>
      </c>
      <c r="R30">
        <v>5.8</v>
      </c>
      <c r="S30">
        <f>BS_put($J$9,σ,rf,q,R30,X)-in_val_call($J$9,σ,rf,q,R30,X)</f>
        <v>-44.122770861640419</v>
      </c>
      <c r="T30">
        <f>BS_put(S,σ,rf,q,R30,X)-in_val_put(S,σ,rf,q,R30,X)</f>
        <v>14.660251279730556</v>
      </c>
      <c r="U30">
        <f>BS_put($L$9,σ,rf,q,R30,X)-in_val_put($L$9,σ,rf,q,R30,X)</f>
        <v>-11.885486091313538</v>
      </c>
      <c r="V30">
        <f t="shared" si="13"/>
        <v>0.29999999999999982</v>
      </c>
      <c r="W30">
        <f t="shared" si="5"/>
        <v>0.22117848370120186</v>
      </c>
      <c r="X30">
        <f t="shared" si="6"/>
        <v>0.1329658904337272</v>
      </c>
      <c r="AB30">
        <v>1</v>
      </c>
      <c r="AC30">
        <f>BS_call(S,AB30,rf,q,T,X)-in_val_call(S,AB30,rf,q,T,X)</f>
        <v>11.587551445277938</v>
      </c>
      <c r="AD30">
        <f>BS_put(S,AB30,rf,q,T,X)-in_val_put(S,AB30,rf,q,T,X)</f>
        <v>11.337863685023947</v>
      </c>
      <c r="AF30">
        <v>0.39</v>
      </c>
      <c r="AG30">
        <f>BS_call(S,σ,AF30,q,T,X)-in_val_call(S,σ,AF30,q,T,X)</f>
        <v>4.713648797288684</v>
      </c>
      <c r="AH30">
        <f>BS_put(S,σ,AF30,q,T,X)-in_val_put(S,σ,AF30,q,T,X)</f>
        <v>1.5158937804192867</v>
      </c>
      <c r="AJ30">
        <v>0.39</v>
      </c>
      <c r="AK30">
        <f>BS_call(S,σ,rf,AJ30,T,X)-in_val_call(S,σ,rf,AJ30,T,X)</f>
        <v>1.5956704982131313</v>
      </c>
      <c r="AL30">
        <f>BS_put(S,σ,rf,AJ30,T,X)-in_val_put(S,σ,rf,AJ30,T,X)</f>
        <v>4.5437377548285411</v>
      </c>
      <c r="AN30">
        <v>5.8</v>
      </c>
      <c r="AO30">
        <f>BS_call(S,σ,rf,q,AN30,X)-in_val_call(S,σ,rf,q,AN30,X)</f>
        <v>30.630561513887415</v>
      </c>
      <c r="AP30">
        <f>BS_put(S,σ,rf,q,AN30,X)-in_val_put(S,σ,rf,q,AN30,X)</f>
        <v>14.660251279730556</v>
      </c>
    </row>
    <row r="31" spans="1:42" ht="25.5" x14ac:dyDescent="0.25">
      <c r="A31" s="1">
        <v>21</v>
      </c>
      <c r="B31" s="1">
        <f t="shared" si="0"/>
        <v>1.6855458932902894E-104</v>
      </c>
      <c r="C31">
        <f t="shared" si="1"/>
        <v>0</v>
      </c>
      <c r="D31">
        <f t="shared" si="7"/>
        <v>1.6855458932902894E-104</v>
      </c>
      <c r="E31" s="1">
        <f t="shared" si="2"/>
        <v>78.750312239746009</v>
      </c>
      <c r="F31">
        <f t="shared" si="3"/>
        <v>79</v>
      </c>
      <c r="G31">
        <f t="shared" si="8"/>
        <v>-0.24968776025399109</v>
      </c>
      <c r="I31">
        <v>6.1</v>
      </c>
      <c r="J31">
        <f>BS_call($J$9,σ,rf,q,I31,X)-in_val_call($J$9,σ,rf,q,I31,X)</f>
        <v>22.821592048351675</v>
      </c>
      <c r="K31">
        <f t="shared" si="15"/>
        <v>31.516401596455189</v>
      </c>
      <c r="L31">
        <f>BS_call($L$9,σ,rf,q,I31,X)-in_val_call($L$9,σ,rf,q,I31,X)</f>
        <v>4.4443245097181752</v>
      </c>
      <c r="N31">
        <f t="shared" si="10"/>
        <v>0.95563643591610514</v>
      </c>
      <c r="O31">
        <f t="shared" si="11"/>
        <v>0.86545356689376973</v>
      </c>
      <c r="P31">
        <f t="shared" si="12"/>
        <v>0.36224141784115282</v>
      </c>
      <c r="R31">
        <v>6.1</v>
      </c>
      <c r="S31">
        <f>BS_put($J$9,σ,rf,q,R31,X)-in_val_call($J$9,σ,rf,q,R31,X)</f>
        <v>-43.901592377939217</v>
      </c>
      <c r="T31">
        <f>BS_put(S,σ,rf,q,R31,X)-in_val_put(S,σ,rf,q,R31,X)</f>
        <v>14.793217170164283</v>
      </c>
      <c r="U31">
        <f>BS_put($L$9,σ,rf,q,R31,X)-in_val_put($L$9,σ,rf,q,R31,X)</f>
        <v>-12.278859916572728</v>
      </c>
      <c r="V31">
        <f t="shared" si="13"/>
        <v>0.30000000000000071</v>
      </c>
      <c r="W31">
        <f t="shared" si="5"/>
        <v>0.20950771137522395</v>
      </c>
      <c r="X31">
        <f t="shared" si="6"/>
        <v>0.11932484235290275</v>
      </c>
    </row>
    <row r="32" spans="1:42" ht="25.5" x14ac:dyDescent="0.25">
      <c r="A32" s="1">
        <v>22</v>
      </c>
      <c r="B32" s="1">
        <f t="shared" si="0"/>
        <v>1.6477995280587107E-98</v>
      </c>
      <c r="C32">
        <f t="shared" si="1"/>
        <v>0</v>
      </c>
      <c r="D32">
        <f t="shared" si="7"/>
        <v>1.6477995280587107E-98</v>
      </c>
      <c r="E32" s="1">
        <f t="shared" si="2"/>
        <v>77.750312239746009</v>
      </c>
      <c r="F32">
        <f t="shared" si="3"/>
        <v>78</v>
      </c>
      <c r="G32">
        <f t="shared" si="8"/>
        <v>-0.24968776025399109</v>
      </c>
      <c r="I32">
        <v>6.4</v>
      </c>
      <c r="J32">
        <f>BS_call($J$9,σ,rf,q,I32,X)-in_val_call($J$9,σ,rf,q,I32,X)</f>
        <v>23.777228484267781</v>
      </c>
      <c r="K32">
        <f t="shared" si="15"/>
        <v>32.381855163348959</v>
      </c>
      <c r="L32">
        <f>BS_call($L$9,σ,rf,q,I32,X)-in_val_call($L$9,σ,rf,q,I32,X)</f>
        <v>4.806565927559328</v>
      </c>
      <c r="N32">
        <f t="shared" si="10"/>
        <v>0.93785588839374157</v>
      </c>
      <c r="O32">
        <f t="shared" si="11"/>
        <v>0.84621521116740439</v>
      </c>
      <c r="P32">
        <f t="shared" si="12"/>
        <v>0.364291812844451</v>
      </c>
      <c r="R32">
        <v>6.4</v>
      </c>
      <c r="S32">
        <f>BS_put($J$9,σ,rf,q,R32,X)-in_val_call($J$9,σ,rf,q,R32,X)</f>
        <v>-43.692084666563993</v>
      </c>
      <c r="T32">
        <f>BS_put(S,σ,rf,q,R32,X)-in_val_put(S,σ,rf,q,R32,X)</f>
        <v>14.912542012517186</v>
      </c>
      <c r="U32">
        <f>BS_put($L$9,σ,rf,q,R32,X)-in_val_put($L$9,σ,rf,q,R32,X)</f>
        <v>-12.66274722327244</v>
      </c>
      <c r="V32">
        <f t="shared" si="13"/>
        <v>0.29999999999999982</v>
      </c>
      <c r="W32">
        <f t="shared" si="5"/>
        <v>0.19841219461144988</v>
      </c>
      <c r="X32">
        <f t="shared" si="6"/>
        <v>0.10677151738513047</v>
      </c>
    </row>
    <row r="33" spans="1:24" ht="25.5" x14ac:dyDescent="0.25">
      <c r="A33" s="1">
        <v>23</v>
      </c>
      <c r="B33" s="1">
        <f t="shared" si="0"/>
        <v>5.9279466594933649E-93</v>
      </c>
      <c r="C33">
        <f t="shared" si="1"/>
        <v>0</v>
      </c>
      <c r="D33">
        <f t="shared" si="7"/>
        <v>5.9279466594933649E-93</v>
      </c>
      <c r="E33" s="1">
        <f t="shared" si="2"/>
        <v>76.750312239746009</v>
      </c>
      <c r="F33">
        <f t="shared" si="3"/>
        <v>77</v>
      </c>
      <c r="G33">
        <f t="shared" si="8"/>
        <v>-0.24968776025399109</v>
      </c>
      <c r="I33">
        <v>6.7</v>
      </c>
      <c r="J33">
        <f>BS_call($J$9,σ,rf,q,I33,X)-in_val_call($J$9,σ,rf,q,I33,X)</f>
        <v>24.715084372661522</v>
      </c>
      <c r="K33">
        <f t="shared" si="15"/>
        <v>33.228070374516363</v>
      </c>
      <c r="L33">
        <f>BS_call($L$9,σ,rf,q,I33,X)-in_val_call($L$9,σ,rf,q,I33,X)</f>
        <v>5.170857740403779</v>
      </c>
      <c r="N33">
        <f t="shared" si="10"/>
        <v>0.92068114229645914</v>
      </c>
      <c r="O33">
        <f t="shared" si="11"/>
        <v>0.82800474199232355</v>
      </c>
      <c r="P33">
        <f t="shared" si="12"/>
        <v>0.36574370998062378</v>
      </c>
      <c r="R33">
        <v>6.7</v>
      </c>
      <c r="S33">
        <f>BS_put($J$9,σ,rf,q,R33,X)-in_val_call($J$9,σ,rf,q,R33,X)</f>
        <v>-43.493672471952543</v>
      </c>
      <c r="T33">
        <f>BS_put(S,σ,rf,q,R33,X)-in_val_put(S,σ,rf,q,R33,X)</f>
        <v>15.019313529902316</v>
      </c>
      <c r="U33">
        <f>BS_put($L$9,σ,rf,q,R33,X)-in_val_put($L$9,σ,rf,q,R33,X)</f>
        <v>-13.037899104210283</v>
      </c>
      <c r="V33">
        <f t="shared" si="13"/>
        <v>0.29999999999999982</v>
      </c>
      <c r="W33">
        <f t="shared" si="5"/>
        <v>0.18786258392924537</v>
      </c>
      <c r="X33">
        <f t="shared" si="6"/>
        <v>9.5186183625081355E-2</v>
      </c>
    </row>
    <row r="34" spans="1:24" ht="25.5" x14ac:dyDescent="0.25">
      <c r="A34" s="1">
        <v>24</v>
      </c>
      <c r="B34" s="1">
        <f t="shared" si="0"/>
        <v>8.6844658313486446E-88</v>
      </c>
      <c r="C34">
        <f t="shared" si="1"/>
        <v>0</v>
      </c>
      <c r="D34">
        <f t="shared" si="7"/>
        <v>8.6844658313486446E-88</v>
      </c>
      <c r="E34" s="1">
        <f t="shared" si="2"/>
        <v>75.750312239746009</v>
      </c>
      <c r="F34">
        <f t="shared" si="3"/>
        <v>76</v>
      </c>
      <c r="G34">
        <f t="shared" si="8"/>
        <v>-0.24968776025399109</v>
      </c>
      <c r="I34">
        <v>7</v>
      </c>
      <c r="J34">
        <f>BS_call($J$9,σ,rf,q,I34,X)-in_val_call($J$9,σ,rf,q,I34,X)</f>
        <v>25.635765514957981</v>
      </c>
      <c r="K34">
        <f t="shared" si="15"/>
        <v>34.056075116508687</v>
      </c>
      <c r="L34">
        <f>BS_call($L$9,σ,rf,q,I34,X)-in_val_call($L$9,σ,rf,q,I34,X)</f>
        <v>5.5366014503844028</v>
      </c>
      <c r="N34">
        <f t="shared" si="10"/>
        <v>0.90408242891096791</v>
      </c>
      <c r="O34">
        <f t="shared" si="11"/>
        <v>0.81071948527656446</v>
      </c>
      <c r="P34">
        <f t="shared" si="12"/>
        <v>0.36667566324838319</v>
      </c>
      <c r="R34">
        <v>7</v>
      </c>
      <c r="S34">
        <f>BS_put($J$9,σ,rf,q,R34,X)-in_val_call($J$9,σ,rf,q,R34,X)</f>
        <v>-43.305809888023298</v>
      </c>
      <c r="T34">
        <f>BS_put(S,σ,rf,q,R34,X)-in_val_put(S,σ,rf,q,R34,X)</f>
        <v>15.114499713527398</v>
      </c>
      <c r="U34">
        <f>BS_put($L$9,σ,rf,q,R34,X)-in_val_put($L$9,σ,rf,q,R34,X)</f>
        <v>-13.404973952596876</v>
      </c>
      <c r="V34">
        <f t="shared" si="13"/>
        <v>0.29999999999999982</v>
      </c>
      <c r="W34">
        <f t="shared" si="5"/>
        <v>0.17782964725490302</v>
      </c>
      <c r="X34">
        <f t="shared" si="6"/>
        <v>8.4466703620517336E-2</v>
      </c>
    </row>
    <row r="35" spans="1:24" ht="25.5" x14ac:dyDescent="0.25">
      <c r="A35" s="1">
        <v>25</v>
      </c>
      <c r="B35" s="1">
        <f t="shared" si="0"/>
        <v>5.6555002197659841E-83</v>
      </c>
      <c r="C35">
        <f t="shared" si="1"/>
        <v>0</v>
      </c>
      <c r="D35">
        <f t="shared" si="7"/>
        <v>5.6555002197659841E-83</v>
      </c>
      <c r="E35" s="1">
        <f t="shared" si="2"/>
        <v>74.750312239746009</v>
      </c>
      <c r="F35">
        <f t="shared" si="3"/>
        <v>75</v>
      </c>
      <c r="G35">
        <f t="shared" si="8"/>
        <v>-0.24968776025399109</v>
      </c>
      <c r="I35">
        <v>7.3</v>
      </c>
      <c r="J35">
        <f>BS_call($J$9,σ,rf,q,I35,X)-in_val_call($J$9,σ,rf,q,I35,X)</f>
        <v>26.539847943868949</v>
      </c>
      <c r="K35">
        <f t="shared" si="15"/>
        <v>34.866794601785251</v>
      </c>
      <c r="L35">
        <f>BS_call($L$9,σ,rf,q,I35,X)-in_val_call($L$9,σ,rf,q,I35,X)</f>
        <v>5.903277113632786</v>
      </c>
      <c r="N35">
        <f t="shared" si="10"/>
        <v>0.88803071120665322</v>
      </c>
      <c r="O35">
        <f t="shared" si="11"/>
        <v>0.7942711626025698</v>
      </c>
      <c r="P35">
        <f t="shared" si="12"/>
        <v>0.3671548679559038</v>
      </c>
      <c r="R35">
        <v>7.3</v>
      </c>
      <c r="S35">
        <f>BS_put($J$9,σ,rf,q,R35,X)-in_val_call($J$9,σ,rf,q,R35,X)</f>
        <v>-43.127980240768395</v>
      </c>
      <c r="T35">
        <f>BS_put(S,σ,rf,q,R35,X)-in_val_put(S,σ,rf,q,R35,X)</f>
        <v>15.198966417147915</v>
      </c>
      <c r="U35">
        <f>BS_put($L$9,σ,rf,q,R35,X)-in_val_put($L$9,σ,rf,q,R35,X)</f>
        <v>-13.764551071004554</v>
      </c>
      <c r="V35">
        <f t="shared" si="13"/>
        <v>0.29999999999999982</v>
      </c>
      <c r="W35">
        <f t="shared" si="5"/>
        <v>0.16828487938938252</v>
      </c>
      <c r="X35">
        <f t="shared" si="6"/>
        <v>7.4525330785281341E-2</v>
      </c>
    </row>
    <row r="36" spans="1:24" ht="25.5" x14ac:dyDescent="0.25">
      <c r="A36" s="1">
        <v>26</v>
      </c>
      <c r="B36" s="1">
        <f t="shared" si="0"/>
        <v>1.7667897949250718E-78</v>
      </c>
      <c r="C36">
        <f t="shared" si="1"/>
        <v>0</v>
      </c>
      <c r="D36">
        <f t="shared" si="7"/>
        <v>1.7667897949250718E-78</v>
      </c>
      <c r="E36" s="1">
        <f t="shared" si="2"/>
        <v>73.750312239746009</v>
      </c>
      <c r="F36">
        <f t="shared" si="3"/>
        <v>74</v>
      </c>
      <c r="G36">
        <f t="shared" si="8"/>
        <v>-0.24968776025399109</v>
      </c>
      <c r="I36">
        <v>7.6</v>
      </c>
      <c r="J36">
        <f>BS_call($J$9,σ,rf,q,I36,X)-in_val_call($J$9,σ,rf,q,I36,X)</f>
        <v>27.427878655075602</v>
      </c>
      <c r="K36">
        <f t="shared" si="15"/>
        <v>35.661065764387821</v>
      </c>
      <c r="L36">
        <f>BS_call($L$9,σ,rf,q,I36,X)-in_val_call($L$9,σ,rf,q,I36,X)</f>
        <v>6.2704319815886898</v>
      </c>
      <c r="N36">
        <f t="shared" si="10"/>
        <v>0.87249805113179946</v>
      </c>
      <c r="O36">
        <f t="shared" si="11"/>
        <v>0.7785833744548043</v>
      </c>
      <c r="P36">
        <f t="shared" si="12"/>
        <v>0.36723900496632567</v>
      </c>
      <c r="R36">
        <v>7.6</v>
      </c>
      <c r="S36">
        <f>BS_put($J$9,σ,rf,q,R36,X)-in_val_call($J$9,σ,rf,q,R36,X)</f>
        <v>-42.959695361379012</v>
      </c>
      <c r="T36">
        <f>BS_put(S,σ,rf,q,R36,X)-in_val_put(S,σ,rf,q,R36,X)</f>
        <v>15.273491747933196</v>
      </c>
      <c r="U36">
        <f>BS_put($L$9,σ,rf,q,R36,X)-in_val_put($L$9,σ,rf,q,R36,X)</f>
        <v>-14.117142034865935</v>
      </c>
      <c r="V36">
        <f t="shared" si="13"/>
        <v>0.30000000000000071</v>
      </c>
      <c r="W36">
        <f t="shared" si="5"/>
        <v>0.15920086934737299</v>
      </c>
      <c r="X36">
        <f t="shared" si="6"/>
        <v>6.5286192670406251E-2</v>
      </c>
    </row>
    <row r="37" spans="1:24" ht="25.5" x14ac:dyDescent="0.25">
      <c r="A37" s="1">
        <v>27</v>
      </c>
      <c r="B37" s="1">
        <f t="shared" si="0"/>
        <v>2.8302786720480915E-74</v>
      </c>
      <c r="C37">
        <f t="shared" si="1"/>
        <v>0</v>
      </c>
      <c r="D37">
        <f t="shared" si="7"/>
        <v>2.8302786720480915E-74</v>
      </c>
      <c r="E37" s="1">
        <f t="shared" si="2"/>
        <v>72.750312239746009</v>
      </c>
      <c r="F37">
        <f t="shared" si="3"/>
        <v>73</v>
      </c>
      <c r="G37">
        <f t="shared" si="8"/>
        <v>-0.24968776025399109</v>
      </c>
      <c r="I37">
        <v>7.9</v>
      </c>
      <c r="J37">
        <f>BS_call($J$9,σ,rf,q,I37,X)-in_val_call($J$9,σ,rf,q,I37,X)</f>
        <v>28.300376706207402</v>
      </c>
      <c r="K37">
        <f t="shared" si="15"/>
        <v>36.439649138842626</v>
      </c>
      <c r="L37">
        <f>BS_call($L$9,σ,rf,q,I37,X)-in_val_call($L$9,σ,rf,q,I37,X)</f>
        <v>6.6376709865550154</v>
      </c>
      <c r="N37">
        <f t="shared" si="10"/>
        <v>0.85745781627238671</v>
      </c>
      <c r="O37">
        <f t="shared" si="11"/>
        <v>0.7635896025733615</v>
      </c>
      <c r="P37">
        <f t="shared" si="12"/>
        <v>0.36697775811881961</v>
      </c>
      <c r="R37">
        <v>7.9</v>
      </c>
      <c r="S37">
        <f>BS_put($J$9,σ,rf,q,R37,X)-in_val_call($J$9,σ,rf,q,R37,X)</f>
        <v>-42.800494492031639</v>
      </c>
      <c r="T37">
        <f>BS_put(S,σ,rf,q,R37,X)-in_val_put(S,σ,rf,q,R37,X)</f>
        <v>15.338777940603602</v>
      </c>
      <c r="U37">
        <f>BS_put($L$9,σ,rf,q,R37,X)-in_val_put($L$9,σ,rf,q,R37,X)</f>
        <v>-14.463200211684011</v>
      </c>
      <c r="V37">
        <f t="shared" si="13"/>
        <v>0.29999999999999893</v>
      </c>
      <c r="W37">
        <f t="shared" si="5"/>
        <v>0.15055150705915565</v>
      </c>
      <c r="X37">
        <f t="shared" si="6"/>
        <v>5.6683293360119791E-2</v>
      </c>
    </row>
    <row r="38" spans="1:24" ht="25.5" x14ac:dyDescent="0.25">
      <c r="A38" s="1">
        <v>28</v>
      </c>
      <c r="B38" s="1">
        <f t="shared" si="0"/>
        <v>2.465152741479871E-70</v>
      </c>
      <c r="C38">
        <f t="shared" si="1"/>
        <v>0</v>
      </c>
      <c r="D38">
        <f t="shared" si="7"/>
        <v>2.465152741479871E-70</v>
      </c>
      <c r="E38" s="1">
        <f t="shared" si="2"/>
        <v>71.750312239746009</v>
      </c>
      <c r="F38">
        <f t="shared" si="3"/>
        <v>72</v>
      </c>
      <c r="G38">
        <f t="shared" si="8"/>
        <v>-0.24968776025399109</v>
      </c>
      <c r="I38">
        <v>8.1999999999999993</v>
      </c>
      <c r="J38">
        <f>BS_call($J$9,σ,rf,q,I38,X)-in_val_call($J$9,σ,rf,q,I38,X)</f>
        <v>29.157834522479789</v>
      </c>
      <c r="K38">
        <f t="shared" si="15"/>
        <v>37.203238741415987</v>
      </c>
      <c r="L38">
        <f>BS_call($L$9,σ,rf,q,I38,X)-in_val_call($L$9,σ,rf,q,I38,X)</f>
        <v>7.004648744673835</v>
      </c>
      <c r="N38">
        <f t="shared" si="10"/>
        <v>0.84288478025032987</v>
      </c>
      <c r="O38">
        <f t="shared" si="11"/>
        <v>0.74923160928936738</v>
      </c>
      <c r="P38">
        <f t="shared" si="12"/>
        <v>0.36641406583783365</v>
      </c>
      <c r="R38">
        <v>8.1999999999999993</v>
      </c>
      <c r="S38">
        <f>BS_put($J$9,σ,rf,q,R38,X)-in_val_call($J$9,σ,rf,q,R38,X)</f>
        <v>-42.649942984972483</v>
      </c>
      <c r="T38">
        <f>BS_put(S,σ,rf,q,R38,X)-in_val_put(S,σ,rf,q,R38,X)</f>
        <v>15.395461233963722</v>
      </c>
      <c r="U38">
        <f>BS_put($L$9,σ,rf,q,R38,X)-in_val_put($L$9,σ,rf,q,R38,X)</f>
        <v>-14.803128762778442</v>
      </c>
      <c r="V38">
        <f t="shared" si="13"/>
        <v>0.30000000000000071</v>
      </c>
      <c r="W38">
        <f t="shared" si="5"/>
        <v>0.14231208381069393</v>
      </c>
      <c r="X38">
        <f t="shared" si="6"/>
        <v>4.8658912849727898E-2</v>
      </c>
    </row>
    <row r="39" spans="1:24" ht="25.5" x14ac:dyDescent="0.25">
      <c r="A39" s="1">
        <v>29</v>
      </c>
      <c r="B39" s="1">
        <f t="shared" si="0"/>
        <v>1.2293965756117366E-66</v>
      </c>
      <c r="C39">
        <f t="shared" si="1"/>
        <v>0</v>
      </c>
      <c r="D39">
        <f t="shared" si="7"/>
        <v>1.2293965756117366E-66</v>
      </c>
      <c r="E39" s="1">
        <f t="shared" si="2"/>
        <v>70.750312239746009</v>
      </c>
      <c r="F39">
        <f t="shared" si="3"/>
        <v>71</v>
      </c>
      <c r="G39">
        <f t="shared" si="8"/>
        <v>-0.24968776025399109</v>
      </c>
      <c r="I39">
        <v>8.5</v>
      </c>
      <c r="J39">
        <f>BS_call($J$9,σ,rf,q,I39,X)-in_val_call($J$9,σ,rf,q,I39,X)</f>
        <v>30.000719302730118</v>
      </c>
      <c r="K39">
        <f t="shared" si="15"/>
        <v>37.952470350705354</v>
      </c>
      <c r="L39">
        <f>BS_call($L$9,σ,rf,q,I39,X)-in_val_call($L$9,σ,rf,q,I39,X)</f>
        <v>7.3710628105116687</v>
      </c>
      <c r="N39">
        <f t="shared" si="10"/>
        <v>0.82875515338386663</v>
      </c>
      <c r="O39">
        <f t="shared" si="11"/>
        <v>0.7354581437274561</v>
      </c>
      <c r="P39">
        <f t="shared" si="12"/>
        <v>0.36558515652765422</v>
      </c>
      <c r="R39">
        <v>8.5</v>
      </c>
      <c r="S39">
        <f>BS_put($J$9,σ,rf,q,R39,X)-in_val_call($J$9,σ,rf,q,R39,X)</f>
        <v>-42.507630901161789</v>
      </c>
      <c r="T39">
        <f>BS_put(S,σ,rf,q,R39,X)-in_val_put(S,σ,rf,q,R39,X)</f>
        <v>15.44412014681345</v>
      </c>
      <c r="U39">
        <f>BS_put($L$9,σ,rf,q,R39,X)-in_val_put($L$9,σ,rf,q,R39,X)</f>
        <v>-15.137287393380241</v>
      </c>
      <c r="V39">
        <f t="shared" si="13"/>
        <v>0.30000000000000071</v>
      </c>
      <c r="W39">
        <f t="shared" si="5"/>
        <v>0.13445932294638396</v>
      </c>
      <c r="X39">
        <f t="shared" si="6"/>
        <v>4.1162313289959229E-2</v>
      </c>
    </row>
    <row r="40" spans="1:24" ht="25.5" x14ac:dyDescent="0.25">
      <c r="A40" s="1">
        <v>30</v>
      </c>
      <c r="B40" s="1">
        <f t="shared" si="0"/>
        <v>3.6753096844530501E-63</v>
      </c>
      <c r="C40">
        <f t="shared" si="1"/>
        <v>0</v>
      </c>
      <c r="D40">
        <f t="shared" si="7"/>
        <v>3.6753096844530501E-63</v>
      </c>
      <c r="E40" s="1">
        <f t="shared" si="2"/>
        <v>69.750312239746009</v>
      </c>
      <c r="F40">
        <f t="shared" si="3"/>
        <v>70</v>
      </c>
      <c r="G40">
        <f t="shared" si="8"/>
        <v>-0.24968776025399109</v>
      </c>
      <c r="I40">
        <v>8.8000000000000007</v>
      </c>
      <c r="J40">
        <f>BS_call($J$9,σ,rf,q,I40,X)-in_val_call($J$9,σ,rf,q,I40,X)</f>
        <v>30.829474456113985</v>
      </c>
      <c r="K40">
        <f t="shared" si="15"/>
        <v>38.687928494432811</v>
      </c>
      <c r="L40">
        <f>BS_call($L$9,σ,rf,q,I40,X)-in_val_call($L$9,σ,rf,q,I40,X)</f>
        <v>7.7366479670393229</v>
      </c>
      <c r="N40">
        <f t="shared" si="10"/>
        <v>0.81504656825867983</v>
      </c>
      <c r="O40">
        <f t="shared" si="11"/>
        <v>0.72222388758800093</v>
      </c>
      <c r="P40">
        <f t="shared" si="12"/>
        <v>0.3645234078647146</v>
      </c>
      <c r="R40">
        <v>8.8000000000000007</v>
      </c>
      <c r="S40">
        <f>BS_put($J$9,σ,rf,q,R40,X)-in_val_call($J$9,σ,rf,q,R40,X)</f>
        <v>-42.373171578215405</v>
      </c>
      <c r="T40">
        <f>BS_put(S,σ,rf,q,R40,X)-in_val_put(S,σ,rf,q,R40,X)</f>
        <v>15.485282460103409</v>
      </c>
      <c r="U40">
        <f>BS_put($L$9,σ,rf,q,R40,X)-in_val_put($L$9,σ,rf,q,R40,X)</f>
        <v>-15.465998067290066</v>
      </c>
      <c r="V40">
        <f t="shared" si="13"/>
        <v>0.29999999999999893</v>
      </c>
      <c r="W40">
        <f t="shared" si="5"/>
        <v>0.1269713654814808</v>
      </c>
      <c r="X40">
        <f t="shared" si="6"/>
        <v>3.4148684810830332E-2</v>
      </c>
    </row>
    <row r="41" spans="1:24" ht="25.5" x14ac:dyDescent="0.25">
      <c r="A41" s="1">
        <v>31</v>
      </c>
      <c r="B41" s="1">
        <f t="shared" si="0"/>
        <v>6.8609715464515877E-60</v>
      </c>
      <c r="C41">
        <f t="shared" si="1"/>
        <v>0</v>
      </c>
      <c r="D41">
        <f t="shared" si="7"/>
        <v>6.8609715464515877E-60</v>
      </c>
      <c r="E41" s="1">
        <f t="shared" si="2"/>
        <v>68.750312239746009</v>
      </c>
      <c r="F41">
        <f t="shared" si="3"/>
        <v>69</v>
      </c>
      <c r="G41">
        <f t="shared" si="8"/>
        <v>-0.24968776025399109</v>
      </c>
      <c r="I41">
        <v>9.1</v>
      </c>
      <c r="J41">
        <f>BS_call($J$9,σ,rf,q,I41,X)-in_val_call($J$9,σ,rf,q,I41,X)</f>
        <v>31.644521024372665</v>
      </c>
      <c r="K41">
        <f t="shared" si="15"/>
        <v>39.410152382020812</v>
      </c>
      <c r="L41">
        <f>BS_call($L$9,σ,rf,q,I41,X)-in_val_call($L$9,σ,rf,q,I41,X)</f>
        <v>8.1011713749040375</v>
      </c>
      <c r="N41">
        <f t="shared" si="10"/>
        <v>0.80173803688667533</v>
      </c>
      <c r="O41">
        <f t="shared" si="11"/>
        <v>0.70948858970491813</v>
      </c>
      <c r="P41">
        <f t="shared" si="12"/>
        <v>0.36325706235657407</v>
      </c>
      <c r="R41">
        <v>9.1</v>
      </c>
      <c r="S41">
        <f>BS_put($J$9,σ,rf,q,R41,X)-in_val_call($J$9,σ,rf,q,R41,X)</f>
        <v>-42.246200212733925</v>
      </c>
      <c r="T41">
        <f>BS_put(S,σ,rf,q,R41,X)-in_val_put(S,σ,rf,q,R41,X)</f>
        <v>15.51943114491424</v>
      </c>
      <c r="U41">
        <f>BS_put($L$9,σ,rf,q,R41,X)-in_val_put($L$9,σ,rf,q,R41,X)</f>
        <v>-15.789549862202534</v>
      </c>
      <c r="V41">
        <f t="shared" si="13"/>
        <v>0.30000000000000071</v>
      </c>
      <c r="W41">
        <f t="shared" si="5"/>
        <v>0.11982772730217306</v>
      </c>
      <c r="X41">
        <f t="shared" si="6"/>
        <v>2.7578280120387433E-2</v>
      </c>
    </row>
    <row r="42" spans="1:24" ht="25.5" x14ac:dyDescent="0.25">
      <c r="A42" s="1">
        <v>32</v>
      </c>
      <c r="B42" s="1">
        <f t="shared" si="0"/>
        <v>8.2950178300546108E-57</v>
      </c>
      <c r="C42">
        <f t="shared" si="1"/>
        <v>0</v>
      </c>
      <c r="D42">
        <f t="shared" si="7"/>
        <v>8.2950178300546108E-57</v>
      </c>
      <c r="E42" s="1">
        <f t="shared" si="2"/>
        <v>67.750312239746009</v>
      </c>
      <c r="F42">
        <f t="shared" si="3"/>
        <v>68</v>
      </c>
      <c r="G42">
        <f t="shared" si="8"/>
        <v>-0.24968776025399109</v>
      </c>
      <c r="I42">
        <v>9.4</v>
      </c>
      <c r="J42">
        <f>BS_call($J$9,σ,rf,q,I42,X)-in_val_call($J$9,σ,rf,q,I42,X)</f>
        <v>32.44625906125934</v>
      </c>
      <c r="K42">
        <f t="shared" si="15"/>
        <v>40.11964097172573</v>
      </c>
      <c r="L42">
        <f>BS_call($L$9,σ,rf,q,I42,X)-in_val_call($L$9,σ,rf,q,I42,X)</f>
        <v>8.4644284372606116</v>
      </c>
      <c r="N42">
        <f t="shared" si="10"/>
        <v>0.7888098907405805</v>
      </c>
      <c r="O42">
        <f t="shared" si="11"/>
        <v>0.69721635062433052</v>
      </c>
      <c r="P42">
        <f t="shared" si="12"/>
        <v>0.36181082527822461</v>
      </c>
      <c r="R42">
        <v>9.4</v>
      </c>
      <c r="S42">
        <f>BS_put($J$9,σ,rf,q,R42,X)-in_val_call($J$9,σ,rf,q,R42,X)</f>
        <v>-42.126372485431752</v>
      </c>
      <c r="T42">
        <f>BS_put(S,σ,rf,q,R42,X)-in_val_put(S,σ,rf,q,R42,X)</f>
        <v>15.547009425034627</v>
      </c>
      <c r="U42">
        <f>BS_put($L$9,σ,rf,q,R42,X)-in_val_put($L$9,σ,rf,q,R42,X)</f>
        <v>-16.108203109430491</v>
      </c>
      <c r="V42">
        <f t="shared" si="13"/>
        <v>0.29999999999999893</v>
      </c>
      <c r="W42">
        <f t="shared" si="5"/>
        <v>0.11300923924078177</v>
      </c>
      <c r="X42">
        <f t="shared" si="6"/>
        <v>2.1415699124538889E-2</v>
      </c>
    </row>
    <row r="43" spans="1:24" ht="25.5" x14ac:dyDescent="0.25">
      <c r="A43" s="1">
        <v>33</v>
      </c>
      <c r="B43" s="1">
        <f t="shared" ref="B43:B74" si="16">BS_call(A43,σ,rf,q,T,X)</f>
        <v>6.7112551073779547E-54</v>
      </c>
      <c r="C43">
        <f t="shared" ref="C43:C74" si="17">in_val_call(A43,σ,rf,q,T,X)</f>
        <v>0</v>
      </c>
      <c r="D43">
        <f t="shared" si="7"/>
        <v>6.7112551073779547E-54</v>
      </c>
      <c r="E43" s="1">
        <f t="shared" ref="E43:E74" si="18">BS_put(A43,σ,rf,q,T,X)</f>
        <v>66.750312239746009</v>
      </c>
      <c r="F43">
        <f t="shared" ref="F43:F74" si="19">in_val_put(A43,σ,rf,q,T,X)</f>
        <v>67</v>
      </c>
      <c r="G43">
        <f t="shared" si="8"/>
        <v>-0.24968776025399109</v>
      </c>
      <c r="I43">
        <v>9.6999999999999993</v>
      </c>
      <c r="J43">
        <f>BS_call($J$9,σ,rf,q,I43,X)-in_val_call($J$9,σ,rf,q,I43,X)</f>
        <v>33.235068951999921</v>
      </c>
      <c r="K43">
        <f t="shared" si="15"/>
        <v>40.81685732235006</v>
      </c>
      <c r="L43">
        <f>BS_call($L$9,σ,rf,q,I43,X)-in_val_call($L$9,σ,rf,q,I43,X)</f>
        <v>8.8262392625388362</v>
      </c>
      <c r="N43">
        <f>J44-J43</f>
        <v>0.77624371128342773</v>
      </c>
      <c r="O43">
        <f t="shared" si="11"/>
        <v>0.68537502735802036</v>
      </c>
      <c r="P43">
        <f t="shared" si="12"/>
        <v>0.36020636606686551</v>
      </c>
      <c r="R43">
        <v>9.6999999999999993</v>
      </c>
      <c r="S43">
        <f>BS_put($J$9,σ,rf,q,R43,X)-in_val_call($J$9,σ,rf,q,R43,X)</f>
        <v>-42.01336324619097</v>
      </c>
      <c r="T43">
        <f>BS_put(S,σ,rf,q,R43,X)-in_val_put(S,σ,rf,q,R43,X)</f>
        <v>15.568425124159166</v>
      </c>
      <c r="U43">
        <f>BS_put($L$9,σ,rf,q,R43,X)-in_val_put($L$9,σ,rf,q,R43,X)</f>
        <v>-16.422192935652063</v>
      </c>
      <c r="V43">
        <f>R44-R43</f>
        <v>0.30000000000000071</v>
      </c>
      <c r="W43">
        <f t="shared" si="5"/>
        <v>0.10649797764610724</v>
      </c>
      <c r="X43">
        <f t="shared" si="6"/>
        <v>1.5629293720706983E-2</v>
      </c>
    </row>
    <row r="44" spans="1:24" ht="25.5" x14ac:dyDescent="0.25">
      <c r="A44" s="1">
        <v>34</v>
      </c>
      <c r="B44" s="1">
        <f t="shared" si="16"/>
        <v>3.7422657304795064E-51</v>
      </c>
      <c r="C44">
        <f t="shared" si="17"/>
        <v>0</v>
      </c>
      <c r="D44">
        <f t="shared" si="7"/>
        <v>3.7422657304795064E-51</v>
      </c>
      <c r="E44" s="1">
        <f t="shared" si="18"/>
        <v>65.750312239746009</v>
      </c>
      <c r="F44">
        <f t="shared" si="19"/>
        <v>66</v>
      </c>
      <c r="G44">
        <f t="shared" si="8"/>
        <v>-0.24968776025399109</v>
      </c>
      <c r="I44">
        <v>10</v>
      </c>
      <c r="J44">
        <f>BS_call($J$9,σ,rf,q,I44,X)-in_val_call($J$9,σ,rf,q,I44,X)</f>
        <v>34.011312663283348</v>
      </c>
      <c r="K44">
        <f t="shared" si="15"/>
        <v>41.502232349708081</v>
      </c>
      <c r="L44">
        <f>BS_call($L$9,σ,rf,q,I44,X)-in_val_call($L$9,σ,rf,q,I44,X)</f>
        <v>9.1864456286057017</v>
      </c>
      <c r="R44">
        <v>10</v>
      </c>
      <c r="S44">
        <f>BS_put($J$9,σ,rf,q,R44,X)-in_val_call($J$9,σ,rf,q,R44,X)</f>
        <v>-41.906865268544863</v>
      </c>
      <c r="T44">
        <f>BS_put(S,σ,rf,q,R44,X)-in_val_put(S,σ,rf,q,R44,X)</f>
        <v>15.584054417879873</v>
      </c>
      <c r="U44">
        <f>BS_put($L$9,σ,rf,q,R44,X)-in_val_put($L$9,σ,rf,q,R44,X)</f>
        <v>-16.731732303222515</v>
      </c>
    </row>
    <row r="45" spans="1:24" ht="25.5" x14ac:dyDescent="0.25">
      <c r="A45" s="1">
        <v>35</v>
      </c>
      <c r="B45" s="1">
        <f t="shared" si="16"/>
        <v>1.4769067683127228E-48</v>
      </c>
      <c r="C45">
        <f t="shared" si="17"/>
        <v>0</v>
      </c>
      <c r="D45">
        <f t="shared" si="7"/>
        <v>1.4769067683127228E-48</v>
      </c>
      <c r="E45" s="1">
        <f t="shared" si="18"/>
        <v>64.750312239746009</v>
      </c>
      <c r="F45">
        <f t="shared" si="19"/>
        <v>65</v>
      </c>
      <c r="G45">
        <f t="shared" si="8"/>
        <v>-0.24968776025399109</v>
      </c>
    </row>
    <row r="46" spans="1:24" ht="25.5" x14ac:dyDescent="0.25">
      <c r="A46" s="1">
        <v>36</v>
      </c>
      <c r="B46" s="1">
        <f t="shared" si="16"/>
        <v>4.2257852929402689E-46</v>
      </c>
      <c r="C46">
        <f t="shared" si="17"/>
        <v>0</v>
      </c>
      <c r="D46">
        <f t="shared" si="7"/>
        <v>4.2257852929402689E-46</v>
      </c>
      <c r="E46" s="1">
        <f t="shared" si="18"/>
        <v>63.750312239746009</v>
      </c>
      <c r="F46">
        <f t="shared" si="19"/>
        <v>64</v>
      </c>
      <c r="G46">
        <f t="shared" si="8"/>
        <v>-0.24968776025399109</v>
      </c>
    </row>
    <row r="47" spans="1:24" ht="25.5" x14ac:dyDescent="0.25">
      <c r="A47" s="1">
        <v>37</v>
      </c>
      <c r="B47" s="1">
        <f t="shared" si="16"/>
        <v>8.9594408132178467E-44</v>
      </c>
      <c r="C47">
        <f t="shared" si="17"/>
        <v>0</v>
      </c>
      <c r="D47">
        <f t="shared" si="7"/>
        <v>8.9594408132178467E-44</v>
      </c>
      <c r="E47" s="1">
        <f t="shared" si="18"/>
        <v>62.750312239746009</v>
      </c>
      <c r="F47">
        <f t="shared" si="19"/>
        <v>63</v>
      </c>
      <c r="G47">
        <f t="shared" si="8"/>
        <v>-0.24968776025399109</v>
      </c>
    </row>
    <row r="48" spans="1:24" ht="25.5" x14ac:dyDescent="0.25">
      <c r="A48" s="1">
        <v>38</v>
      </c>
      <c r="B48" s="1">
        <f t="shared" si="16"/>
        <v>1.4358303465119582E-41</v>
      </c>
      <c r="C48">
        <f t="shared" si="17"/>
        <v>0</v>
      </c>
      <c r="D48">
        <f t="shared" si="7"/>
        <v>1.4358303465119582E-41</v>
      </c>
      <c r="E48" s="1">
        <f t="shared" si="18"/>
        <v>61.750312239746009</v>
      </c>
      <c r="F48">
        <f t="shared" si="19"/>
        <v>62</v>
      </c>
      <c r="G48">
        <f t="shared" si="8"/>
        <v>-0.24968776025399109</v>
      </c>
    </row>
    <row r="49" spans="1:7" ht="25.5" x14ac:dyDescent="0.25">
      <c r="A49" s="1">
        <v>39</v>
      </c>
      <c r="B49" s="1">
        <f t="shared" si="16"/>
        <v>1.7711126227204011E-39</v>
      </c>
      <c r="C49">
        <f t="shared" si="17"/>
        <v>0</v>
      </c>
      <c r="D49">
        <f t="shared" si="7"/>
        <v>1.7711126227204011E-39</v>
      </c>
      <c r="E49" s="1">
        <f t="shared" si="18"/>
        <v>60.750312239746009</v>
      </c>
      <c r="F49">
        <f t="shared" si="19"/>
        <v>61</v>
      </c>
      <c r="G49">
        <f t="shared" si="8"/>
        <v>-0.24968776025399109</v>
      </c>
    </row>
    <row r="50" spans="1:7" ht="25.5" x14ac:dyDescent="0.25">
      <c r="A50" s="1">
        <v>40</v>
      </c>
      <c r="B50" s="1">
        <f t="shared" si="16"/>
        <v>1.7096523149894117E-37</v>
      </c>
      <c r="C50">
        <f t="shared" si="17"/>
        <v>0</v>
      </c>
      <c r="D50">
        <f t="shared" si="7"/>
        <v>1.7096523149894117E-37</v>
      </c>
      <c r="E50" s="1">
        <f t="shared" si="18"/>
        <v>59.750312239746009</v>
      </c>
      <c r="F50">
        <f t="shared" si="19"/>
        <v>60</v>
      </c>
      <c r="G50">
        <f t="shared" si="8"/>
        <v>-0.24968776025399109</v>
      </c>
    </row>
    <row r="51" spans="1:7" ht="25.5" x14ac:dyDescent="0.25">
      <c r="A51" s="1">
        <v>41</v>
      </c>
      <c r="B51" s="1">
        <f t="shared" si="16"/>
        <v>1.3112445294229632E-35</v>
      </c>
      <c r="C51">
        <f t="shared" si="17"/>
        <v>0</v>
      </c>
      <c r="D51">
        <f t="shared" si="7"/>
        <v>1.3112445294229632E-35</v>
      </c>
      <c r="E51" s="1">
        <f t="shared" si="18"/>
        <v>58.750312239746009</v>
      </c>
      <c r="F51">
        <f t="shared" si="19"/>
        <v>59</v>
      </c>
      <c r="G51">
        <f t="shared" si="8"/>
        <v>-0.24968776025399109</v>
      </c>
    </row>
    <row r="52" spans="1:7" ht="25.5" x14ac:dyDescent="0.25">
      <c r="A52" s="1">
        <v>42</v>
      </c>
      <c r="B52" s="1">
        <f t="shared" si="16"/>
        <v>8.1027148546133774E-34</v>
      </c>
      <c r="C52">
        <f t="shared" si="17"/>
        <v>0</v>
      </c>
      <c r="D52">
        <f t="shared" si="7"/>
        <v>8.1027148546133774E-34</v>
      </c>
      <c r="E52" s="1">
        <f t="shared" si="18"/>
        <v>57.750312239746009</v>
      </c>
      <c r="F52">
        <f t="shared" si="19"/>
        <v>58</v>
      </c>
      <c r="G52">
        <f t="shared" si="8"/>
        <v>-0.24968776025399109</v>
      </c>
    </row>
    <row r="53" spans="1:7" ht="25.5" x14ac:dyDescent="0.25">
      <c r="A53" s="1">
        <v>43</v>
      </c>
      <c r="B53" s="1">
        <f t="shared" si="16"/>
        <v>4.0862156094675231E-32</v>
      </c>
      <c r="C53">
        <f t="shared" si="17"/>
        <v>0</v>
      </c>
      <c r="D53">
        <f t="shared" si="7"/>
        <v>4.0862156094675231E-32</v>
      </c>
      <c r="E53" s="1">
        <f t="shared" si="18"/>
        <v>56.750312239746009</v>
      </c>
      <c r="F53">
        <f t="shared" si="19"/>
        <v>57</v>
      </c>
      <c r="G53">
        <f t="shared" si="8"/>
        <v>-0.24968776025399109</v>
      </c>
    </row>
    <row r="54" spans="1:7" ht="25.5" x14ac:dyDescent="0.25">
      <c r="A54" s="1">
        <v>44</v>
      </c>
      <c r="B54" s="1">
        <f t="shared" si="16"/>
        <v>1.7017405319582997E-30</v>
      </c>
      <c r="C54">
        <f t="shared" si="17"/>
        <v>0</v>
      </c>
      <c r="D54">
        <f t="shared" si="7"/>
        <v>1.7017405319582997E-30</v>
      </c>
      <c r="E54" s="1">
        <f t="shared" si="18"/>
        <v>55.750312239746009</v>
      </c>
      <c r="F54">
        <f t="shared" si="19"/>
        <v>56</v>
      </c>
      <c r="G54">
        <f t="shared" si="8"/>
        <v>-0.24968776025399109</v>
      </c>
    </row>
    <row r="55" spans="1:7" ht="25.5" x14ac:dyDescent="0.25">
      <c r="A55" s="1">
        <v>45</v>
      </c>
      <c r="B55" s="1">
        <f t="shared" si="16"/>
        <v>5.9168626055745483E-29</v>
      </c>
      <c r="C55">
        <f t="shared" si="17"/>
        <v>0</v>
      </c>
      <c r="D55">
        <f t="shared" si="7"/>
        <v>5.9168626055745483E-29</v>
      </c>
      <c r="E55" s="1">
        <f t="shared" si="18"/>
        <v>54.750312239746009</v>
      </c>
      <c r="F55">
        <f t="shared" si="19"/>
        <v>55</v>
      </c>
      <c r="G55">
        <f t="shared" si="8"/>
        <v>-0.24968776025399109</v>
      </c>
    </row>
    <row r="56" spans="1:7" ht="25.5" x14ac:dyDescent="0.25">
      <c r="A56" s="1">
        <v>46</v>
      </c>
      <c r="B56" s="1">
        <f t="shared" si="16"/>
        <v>1.7350234510091214E-27</v>
      </c>
      <c r="C56">
        <f t="shared" si="17"/>
        <v>0</v>
      </c>
      <c r="D56">
        <f t="shared" si="7"/>
        <v>1.7350234510091214E-27</v>
      </c>
      <c r="E56" s="1">
        <f t="shared" si="18"/>
        <v>53.750312239746009</v>
      </c>
      <c r="F56">
        <f t="shared" si="19"/>
        <v>54</v>
      </c>
      <c r="G56">
        <f t="shared" si="8"/>
        <v>-0.24968776025399109</v>
      </c>
    </row>
    <row r="57" spans="1:7" ht="25.5" x14ac:dyDescent="0.25">
      <c r="A57" s="1">
        <v>47</v>
      </c>
      <c r="B57" s="1">
        <f t="shared" si="16"/>
        <v>4.331146193503988E-26</v>
      </c>
      <c r="C57">
        <f t="shared" si="17"/>
        <v>0</v>
      </c>
      <c r="D57">
        <f t="shared" si="7"/>
        <v>4.331146193503988E-26</v>
      </c>
      <c r="E57" s="1">
        <f t="shared" si="18"/>
        <v>52.750312239746009</v>
      </c>
      <c r="F57">
        <f t="shared" si="19"/>
        <v>53</v>
      </c>
      <c r="G57">
        <f t="shared" si="8"/>
        <v>-0.24968776025399109</v>
      </c>
    </row>
    <row r="58" spans="1:7" ht="25.5" x14ac:dyDescent="0.25">
      <c r="A58" s="1">
        <v>48</v>
      </c>
      <c r="B58" s="1">
        <f t="shared" si="16"/>
        <v>9.2845262553351432E-25</v>
      </c>
      <c r="C58">
        <f t="shared" si="17"/>
        <v>0</v>
      </c>
      <c r="D58">
        <f t="shared" si="7"/>
        <v>9.2845262553351432E-25</v>
      </c>
      <c r="E58" s="1">
        <f t="shared" si="18"/>
        <v>51.750312239746009</v>
      </c>
      <c r="F58">
        <f t="shared" si="19"/>
        <v>52</v>
      </c>
      <c r="G58">
        <f t="shared" si="8"/>
        <v>-0.24968776025399109</v>
      </c>
    </row>
    <row r="59" spans="1:7" ht="25.5" x14ac:dyDescent="0.25">
      <c r="A59" s="1">
        <v>49</v>
      </c>
      <c r="B59" s="1">
        <f t="shared" si="16"/>
        <v>1.7230032099657497E-23</v>
      </c>
      <c r="C59">
        <f t="shared" si="17"/>
        <v>0</v>
      </c>
      <c r="D59">
        <f t="shared" si="7"/>
        <v>1.7230032099657497E-23</v>
      </c>
      <c r="E59" s="1">
        <f t="shared" si="18"/>
        <v>50.750312239746009</v>
      </c>
      <c r="F59">
        <f t="shared" si="19"/>
        <v>51</v>
      </c>
      <c r="G59">
        <f t="shared" si="8"/>
        <v>-0.24968776025399109</v>
      </c>
    </row>
    <row r="60" spans="1:7" ht="25.5" x14ac:dyDescent="0.25">
      <c r="A60" s="1">
        <v>50</v>
      </c>
      <c r="B60" s="1">
        <f t="shared" si="16"/>
        <v>2.7890072488811703E-22</v>
      </c>
      <c r="C60">
        <f t="shared" si="17"/>
        <v>0</v>
      </c>
      <c r="D60">
        <f t="shared" si="7"/>
        <v>2.7890072488811703E-22</v>
      </c>
      <c r="E60" s="1">
        <f t="shared" si="18"/>
        <v>49.750312239746009</v>
      </c>
      <c r="F60">
        <f t="shared" si="19"/>
        <v>50</v>
      </c>
      <c r="G60">
        <f t="shared" si="8"/>
        <v>-0.24968776025399109</v>
      </c>
    </row>
    <row r="61" spans="1:7" ht="25.5" x14ac:dyDescent="0.25">
      <c r="A61" s="1">
        <v>51</v>
      </c>
      <c r="B61" s="1">
        <f t="shared" si="16"/>
        <v>3.9654914277050077E-21</v>
      </c>
      <c r="C61">
        <f t="shared" si="17"/>
        <v>0</v>
      </c>
      <c r="D61">
        <f t="shared" si="7"/>
        <v>3.9654914277050077E-21</v>
      </c>
      <c r="E61" s="1">
        <f t="shared" si="18"/>
        <v>48.750312239746009</v>
      </c>
      <c r="F61">
        <f t="shared" si="19"/>
        <v>49</v>
      </c>
      <c r="G61">
        <f t="shared" si="8"/>
        <v>-0.24968776025399109</v>
      </c>
    </row>
    <row r="62" spans="1:7" ht="25.5" x14ac:dyDescent="0.25">
      <c r="A62" s="1">
        <v>52</v>
      </c>
      <c r="B62" s="1">
        <f t="shared" si="16"/>
        <v>4.9850839921031032E-20</v>
      </c>
      <c r="C62">
        <f t="shared" si="17"/>
        <v>0</v>
      </c>
      <c r="D62">
        <f t="shared" si="7"/>
        <v>4.9850839921031032E-20</v>
      </c>
      <c r="E62" s="1">
        <f t="shared" si="18"/>
        <v>47.750312239746009</v>
      </c>
      <c r="F62">
        <f t="shared" si="19"/>
        <v>48</v>
      </c>
      <c r="G62">
        <f t="shared" si="8"/>
        <v>-0.24968776025399109</v>
      </c>
    </row>
    <row r="63" spans="1:7" ht="25.5" x14ac:dyDescent="0.25">
      <c r="A63" s="1">
        <v>53</v>
      </c>
      <c r="B63" s="1">
        <f t="shared" si="16"/>
        <v>5.5748725847441915E-19</v>
      </c>
      <c r="C63">
        <f t="shared" si="17"/>
        <v>0</v>
      </c>
      <c r="D63">
        <f t="shared" si="7"/>
        <v>5.5748725847441915E-19</v>
      </c>
      <c r="E63" s="1">
        <f t="shared" si="18"/>
        <v>46.750312239746009</v>
      </c>
      <c r="F63">
        <f t="shared" si="19"/>
        <v>47</v>
      </c>
      <c r="G63">
        <f t="shared" si="8"/>
        <v>-0.24968776025399109</v>
      </c>
    </row>
    <row r="64" spans="1:7" ht="25.5" x14ac:dyDescent="0.25">
      <c r="A64" s="1">
        <v>54</v>
      </c>
      <c r="B64" s="1">
        <f t="shared" si="16"/>
        <v>5.5779320575259081E-18</v>
      </c>
      <c r="C64">
        <f t="shared" si="17"/>
        <v>0</v>
      </c>
      <c r="D64">
        <f t="shared" si="7"/>
        <v>5.5779320575259081E-18</v>
      </c>
      <c r="E64" s="1">
        <f t="shared" si="18"/>
        <v>45.750312239746009</v>
      </c>
      <c r="F64">
        <f t="shared" si="19"/>
        <v>46</v>
      </c>
      <c r="G64">
        <f t="shared" si="8"/>
        <v>-0.24968776025399109</v>
      </c>
    </row>
    <row r="65" spans="1:7" ht="25.5" x14ac:dyDescent="0.25">
      <c r="A65" s="1">
        <v>55</v>
      </c>
      <c r="B65" s="1">
        <f t="shared" si="16"/>
        <v>5.0201856740450768E-17</v>
      </c>
      <c r="C65">
        <f t="shared" si="17"/>
        <v>0</v>
      </c>
      <c r="D65">
        <f t="shared" si="7"/>
        <v>5.0201856740450768E-17</v>
      </c>
      <c r="E65" s="1">
        <f t="shared" si="18"/>
        <v>44.750312239746002</v>
      </c>
      <c r="F65">
        <f t="shared" si="19"/>
        <v>45</v>
      </c>
      <c r="G65">
        <f t="shared" si="8"/>
        <v>-0.24968776025399819</v>
      </c>
    </row>
    <row r="66" spans="1:7" ht="25.5" x14ac:dyDescent="0.25">
      <c r="A66" s="1">
        <v>56</v>
      </c>
      <c r="B66" s="1">
        <f t="shared" si="16"/>
        <v>4.0847287876071725E-16</v>
      </c>
      <c r="C66">
        <f t="shared" si="17"/>
        <v>0</v>
      </c>
      <c r="D66">
        <f t="shared" si="7"/>
        <v>4.0847287876071725E-16</v>
      </c>
      <c r="E66" s="1">
        <f t="shared" si="18"/>
        <v>43.750312239746016</v>
      </c>
      <c r="F66">
        <f t="shared" si="19"/>
        <v>44</v>
      </c>
      <c r="G66">
        <f t="shared" si="8"/>
        <v>-0.24968776025398398</v>
      </c>
    </row>
    <row r="67" spans="1:7" ht="25.5" x14ac:dyDescent="0.25">
      <c r="A67" s="1">
        <v>57</v>
      </c>
      <c r="B67" s="1">
        <f t="shared" si="16"/>
        <v>3.0189752933388089E-15</v>
      </c>
      <c r="C67">
        <f t="shared" si="17"/>
        <v>0</v>
      </c>
      <c r="D67">
        <f t="shared" si="7"/>
        <v>3.0189752933388089E-15</v>
      </c>
      <c r="E67" s="1">
        <f t="shared" si="18"/>
        <v>42.750312239746016</v>
      </c>
      <c r="F67">
        <f t="shared" si="19"/>
        <v>43</v>
      </c>
      <c r="G67">
        <f t="shared" si="8"/>
        <v>-0.24968776025398398</v>
      </c>
    </row>
    <row r="68" spans="1:7" ht="25.5" x14ac:dyDescent="0.25">
      <c r="A68" s="1">
        <v>58</v>
      </c>
      <c r="B68" s="1">
        <f t="shared" si="16"/>
        <v>2.035834238390009E-14</v>
      </c>
      <c r="C68">
        <f t="shared" si="17"/>
        <v>0</v>
      </c>
      <c r="D68">
        <f t="shared" si="7"/>
        <v>2.035834238390009E-14</v>
      </c>
      <c r="E68" s="1">
        <f t="shared" si="18"/>
        <v>41.750312239746023</v>
      </c>
      <c r="F68">
        <f t="shared" si="19"/>
        <v>42</v>
      </c>
      <c r="G68">
        <f t="shared" si="8"/>
        <v>-0.24968776025397688</v>
      </c>
    </row>
    <row r="69" spans="1:7" ht="25.5" x14ac:dyDescent="0.25">
      <c r="A69" s="1">
        <v>59</v>
      </c>
      <c r="B69" s="1">
        <f t="shared" si="16"/>
        <v>1.2578601738608856E-13</v>
      </c>
      <c r="C69">
        <f t="shared" si="17"/>
        <v>0</v>
      </c>
      <c r="D69">
        <f t="shared" si="7"/>
        <v>1.2578601738608856E-13</v>
      </c>
      <c r="E69" s="1">
        <f t="shared" si="18"/>
        <v>40.750312239746137</v>
      </c>
      <c r="F69">
        <f t="shared" si="19"/>
        <v>41</v>
      </c>
      <c r="G69">
        <f t="shared" si="8"/>
        <v>-0.24968776025386319</v>
      </c>
    </row>
    <row r="70" spans="1:7" ht="25.5" x14ac:dyDescent="0.25">
      <c r="A70" s="1">
        <v>60</v>
      </c>
      <c r="B70" s="1">
        <f t="shared" si="16"/>
        <v>7.1490017913917201E-13</v>
      </c>
      <c r="C70">
        <f t="shared" si="17"/>
        <v>0</v>
      </c>
      <c r="D70">
        <f t="shared" si="7"/>
        <v>7.1490017913917201E-13</v>
      </c>
      <c r="E70" s="1">
        <f t="shared" si="18"/>
        <v>39.750312239746727</v>
      </c>
      <c r="F70">
        <f t="shared" si="19"/>
        <v>40</v>
      </c>
      <c r="G70">
        <f t="shared" si="8"/>
        <v>-0.24968776025327344</v>
      </c>
    </row>
    <row r="71" spans="1:7" ht="25.5" x14ac:dyDescent="0.25">
      <c r="A71" s="1">
        <v>61</v>
      </c>
      <c r="B71" s="1">
        <f t="shared" si="16"/>
        <v>3.7514629718315383E-12</v>
      </c>
      <c r="C71">
        <f t="shared" si="17"/>
        <v>0</v>
      </c>
      <c r="D71">
        <f t="shared" si="7"/>
        <v>3.7514629718315383E-12</v>
      </c>
      <c r="E71" s="1">
        <f t="shared" si="18"/>
        <v>38.750312239749761</v>
      </c>
      <c r="F71">
        <f t="shared" si="19"/>
        <v>39</v>
      </c>
      <c r="G71">
        <f t="shared" si="8"/>
        <v>-0.24968776025023942</v>
      </c>
    </row>
    <row r="72" spans="1:7" ht="25.5" x14ac:dyDescent="0.25">
      <c r="A72" s="1">
        <v>62</v>
      </c>
      <c r="B72" s="1">
        <f t="shared" si="16"/>
        <v>1.8240111288118329E-11</v>
      </c>
      <c r="C72">
        <f t="shared" si="17"/>
        <v>0</v>
      </c>
      <c r="D72">
        <f t="shared" si="7"/>
        <v>1.8240111288118329E-11</v>
      </c>
      <c r="E72" s="1">
        <f t="shared" si="18"/>
        <v>37.750312239764241</v>
      </c>
      <c r="F72">
        <f t="shared" si="19"/>
        <v>38</v>
      </c>
      <c r="G72">
        <f t="shared" si="8"/>
        <v>-0.24968776023575856</v>
      </c>
    </row>
    <row r="73" spans="1:7" ht="25.5" x14ac:dyDescent="0.25">
      <c r="A73" s="1">
        <v>63</v>
      </c>
      <c r="B73" s="1">
        <f t="shared" si="16"/>
        <v>8.2446435370000163E-11</v>
      </c>
      <c r="C73">
        <f t="shared" si="17"/>
        <v>0</v>
      </c>
      <c r="D73">
        <f t="shared" si="7"/>
        <v>8.2446435370000163E-11</v>
      </c>
      <c r="E73" s="1">
        <f t="shared" si="18"/>
        <v>36.750312239828453</v>
      </c>
      <c r="F73">
        <f t="shared" si="19"/>
        <v>37</v>
      </c>
      <c r="G73">
        <f t="shared" si="8"/>
        <v>-0.24968776017154681</v>
      </c>
    </row>
    <row r="74" spans="1:7" ht="25.5" x14ac:dyDescent="0.25">
      <c r="A74" s="1">
        <v>64</v>
      </c>
      <c r="B74" s="1">
        <f t="shared" si="16"/>
        <v>3.4753815285237854E-10</v>
      </c>
      <c r="C74">
        <f t="shared" si="17"/>
        <v>0</v>
      </c>
      <c r="D74">
        <f t="shared" si="7"/>
        <v>3.4753815285237854E-10</v>
      </c>
      <c r="E74" s="1">
        <f t="shared" si="18"/>
        <v>35.75031224009355</v>
      </c>
      <c r="F74">
        <f t="shared" si="19"/>
        <v>36</v>
      </c>
      <c r="G74">
        <f t="shared" si="8"/>
        <v>-0.24968775990645042</v>
      </c>
    </row>
    <row r="75" spans="1:7" ht="25.5" x14ac:dyDescent="0.25">
      <c r="A75" s="1">
        <v>65</v>
      </c>
      <c r="B75" s="1">
        <f t="shared" ref="B75:B106" si="20">BS_call(A75,σ,rf,q,T,X)</f>
        <v>1.3703010110753512E-9</v>
      </c>
      <c r="C75">
        <f t="shared" ref="C75:C106" si="21">in_val_call(A75,σ,rf,q,T,X)</f>
        <v>0</v>
      </c>
      <c r="D75">
        <f t="shared" si="7"/>
        <v>1.3703010110753512E-9</v>
      </c>
      <c r="E75" s="1">
        <f t="shared" ref="E75:E106" si="22">BS_put(A75,σ,rf,q,T,X)</f>
        <v>34.750312241116305</v>
      </c>
      <c r="F75">
        <f t="shared" ref="F75:F106" si="23">in_val_put(A75,σ,rf,q,T,X)</f>
        <v>35</v>
      </c>
      <c r="G75">
        <f t="shared" si="8"/>
        <v>-0.24968775888369521</v>
      </c>
    </row>
    <row r="76" spans="1:7" ht="25.5" x14ac:dyDescent="0.25">
      <c r="A76" s="1">
        <v>66</v>
      </c>
      <c r="B76" s="1">
        <f t="shared" si="20"/>
        <v>5.068064051730734E-9</v>
      </c>
      <c r="C76">
        <f t="shared" si="21"/>
        <v>0</v>
      </c>
      <c r="D76">
        <f t="shared" ref="D76:D139" si="24">B76-C76</f>
        <v>5.068064051730734E-9</v>
      </c>
      <c r="E76" s="1">
        <f t="shared" si="22"/>
        <v>33.750312244814069</v>
      </c>
      <c r="F76">
        <f t="shared" si="23"/>
        <v>34</v>
      </c>
      <c r="G76">
        <f t="shared" ref="G76:G139" si="25">E76-F76</f>
        <v>-0.24968775518593134</v>
      </c>
    </row>
    <row r="77" spans="1:7" ht="25.5" x14ac:dyDescent="0.25">
      <c r="A77" s="1">
        <v>67</v>
      </c>
      <c r="B77" s="1">
        <f t="shared" si="20"/>
        <v>1.7629835598701486E-8</v>
      </c>
      <c r="C77">
        <f t="shared" si="21"/>
        <v>0</v>
      </c>
      <c r="D77">
        <f t="shared" si="24"/>
        <v>1.7629835598701486E-8</v>
      </c>
      <c r="E77" s="1">
        <f t="shared" si="22"/>
        <v>32.750312257375839</v>
      </c>
      <c r="F77">
        <f t="shared" si="23"/>
        <v>33</v>
      </c>
      <c r="G77">
        <f t="shared" si="25"/>
        <v>-0.24968774262416105</v>
      </c>
    </row>
    <row r="78" spans="1:7" ht="25.5" x14ac:dyDescent="0.25">
      <c r="A78" s="1">
        <v>68</v>
      </c>
      <c r="B78" s="1">
        <f t="shared" si="20"/>
        <v>5.7828755450316509E-8</v>
      </c>
      <c r="C78">
        <f t="shared" si="21"/>
        <v>0</v>
      </c>
      <c r="D78">
        <f t="shared" si="24"/>
        <v>5.7828755450316509E-8</v>
      </c>
      <c r="E78" s="1">
        <f t="shared" si="22"/>
        <v>31.750312297574766</v>
      </c>
      <c r="F78">
        <f t="shared" si="23"/>
        <v>32</v>
      </c>
      <c r="G78">
        <f t="shared" si="25"/>
        <v>-0.24968770242523419</v>
      </c>
    </row>
    <row r="79" spans="1:7" ht="25.5" x14ac:dyDescent="0.25">
      <c r="A79" s="1">
        <v>69</v>
      </c>
      <c r="B79" s="1">
        <f t="shared" si="20"/>
        <v>1.7930156961230762E-7</v>
      </c>
      <c r="C79">
        <f t="shared" si="21"/>
        <v>0</v>
      </c>
      <c r="D79">
        <f t="shared" si="24"/>
        <v>1.7930156961230762E-7</v>
      </c>
      <c r="E79" s="1">
        <f t="shared" si="22"/>
        <v>30.750312419047575</v>
      </c>
      <c r="F79">
        <f t="shared" si="23"/>
        <v>31</v>
      </c>
      <c r="G79">
        <f t="shared" si="25"/>
        <v>-0.24968758095242549</v>
      </c>
    </row>
    <row r="80" spans="1:7" ht="25.5" x14ac:dyDescent="0.25">
      <c r="A80" s="1">
        <v>70</v>
      </c>
      <c r="B80" s="1">
        <f t="shared" si="20"/>
        <v>5.2671268035176666E-7</v>
      </c>
      <c r="C80">
        <f t="shared" si="21"/>
        <v>0</v>
      </c>
      <c r="D80">
        <f t="shared" si="24"/>
        <v>5.2671268035176666E-7</v>
      </c>
      <c r="E80" s="1">
        <f t="shared" si="22"/>
        <v>29.750312766458691</v>
      </c>
      <c r="F80">
        <f t="shared" si="23"/>
        <v>30</v>
      </c>
      <c r="G80">
        <f t="shared" si="25"/>
        <v>-0.24968723354130873</v>
      </c>
    </row>
    <row r="81" spans="1:7" ht="25.5" x14ac:dyDescent="0.25">
      <c r="A81" s="1">
        <v>71</v>
      </c>
      <c r="B81" s="1">
        <f t="shared" si="20"/>
        <v>1.4691650194711736E-6</v>
      </c>
      <c r="C81">
        <f t="shared" si="21"/>
        <v>0</v>
      </c>
      <c r="D81">
        <f t="shared" si="24"/>
        <v>1.4691650194711736E-6</v>
      </c>
      <c r="E81" s="1">
        <f t="shared" si="22"/>
        <v>28.750313708911037</v>
      </c>
      <c r="F81">
        <f t="shared" si="23"/>
        <v>29</v>
      </c>
      <c r="G81">
        <f t="shared" si="25"/>
        <v>-0.24968629108896323</v>
      </c>
    </row>
    <row r="82" spans="1:7" ht="25.5" x14ac:dyDescent="0.25">
      <c r="A82" s="1">
        <v>72</v>
      </c>
      <c r="B82" s="1">
        <f t="shared" si="20"/>
        <v>3.8993143453389003E-6</v>
      </c>
      <c r="C82">
        <f t="shared" si="21"/>
        <v>0</v>
      </c>
      <c r="D82">
        <f t="shared" si="24"/>
        <v>3.8993143453389003E-6</v>
      </c>
      <c r="E82" s="1">
        <f t="shared" si="22"/>
        <v>27.750316139060359</v>
      </c>
      <c r="F82">
        <f t="shared" si="23"/>
        <v>28</v>
      </c>
      <c r="G82">
        <f t="shared" si="25"/>
        <v>-0.24968386093964057</v>
      </c>
    </row>
    <row r="83" spans="1:7" ht="25.5" x14ac:dyDescent="0.25">
      <c r="A83" s="1">
        <v>73</v>
      </c>
      <c r="B83" s="1">
        <f t="shared" si="20"/>
        <v>9.8673264377826132E-6</v>
      </c>
      <c r="C83">
        <f t="shared" si="21"/>
        <v>0</v>
      </c>
      <c r="D83">
        <f t="shared" si="24"/>
        <v>9.8673264377826132E-6</v>
      </c>
      <c r="E83" s="1">
        <f t="shared" si="22"/>
        <v>26.750322107072449</v>
      </c>
      <c r="F83">
        <f t="shared" si="23"/>
        <v>27</v>
      </c>
      <c r="G83">
        <f t="shared" si="25"/>
        <v>-0.24967789292755072</v>
      </c>
    </row>
    <row r="84" spans="1:7" ht="25.5" x14ac:dyDescent="0.25">
      <c r="A84" s="1">
        <v>74</v>
      </c>
      <c r="B84" s="1">
        <f t="shared" si="20"/>
        <v>2.385276589575349E-5</v>
      </c>
      <c r="C84">
        <f t="shared" si="21"/>
        <v>0</v>
      </c>
      <c r="D84">
        <f t="shared" si="24"/>
        <v>2.385276589575349E-5</v>
      </c>
      <c r="E84" s="1">
        <f t="shared" si="22"/>
        <v>25.750336092511901</v>
      </c>
      <c r="F84">
        <f t="shared" si="23"/>
        <v>26</v>
      </c>
      <c r="G84">
        <f t="shared" si="25"/>
        <v>-0.24966390748809886</v>
      </c>
    </row>
    <row r="85" spans="1:7" ht="25.5" x14ac:dyDescent="0.25">
      <c r="A85" s="1">
        <v>75</v>
      </c>
      <c r="B85" s="1">
        <f t="shared" si="20"/>
        <v>5.5182918299387894E-5</v>
      </c>
      <c r="C85">
        <f t="shared" si="21"/>
        <v>0</v>
      </c>
      <c r="D85">
        <f t="shared" si="24"/>
        <v>5.5182918299387894E-5</v>
      </c>
      <c r="E85" s="1">
        <f t="shared" si="22"/>
        <v>24.750367422664297</v>
      </c>
      <c r="F85">
        <f t="shared" si="23"/>
        <v>25</v>
      </c>
      <c r="G85">
        <f t="shared" si="25"/>
        <v>-0.24963257733570288</v>
      </c>
    </row>
    <row r="86" spans="1:7" ht="25.5" x14ac:dyDescent="0.25">
      <c r="A86" s="1">
        <v>76</v>
      </c>
      <c r="B86" s="1">
        <f t="shared" si="20"/>
        <v>1.2239468045278836E-4</v>
      </c>
      <c r="C86">
        <f t="shared" si="21"/>
        <v>0</v>
      </c>
      <c r="D86">
        <f t="shared" si="24"/>
        <v>1.2239468045278836E-4</v>
      </c>
      <c r="E86" s="1">
        <f t="shared" si="22"/>
        <v>23.750434634426455</v>
      </c>
      <c r="F86">
        <f t="shared" si="23"/>
        <v>24</v>
      </c>
      <c r="G86">
        <f t="shared" si="25"/>
        <v>-0.24956536557354525</v>
      </c>
    </row>
    <row r="87" spans="1:7" ht="25.5" x14ac:dyDescent="0.25">
      <c r="A87" s="1">
        <v>77</v>
      </c>
      <c r="B87" s="1">
        <f t="shared" si="20"/>
        <v>2.6070329787297904E-4</v>
      </c>
      <c r="C87">
        <f t="shared" si="21"/>
        <v>0</v>
      </c>
      <c r="D87">
        <f t="shared" si="24"/>
        <v>2.6070329787297904E-4</v>
      </c>
      <c r="E87" s="1">
        <f t="shared" si="22"/>
        <v>22.750572943043878</v>
      </c>
      <c r="F87">
        <f t="shared" si="23"/>
        <v>23</v>
      </c>
      <c r="G87">
        <f t="shared" si="25"/>
        <v>-0.24942705695612233</v>
      </c>
    </row>
    <row r="88" spans="1:7" ht="25.5" x14ac:dyDescent="0.25">
      <c r="A88" s="1">
        <v>78</v>
      </c>
      <c r="B88" s="1">
        <f t="shared" si="20"/>
        <v>5.3414810383479658E-4</v>
      </c>
      <c r="C88">
        <f t="shared" si="21"/>
        <v>0</v>
      </c>
      <c r="D88">
        <f t="shared" si="24"/>
        <v>5.3414810383479658E-4</v>
      </c>
      <c r="E88" s="1">
        <f t="shared" si="22"/>
        <v>21.750846387849847</v>
      </c>
      <c r="F88">
        <f t="shared" si="23"/>
        <v>22</v>
      </c>
      <c r="G88">
        <f t="shared" si="25"/>
        <v>-0.24915361215015253</v>
      </c>
    </row>
    <row r="89" spans="1:7" ht="25.5" x14ac:dyDescent="0.25">
      <c r="A89" s="1">
        <v>79</v>
      </c>
      <c r="B89" s="1">
        <f t="shared" si="20"/>
        <v>1.0543529496276488E-3</v>
      </c>
      <c r="C89">
        <f t="shared" si="21"/>
        <v>0</v>
      </c>
      <c r="D89">
        <f t="shared" si="24"/>
        <v>1.0543529496276488E-3</v>
      </c>
      <c r="E89" s="1">
        <f t="shared" si="22"/>
        <v>20.751366592695632</v>
      </c>
      <c r="F89">
        <f t="shared" si="23"/>
        <v>21</v>
      </c>
      <c r="G89">
        <f t="shared" si="25"/>
        <v>-0.24863340730436789</v>
      </c>
    </row>
    <row r="90" spans="1:7" ht="25.5" x14ac:dyDescent="0.25">
      <c r="A90" s="1">
        <v>80</v>
      </c>
      <c r="B90" s="1">
        <f t="shared" si="20"/>
        <v>2.0080393336095181E-3</v>
      </c>
      <c r="C90">
        <f t="shared" si="21"/>
        <v>0</v>
      </c>
      <c r="D90">
        <f t="shared" si="24"/>
        <v>2.0080393336095181E-3</v>
      </c>
      <c r="E90" s="1">
        <f t="shared" si="22"/>
        <v>19.752320279079612</v>
      </c>
      <c r="F90">
        <f t="shared" si="23"/>
        <v>20</v>
      </c>
      <c r="G90">
        <f t="shared" si="25"/>
        <v>-0.24767972092038804</v>
      </c>
    </row>
    <row r="91" spans="1:7" ht="25.5" x14ac:dyDescent="0.25">
      <c r="A91" s="1">
        <v>81</v>
      </c>
      <c r="B91" s="1">
        <f t="shared" si="20"/>
        <v>3.6952979489743853E-3</v>
      </c>
      <c r="C91">
        <f t="shared" si="21"/>
        <v>0</v>
      </c>
      <c r="D91">
        <f t="shared" si="24"/>
        <v>3.6952979489743853E-3</v>
      </c>
      <c r="E91" s="1">
        <f t="shared" si="22"/>
        <v>18.754007537695003</v>
      </c>
      <c r="F91">
        <f t="shared" si="23"/>
        <v>19</v>
      </c>
      <c r="G91">
        <f t="shared" si="25"/>
        <v>-0.24599246230499716</v>
      </c>
    </row>
    <row r="92" spans="1:7" ht="25.5" x14ac:dyDescent="0.25">
      <c r="A92" s="1">
        <v>82</v>
      </c>
      <c r="B92" s="1">
        <f t="shared" si="20"/>
        <v>6.5799867180708072E-3</v>
      </c>
      <c r="C92">
        <f t="shared" si="21"/>
        <v>0</v>
      </c>
      <c r="D92">
        <f t="shared" si="24"/>
        <v>6.5799867180708072E-3</v>
      </c>
      <c r="E92" s="1">
        <f t="shared" si="22"/>
        <v>17.756892226464089</v>
      </c>
      <c r="F92">
        <f t="shared" si="23"/>
        <v>18</v>
      </c>
      <c r="G92">
        <f t="shared" si="25"/>
        <v>-0.24310777353591106</v>
      </c>
    </row>
    <row r="93" spans="1:7" ht="25.5" x14ac:dyDescent="0.25">
      <c r="A93" s="1">
        <v>83</v>
      </c>
      <c r="B93" s="1">
        <f t="shared" si="20"/>
        <v>1.1352349699731534E-2</v>
      </c>
      <c r="C93">
        <f t="shared" si="21"/>
        <v>0</v>
      </c>
      <c r="D93">
        <f t="shared" si="24"/>
        <v>1.1352349699731534E-2</v>
      </c>
      <c r="E93" s="1">
        <f t="shared" si="22"/>
        <v>16.761664589445743</v>
      </c>
      <c r="F93">
        <f t="shared" si="23"/>
        <v>17</v>
      </c>
      <c r="G93">
        <f t="shared" si="25"/>
        <v>-0.23833541055425655</v>
      </c>
    </row>
    <row r="94" spans="1:7" ht="25.5" x14ac:dyDescent="0.25">
      <c r="A94" s="1">
        <v>84</v>
      </c>
      <c r="B94" s="1">
        <f t="shared" si="20"/>
        <v>1.900201315675365E-2</v>
      </c>
      <c r="C94">
        <f t="shared" si="21"/>
        <v>0</v>
      </c>
      <c r="D94">
        <f t="shared" si="24"/>
        <v>1.900201315675365E-2</v>
      </c>
      <c r="E94" s="1">
        <f t="shared" si="22"/>
        <v>15.76931425290276</v>
      </c>
      <c r="F94">
        <f t="shared" si="23"/>
        <v>16</v>
      </c>
      <c r="G94">
        <f t="shared" si="25"/>
        <v>-0.23068574709724032</v>
      </c>
    </row>
    <row r="95" spans="1:7" ht="25.5" x14ac:dyDescent="0.25">
      <c r="A95" s="1">
        <v>85</v>
      </c>
      <c r="B95" s="1">
        <f t="shared" si="20"/>
        <v>3.089704070213295E-2</v>
      </c>
      <c r="C95">
        <f t="shared" si="21"/>
        <v>0</v>
      </c>
      <c r="D95">
        <f t="shared" si="24"/>
        <v>3.089704070213295E-2</v>
      </c>
      <c r="E95" s="1">
        <f t="shared" si="22"/>
        <v>14.781209280448152</v>
      </c>
      <c r="F95">
        <f t="shared" si="23"/>
        <v>15</v>
      </c>
      <c r="G95">
        <f t="shared" si="25"/>
        <v>-0.2187907195518477</v>
      </c>
    </row>
    <row r="96" spans="1:7" ht="25.5" x14ac:dyDescent="0.25">
      <c r="A96" s="1">
        <v>86</v>
      </c>
      <c r="B96" s="1">
        <f t="shared" si="20"/>
        <v>4.8862030810742363E-2</v>
      </c>
      <c r="C96">
        <f t="shared" si="21"/>
        <v>0</v>
      </c>
      <c r="D96">
        <f t="shared" si="24"/>
        <v>4.8862030810742363E-2</v>
      </c>
      <c r="E96" s="1">
        <f t="shared" si="22"/>
        <v>13.799174270556748</v>
      </c>
      <c r="F96">
        <f t="shared" si="23"/>
        <v>14</v>
      </c>
      <c r="G96">
        <f t="shared" si="25"/>
        <v>-0.2008257294432525</v>
      </c>
    </row>
    <row r="97" spans="1:7" ht="25.5" x14ac:dyDescent="0.25">
      <c r="A97" s="1">
        <v>87</v>
      </c>
      <c r="B97" s="1">
        <f t="shared" si="20"/>
        <v>7.5245794734013494E-2</v>
      </c>
      <c r="C97">
        <f t="shared" si="21"/>
        <v>0</v>
      </c>
      <c r="D97">
        <f t="shared" si="24"/>
        <v>7.5245794734013494E-2</v>
      </c>
      <c r="E97" s="1">
        <f t="shared" si="22"/>
        <v>12.825558034480025</v>
      </c>
      <c r="F97">
        <f t="shared" si="23"/>
        <v>13</v>
      </c>
      <c r="G97">
        <f t="shared" si="25"/>
        <v>-0.17444196551997493</v>
      </c>
    </row>
    <row r="98" spans="1:7" ht="25.5" x14ac:dyDescent="0.25">
      <c r="A98" s="1">
        <v>88</v>
      </c>
      <c r="B98" s="1">
        <f t="shared" si="20"/>
        <v>0.11296753222950562</v>
      </c>
      <c r="C98">
        <f t="shared" si="21"/>
        <v>0</v>
      </c>
      <c r="D98">
        <f t="shared" si="24"/>
        <v>0.11296753222950562</v>
      </c>
      <c r="E98" s="1">
        <f t="shared" si="22"/>
        <v>11.863279771975513</v>
      </c>
      <c r="F98">
        <f t="shared" si="23"/>
        <v>12</v>
      </c>
      <c r="G98">
        <f t="shared" si="25"/>
        <v>-0.1367202280244868</v>
      </c>
    </row>
    <row r="99" spans="1:7" ht="25.5" x14ac:dyDescent="0.25">
      <c r="A99" s="1">
        <v>89</v>
      </c>
      <c r="B99" s="1">
        <f t="shared" si="20"/>
        <v>0.16553017330657749</v>
      </c>
      <c r="C99">
        <f t="shared" si="21"/>
        <v>0</v>
      </c>
      <c r="D99">
        <f t="shared" si="24"/>
        <v>0.16553017330657749</v>
      </c>
      <c r="E99" s="1">
        <f t="shared" si="22"/>
        <v>10.915842413052587</v>
      </c>
      <c r="F99">
        <f t="shared" si="23"/>
        <v>11</v>
      </c>
      <c r="G99">
        <f t="shared" si="25"/>
        <v>-8.415758694741271E-2</v>
      </c>
    </row>
    <row r="100" spans="1:7" ht="25.5" x14ac:dyDescent="0.25">
      <c r="A100" s="1">
        <v>90</v>
      </c>
      <c r="B100" s="1">
        <f t="shared" si="20"/>
        <v>0.23699105951338506</v>
      </c>
      <c r="C100">
        <f t="shared" si="21"/>
        <v>0</v>
      </c>
      <c r="D100">
        <f t="shared" si="24"/>
        <v>0.23699105951338506</v>
      </c>
      <c r="E100" s="1">
        <f t="shared" si="22"/>
        <v>9.9873032992593807</v>
      </c>
      <c r="F100">
        <f t="shared" si="23"/>
        <v>10</v>
      </c>
      <c r="G100">
        <f t="shared" si="25"/>
        <v>-1.2696700740619349E-2</v>
      </c>
    </row>
    <row r="101" spans="1:7" ht="25.5" x14ac:dyDescent="0.25">
      <c r="A101" s="1">
        <v>91</v>
      </c>
      <c r="B101" s="1">
        <f t="shared" si="20"/>
        <v>0.33188349363191882</v>
      </c>
      <c r="C101">
        <f t="shared" si="21"/>
        <v>0</v>
      </c>
      <c r="D101">
        <f t="shared" si="24"/>
        <v>0.33188349363191882</v>
      </c>
      <c r="E101" s="1">
        <f t="shared" si="22"/>
        <v>9.0821957333779153</v>
      </c>
      <c r="F101">
        <f t="shared" si="23"/>
        <v>9</v>
      </c>
      <c r="G101">
        <f t="shared" si="25"/>
        <v>8.2195733377915303E-2</v>
      </c>
    </row>
    <row r="102" spans="1:7" ht="25.5" x14ac:dyDescent="0.25">
      <c r="A102" s="1">
        <v>92</v>
      </c>
      <c r="B102" s="1">
        <f t="shared" si="20"/>
        <v>0.45508762873632058</v>
      </c>
      <c r="C102">
        <f t="shared" si="21"/>
        <v>0</v>
      </c>
      <c r="D102">
        <f t="shared" si="24"/>
        <v>0.45508762873632058</v>
      </c>
      <c r="E102" s="1">
        <f t="shared" si="22"/>
        <v>8.2053998684823313</v>
      </c>
      <c r="F102">
        <f t="shared" si="23"/>
        <v>8</v>
      </c>
      <c r="G102">
        <f t="shared" si="25"/>
        <v>0.20539986848233127</v>
      </c>
    </row>
    <row r="103" spans="1:7" ht="25.5" x14ac:dyDescent="0.25">
      <c r="A103" s="1">
        <v>93</v>
      </c>
      <c r="B103" s="1">
        <f t="shared" si="20"/>
        <v>0.61165508269806246</v>
      </c>
      <c r="C103">
        <f t="shared" si="21"/>
        <v>0</v>
      </c>
      <c r="D103">
        <f t="shared" si="24"/>
        <v>0.61165508269806246</v>
      </c>
      <c r="E103" s="1">
        <f t="shared" si="22"/>
        <v>7.3619673224440731</v>
      </c>
      <c r="F103">
        <f t="shared" si="23"/>
        <v>7</v>
      </c>
      <c r="G103">
        <f t="shared" si="25"/>
        <v>0.36196732244407315</v>
      </c>
    </row>
    <row r="104" spans="1:7" ht="25.5" x14ac:dyDescent="0.25">
      <c r="A104" s="1">
        <v>94</v>
      </c>
      <c r="B104" s="1">
        <f t="shared" si="20"/>
        <v>0.80659768203379301</v>
      </c>
      <c r="C104">
        <f t="shared" si="21"/>
        <v>0</v>
      </c>
      <c r="D104">
        <f t="shared" si="24"/>
        <v>0.80659768203379301</v>
      </c>
      <c r="E104" s="1">
        <f t="shared" si="22"/>
        <v>6.5569099217798197</v>
      </c>
      <c r="F104">
        <f t="shared" si="23"/>
        <v>6</v>
      </c>
      <c r="G104">
        <f t="shared" si="25"/>
        <v>0.55690992177981968</v>
      </c>
    </row>
    <row r="105" spans="1:7" ht="25.5" x14ac:dyDescent="0.25">
      <c r="A105" s="1">
        <v>95</v>
      </c>
      <c r="B105" s="1">
        <f t="shared" si="20"/>
        <v>1.044655893945837</v>
      </c>
      <c r="C105">
        <f t="shared" si="21"/>
        <v>0</v>
      </c>
      <c r="D105">
        <f t="shared" si="24"/>
        <v>1.044655893945837</v>
      </c>
      <c r="E105" s="1">
        <f t="shared" si="22"/>
        <v>5.7949681336918388</v>
      </c>
      <c r="F105">
        <f t="shared" si="23"/>
        <v>5</v>
      </c>
      <c r="G105">
        <f t="shared" si="25"/>
        <v>0.79496813369183883</v>
      </c>
    </row>
    <row r="106" spans="1:7" ht="25.5" x14ac:dyDescent="0.25">
      <c r="A106" s="1">
        <v>96</v>
      </c>
      <c r="B106" s="1">
        <f t="shared" si="20"/>
        <v>1.3300659286087431</v>
      </c>
      <c r="C106">
        <f t="shared" si="21"/>
        <v>0</v>
      </c>
      <c r="D106">
        <f t="shared" si="24"/>
        <v>1.3300659286087431</v>
      </c>
      <c r="E106" s="1">
        <f t="shared" si="22"/>
        <v>5.0803781683547413</v>
      </c>
      <c r="F106">
        <f t="shared" si="23"/>
        <v>4</v>
      </c>
      <c r="G106">
        <f t="shared" si="25"/>
        <v>1.0803781683547413</v>
      </c>
    </row>
    <row r="107" spans="1:7" ht="25.5" x14ac:dyDescent="0.25">
      <c r="A107" s="1">
        <v>97</v>
      </c>
      <c r="B107" s="1">
        <f t="shared" ref="B107:B138" si="26">BS_call(A107,σ,rf,q,T,X)</f>
        <v>1.6663455889076317</v>
      </c>
      <c r="C107">
        <f t="shared" ref="C107:C138" si="27">in_val_call(A107,σ,rf,q,T,X)</f>
        <v>0</v>
      </c>
      <c r="D107">
        <f t="shared" si="24"/>
        <v>1.6663455889076317</v>
      </c>
      <c r="E107" s="1">
        <f t="shared" ref="E107:E138" si="28">BS_put(A107,σ,rf,q,T,X)</f>
        <v>4.4166578286536335</v>
      </c>
      <c r="F107">
        <f t="shared" ref="F107:F138" si="29">in_val_put(A107,σ,rf,q,T,X)</f>
        <v>3</v>
      </c>
      <c r="G107">
        <f t="shared" si="25"/>
        <v>1.4166578286536335</v>
      </c>
    </row>
    <row r="108" spans="1:7" ht="25.5" x14ac:dyDescent="0.25">
      <c r="A108" s="1">
        <v>98</v>
      </c>
      <c r="B108" s="1">
        <f t="shared" si="26"/>
        <v>2.0561175062687056</v>
      </c>
      <c r="C108">
        <f t="shared" si="27"/>
        <v>0</v>
      </c>
      <c r="D108">
        <f t="shared" si="24"/>
        <v>2.0561175062687056</v>
      </c>
      <c r="E108" s="1">
        <f t="shared" si="28"/>
        <v>3.8064297460147216</v>
      </c>
      <c r="F108">
        <f t="shared" si="29"/>
        <v>2</v>
      </c>
      <c r="G108">
        <f t="shared" si="25"/>
        <v>1.8064297460147216</v>
      </c>
    </row>
    <row r="109" spans="1:7" ht="25.5" x14ac:dyDescent="0.25">
      <c r="A109" s="1">
        <v>99</v>
      </c>
      <c r="B109" s="1">
        <f t="shared" si="26"/>
        <v>2.5009846478185978</v>
      </c>
      <c r="C109">
        <f t="shared" si="27"/>
        <v>0</v>
      </c>
      <c r="D109">
        <f t="shared" si="24"/>
        <v>2.5009846478185978</v>
      </c>
      <c r="E109" s="1">
        <f t="shared" si="28"/>
        <v>3.2512968875646067</v>
      </c>
      <c r="F109">
        <f t="shared" si="29"/>
        <v>1</v>
      </c>
      <c r="G109">
        <f t="shared" si="25"/>
        <v>2.2512968875646067</v>
      </c>
    </row>
    <row r="110" spans="1:7" ht="25.5" x14ac:dyDescent="0.25">
      <c r="A110" s="1">
        <v>100</v>
      </c>
      <c r="B110" s="1">
        <f t="shared" si="26"/>
        <v>3.0014675008944849</v>
      </c>
      <c r="C110">
        <f t="shared" si="27"/>
        <v>0</v>
      </c>
      <c r="D110">
        <f t="shared" si="24"/>
        <v>3.0014675008944849</v>
      </c>
      <c r="E110" s="1">
        <f t="shared" si="28"/>
        <v>2.7517797406404867</v>
      </c>
      <c r="F110">
        <f t="shared" si="29"/>
        <v>0</v>
      </c>
      <c r="G110">
        <f t="shared" si="25"/>
        <v>2.7517797406404867</v>
      </c>
    </row>
    <row r="111" spans="1:7" ht="25.5" x14ac:dyDescent="0.25">
      <c r="A111" s="1">
        <v>101</v>
      </c>
      <c r="B111" s="1">
        <f t="shared" si="26"/>
        <v>3.5570059698365242</v>
      </c>
      <c r="C111">
        <f t="shared" si="27"/>
        <v>1</v>
      </c>
      <c r="D111">
        <f t="shared" si="24"/>
        <v>2.5570059698365242</v>
      </c>
      <c r="E111" s="1">
        <f t="shared" si="28"/>
        <v>2.3073182095825331</v>
      </c>
      <c r="F111">
        <f t="shared" si="29"/>
        <v>0</v>
      </c>
      <c r="G111">
        <f t="shared" si="25"/>
        <v>2.3073182095825331</v>
      </c>
    </row>
    <row r="112" spans="1:7" ht="25.5" x14ac:dyDescent="0.25">
      <c r="A112" s="1">
        <v>102</v>
      </c>
      <c r="B112" s="1">
        <f t="shared" si="26"/>
        <v>4.166022672471513</v>
      </c>
      <c r="C112">
        <f t="shared" si="27"/>
        <v>2</v>
      </c>
      <c r="D112">
        <f t="shared" si="24"/>
        <v>2.166022672471513</v>
      </c>
      <c r="E112" s="1">
        <f t="shared" si="28"/>
        <v>1.9163349122175219</v>
      </c>
      <c r="F112">
        <f t="shared" si="29"/>
        <v>0</v>
      </c>
      <c r="G112">
        <f t="shared" si="25"/>
        <v>1.9163349122175219</v>
      </c>
    </row>
    <row r="113" spans="1:7" ht="25.5" x14ac:dyDescent="0.25">
      <c r="A113" s="1">
        <v>103</v>
      </c>
      <c r="B113" s="1">
        <f t="shared" si="26"/>
        <v>4.8260388332232083</v>
      </c>
      <c r="C113">
        <f t="shared" si="27"/>
        <v>3</v>
      </c>
      <c r="D113">
        <f t="shared" si="24"/>
        <v>1.8260388332232083</v>
      </c>
      <c r="E113" s="1">
        <f t="shared" si="28"/>
        <v>1.5763510729692172</v>
      </c>
      <c r="F113">
        <f t="shared" si="29"/>
        <v>0</v>
      </c>
      <c r="G113">
        <f t="shared" si="25"/>
        <v>1.5763510729692172</v>
      </c>
    </row>
    <row r="114" spans="1:7" ht="25.5" x14ac:dyDescent="0.25">
      <c r="A114" s="1">
        <v>104</v>
      </c>
      <c r="B114" s="1">
        <f t="shared" si="26"/>
        <v>5.5338299578972396</v>
      </c>
      <c r="C114">
        <f t="shared" si="27"/>
        <v>4</v>
      </c>
      <c r="D114">
        <f t="shared" si="24"/>
        <v>1.5338299578972396</v>
      </c>
      <c r="E114" s="1">
        <f t="shared" si="28"/>
        <v>1.284142197643245</v>
      </c>
      <c r="F114">
        <f t="shared" si="29"/>
        <v>0</v>
      </c>
      <c r="G114">
        <f t="shared" si="25"/>
        <v>1.284142197643245</v>
      </c>
    </row>
    <row r="115" spans="1:7" ht="25.5" x14ac:dyDescent="0.25">
      <c r="A115" s="1">
        <v>105</v>
      </c>
      <c r="B115" s="1">
        <f t="shared" si="26"/>
        <v>6.2856062765561944</v>
      </c>
      <c r="C115">
        <f t="shared" si="27"/>
        <v>5</v>
      </c>
      <c r="D115">
        <f t="shared" si="24"/>
        <v>1.2856062765561944</v>
      </c>
      <c r="E115" s="1">
        <f t="shared" si="28"/>
        <v>1.0359185163022104</v>
      </c>
      <c r="F115">
        <f t="shared" si="29"/>
        <v>0</v>
      </c>
      <c r="G115">
        <f t="shared" si="25"/>
        <v>1.0359185163022104</v>
      </c>
    </row>
    <row r="116" spans="1:7" ht="25.5" x14ac:dyDescent="0.25">
      <c r="A116" s="1">
        <v>106</v>
      </c>
      <c r="B116" s="1">
        <f t="shared" si="26"/>
        <v>7.077202590022992</v>
      </c>
      <c r="C116">
        <f t="shared" si="27"/>
        <v>6</v>
      </c>
      <c r="D116">
        <f t="shared" si="24"/>
        <v>1.077202590022992</v>
      </c>
      <c r="E116" s="1">
        <f t="shared" si="28"/>
        <v>0.82751482976901158</v>
      </c>
      <c r="F116">
        <f t="shared" si="29"/>
        <v>0</v>
      </c>
      <c r="G116">
        <f t="shared" si="25"/>
        <v>0.82751482976901158</v>
      </c>
    </row>
    <row r="117" spans="1:7" ht="25.5" x14ac:dyDescent="0.25">
      <c r="A117" s="1">
        <v>107</v>
      </c>
      <c r="B117" s="1">
        <f t="shared" si="26"/>
        <v>7.9042634275494095</v>
      </c>
      <c r="C117">
        <f t="shared" si="27"/>
        <v>7</v>
      </c>
      <c r="D117">
        <f t="shared" si="24"/>
        <v>0.90426342754940947</v>
      </c>
      <c r="E117" s="1">
        <f t="shared" si="28"/>
        <v>0.65457566729541128</v>
      </c>
      <c r="F117">
        <f t="shared" si="29"/>
        <v>0</v>
      </c>
      <c r="G117">
        <f t="shared" si="25"/>
        <v>0.65457566729541128</v>
      </c>
    </row>
    <row r="118" spans="1:7" ht="25.5" x14ac:dyDescent="0.25">
      <c r="A118" s="1">
        <v>108</v>
      </c>
      <c r="B118" s="1">
        <f t="shared" si="26"/>
        <v>8.7624119115312453</v>
      </c>
      <c r="C118">
        <f t="shared" si="27"/>
        <v>8</v>
      </c>
      <c r="D118">
        <f t="shared" si="24"/>
        <v>0.76241191153124532</v>
      </c>
      <c r="E118" s="1">
        <f t="shared" si="28"/>
        <v>0.51272415127725068</v>
      </c>
      <c r="F118">
        <f t="shared" si="29"/>
        <v>0</v>
      </c>
      <c r="G118">
        <f t="shared" si="25"/>
        <v>0.51272415127725068</v>
      </c>
    </row>
    <row r="119" spans="1:7" ht="25.5" x14ac:dyDescent="0.25">
      <c r="A119" s="1">
        <v>109</v>
      </c>
      <c r="B119" s="1">
        <f t="shared" si="26"/>
        <v>9.6473939350214835</v>
      </c>
      <c r="C119">
        <f t="shared" si="27"/>
        <v>9</v>
      </c>
      <c r="D119">
        <f t="shared" si="24"/>
        <v>0.64739393502148346</v>
      </c>
      <c r="E119" s="1">
        <f t="shared" si="28"/>
        <v>0.39770617476750481</v>
      </c>
      <c r="F119">
        <f t="shared" si="29"/>
        <v>0</v>
      </c>
      <c r="G119">
        <f t="shared" si="25"/>
        <v>0.39770617476750481</v>
      </c>
    </row>
    <row r="120" spans="1:7" ht="25.5" x14ac:dyDescent="0.25">
      <c r="A120" s="1">
        <v>110</v>
      </c>
      <c r="B120" s="1">
        <f t="shared" si="26"/>
        <v>10.555192695217869</v>
      </c>
      <c r="C120">
        <f t="shared" si="27"/>
        <v>10</v>
      </c>
      <c r="D120">
        <f t="shared" si="24"/>
        <v>0.55519269521786896</v>
      </c>
      <c r="E120" s="1">
        <f t="shared" si="28"/>
        <v>0.30550493496387254</v>
      </c>
      <c r="F120">
        <f t="shared" si="29"/>
        <v>0</v>
      </c>
      <c r="G120">
        <f t="shared" si="25"/>
        <v>0.30550493496387254</v>
      </c>
    </row>
    <row r="121" spans="1:7" ht="25.5" x14ac:dyDescent="0.25">
      <c r="A121" s="1">
        <v>111</v>
      </c>
      <c r="B121" s="1">
        <f t="shared" si="26"/>
        <v>11.482111868127831</v>
      </c>
      <c r="C121">
        <f t="shared" si="27"/>
        <v>11</v>
      </c>
      <c r="D121">
        <f t="shared" si="24"/>
        <v>0.48211186812783069</v>
      </c>
      <c r="E121" s="1">
        <f t="shared" si="28"/>
        <v>0.23242410787384227</v>
      </c>
      <c r="F121">
        <f t="shared" si="29"/>
        <v>0</v>
      </c>
      <c r="G121">
        <f t="shared" si="25"/>
        <v>0.23242410787384227</v>
      </c>
    </row>
    <row r="122" spans="1:7" ht="25.5" x14ac:dyDescent="0.25">
      <c r="A122" s="1">
        <v>112</v>
      </c>
      <c r="B122" s="1">
        <f t="shared" si="26"/>
        <v>12.424828447795662</v>
      </c>
      <c r="C122">
        <f t="shared" si="27"/>
        <v>12</v>
      </c>
      <c r="D122">
        <f t="shared" si="24"/>
        <v>0.42482844779566165</v>
      </c>
      <c r="E122" s="1">
        <f t="shared" si="28"/>
        <v>0.17514068754167322</v>
      </c>
      <c r="F122">
        <f t="shared" si="29"/>
        <v>0</v>
      </c>
      <c r="G122">
        <f t="shared" si="25"/>
        <v>0.17514068754167322</v>
      </c>
    </row>
    <row r="123" spans="1:7" ht="25.5" x14ac:dyDescent="0.25">
      <c r="A123" s="1">
        <v>113</v>
      </c>
      <c r="B123" s="1">
        <f t="shared" si="26"/>
        <v>13.380418329724691</v>
      </c>
      <c r="C123">
        <f t="shared" si="27"/>
        <v>13</v>
      </c>
      <c r="D123">
        <f t="shared" si="24"/>
        <v>0.38041832972469081</v>
      </c>
      <c r="E123" s="1">
        <f t="shared" si="28"/>
        <v>0.13073056947069972</v>
      </c>
      <c r="F123">
        <f t="shared" si="29"/>
        <v>0</v>
      </c>
      <c r="G123">
        <f t="shared" si="25"/>
        <v>0.13073056947069972</v>
      </c>
    </row>
    <row r="124" spans="1:7" ht="25.5" x14ac:dyDescent="0.25">
      <c r="A124" s="1">
        <v>114</v>
      </c>
      <c r="B124" s="1">
        <f t="shared" si="26"/>
        <v>14.346359037228297</v>
      </c>
      <c r="C124">
        <f t="shared" si="27"/>
        <v>14</v>
      </c>
      <c r="D124">
        <f t="shared" si="24"/>
        <v>0.34635903722829653</v>
      </c>
      <c r="E124" s="1">
        <f t="shared" si="28"/>
        <v>9.6671276974319209E-2</v>
      </c>
      <c r="F124">
        <f t="shared" si="29"/>
        <v>0</v>
      </c>
      <c r="G124">
        <f t="shared" si="25"/>
        <v>9.6671276974319209E-2</v>
      </c>
    </row>
    <row r="125" spans="1:7" ht="25.5" x14ac:dyDescent="0.25">
      <c r="A125" s="1">
        <v>115</v>
      </c>
      <c r="B125" s="1">
        <f t="shared" si="26"/>
        <v>15.320514615488094</v>
      </c>
      <c r="C125">
        <f t="shared" si="27"/>
        <v>15</v>
      </c>
      <c r="D125">
        <f t="shared" si="24"/>
        <v>0.32051461548809357</v>
      </c>
      <c r="E125" s="1">
        <f t="shared" si="28"/>
        <v>7.0826855234117136E-2</v>
      </c>
      <c r="F125">
        <f t="shared" si="29"/>
        <v>0</v>
      </c>
      <c r="G125">
        <f t="shared" si="25"/>
        <v>7.0826855234117136E-2</v>
      </c>
    </row>
    <row r="126" spans="1:7" ht="25.5" x14ac:dyDescent="0.25">
      <c r="A126" s="1">
        <v>116</v>
      </c>
      <c r="B126" s="1">
        <f t="shared" si="26"/>
        <v>16.30110776292949</v>
      </c>
      <c r="C126">
        <f t="shared" si="27"/>
        <v>16</v>
      </c>
      <c r="D126">
        <f t="shared" si="24"/>
        <v>0.30110776292949026</v>
      </c>
      <c r="E126" s="1">
        <f t="shared" si="28"/>
        <v>5.1420002675499177E-2</v>
      </c>
      <c r="F126">
        <f t="shared" si="29"/>
        <v>0</v>
      </c>
      <c r="G126">
        <f t="shared" si="25"/>
        <v>5.1420002675499177E-2</v>
      </c>
    </row>
    <row r="127" spans="1:7" ht="25.5" x14ac:dyDescent="0.25">
      <c r="A127" s="1">
        <v>117</v>
      </c>
      <c r="B127" s="1">
        <f t="shared" si="26"/>
        <v>17.286683880313333</v>
      </c>
      <c r="C127">
        <f t="shared" si="27"/>
        <v>17</v>
      </c>
      <c r="D127">
        <f t="shared" si="24"/>
        <v>0.28668388031333336</v>
      </c>
      <c r="E127" s="1">
        <f t="shared" si="28"/>
        <v>3.6996120059326953E-2</v>
      </c>
      <c r="F127">
        <f t="shared" si="29"/>
        <v>0</v>
      </c>
      <c r="G127">
        <f t="shared" si="25"/>
        <v>3.6996120059326953E-2</v>
      </c>
    </row>
    <row r="128" spans="1:7" ht="25.5" x14ac:dyDescent="0.25">
      <c r="A128" s="1">
        <v>118</v>
      </c>
      <c r="B128" s="1">
        <f t="shared" si="26"/>
        <v>18.276071049081139</v>
      </c>
      <c r="C128">
        <f t="shared" si="27"/>
        <v>18</v>
      </c>
      <c r="D128">
        <f t="shared" si="24"/>
        <v>0.27607104908113911</v>
      </c>
      <c r="E128" s="1">
        <f t="shared" si="28"/>
        <v>2.6383288827142692E-2</v>
      </c>
      <c r="F128">
        <f t="shared" si="29"/>
        <v>0</v>
      </c>
      <c r="G128">
        <f t="shared" si="25"/>
        <v>2.6383288827142692E-2</v>
      </c>
    </row>
    <row r="129" spans="1:7" ht="25.5" x14ac:dyDescent="0.25">
      <c r="A129" s="1">
        <v>119</v>
      </c>
      <c r="B129" s="1">
        <f t="shared" si="26"/>
        <v>19.268339142752026</v>
      </c>
      <c r="C129">
        <f t="shared" si="27"/>
        <v>19</v>
      </c>
      <c r="D129">
        <f t="shared" si="24"/>
        <v>0.26833914275202631</v>
      </c>
      <c r="E129" s="1">
        <f t="shared" si="28"/>
        <v>1.8651382498016456E-2</v>
      </c>
      <c r="F129">
        <f t="shared" si="29"/>
        <v>0</v>
      </c>
      <c r="G129">
        <f t="shared" si="25"/>
        <v>1.8651382498016456E-2</v>
      </c>
    </row>
    <row r="130" spans="1:7" ht="25.5" x14ac:dyDescent="0.25">
      <c r="A130" s="1">
        <v>120</v>
      </c>
      <c r="B130" s="1">
        <f t="shared" si="26"/>
        <v>20.262760442932475</v>
      </c>
      <c r="C130">
        <f t="shared" si="27"/>
        <v>20</v>
      </c>
      <c r="D130">
        <f t="shared" si="24"/>
        <v>0.2627604429324748</v>
      </c>
      <c r="E130" s="1">
        <f t="shared" si="28"/>
        <v>1.307268267849282E-2</v>
      </c>
      <c r="F130">
        <f t="shared" si="29"/>
        <v>0</v>
      </c>
      <c r="G130">
        <f t="shared" si="25"/>
        <v>1.307268267849282E-2</v>
      </c>
    </row>
    <row r="131" spans="1:7" ht="25.5" x14ac:dyDescent="0.25">
      <c r="A131" s="1">
        <v>121</v>
      </c>
      <c r="B131" s="1">
        <f t="shared" si="26"/>
        <v>21.25877335739068</v>
      </c>
      <c r="C131">
        <f t="shared" si="27"/>
        <v>21</v>
      </c>
      <c r="D131">
        <f t="shared" si="24"/>
        <v>0.2587733573906803</v>
      </c>
      <c r="E131" s="1">
        <f t="shared" si="28"/>
        <v>9.0855971366889388E-3</v>
      </c>
      <c r="F131">
        <f t="shared" si="29"/>
        <v>0</v>
      </c>
      <c r="G131">
        <f t="shared" si="25"/>
        <v>9.0855971366889388E-3</v>
      </c>
    </row>
    <row r="132" spans="1:7" ht="25.5" x14ac:dyDescent="0.25">
      <c r="A132" s="1">
        <v>122</v>
      </c>
      <c r="B132" s="1">
        <f t="shared" si="26"/>
        <v>22.255950172934362</v>
      </c>
      <c r="C132">
        <f t="shared" si="27"/>
        <v>22</v>
      </c>
      <c r="D132">
        <f t="shared" si="24"/>
        <v>0.25595017293436229</v>
      </c>
      <c r="E132" s="1">
        <f t="shared" si="28"/>
        <v>6.2624126803766389E-3</v>
      </c>
      <c r="F132">
        <f t="shared" si="29"/>
        <v>0</v>
      </c>
      <c r="G132">
        <f t="shared" si="25"/>
        <v>6.2624126803766389E-3</v>
      </c>
    </row>
    <row r="133" spans="1:7" ht="25.5" x14ac:dyDescent="0.25">
      <c r="A133" s="1">
        <v>123</v>
      </c>
      <c r="B133" s="1">
        <f t="shared" si="26"/>
        <v>23.253969244669406</v>
      </c>
      <c r="C133">
        <f t="shared" si="27"/>
        <v>23</v>
      </c>
      <c r="D133">
        <f t="shared" si="24"/>
        <v>0.25396924466940618</v>
      </c>
      <c r="E133" s="1">
        <f t="shared" si="28"/>
        <v>4.2814844153965803E-3</v>
      </c>
      <c r="F133">
        <f t="shared" si="29"/>
        <v>0</v>
      </c>
      <c r="G133">
        <f t="shared" si="25"/>
        <v>4.2814844153965803E-3</v>
      </c>
    </row>
    <row r="134" spans="1:7" ht="25.5" x14ac:dyDescent="0.25">
      <c r="A134" s="1">
        <v>124</v>
      </c>
      <c r="B134" s="1">
        <f t="shared" si="26"/>
        <v>24.25259162880927</v>
      </c>
      <c r="C134">
        <f t="shared" si="27"/>
        <v>24</v>
      </c>
      <c r="D134">
        <f t="shared" si="24"/>
        <v>0.25259162880927022</v>
      </c>
      <c r="E134" s="1">
        <f t="shared" si="28"/>
        <v>2.9038685552812971E-3</v>
      </c>
      <c r="F134">
        <f t="shared" si="29"/>
        <v>0</v>
      </c>
      <c r="G134">
        <f t="shared" si="25"/>
        <v>2.9038685552812971E-3</v>
      </c>
    </row>
    <row r="135" spans="1:7" ht="25.5" x14ac:dyDescent="0.25">
      <c r="A135" s="1">
        <v>125</v>
      </c>
      <c r="B135" s="1">
        <f t="shared" si="26"/>
        <v>25.251641897472325</v>
      </c>
      <c r="C135">
        <f t="shared" si="27"/>
        <v>25</v>
      </c>
      <c r="D135">
        <f t="shared" si="24"/>
        <v>0.25164189747232513</v>
      </c>
      <c r="E135" s="1">
        <f t="shared" si="28"/>
        <v>1.9541372183302236E-3</v>
      </c>
      <c r="F135">
        <f t="shared" si="29"/>
        <v>0</v>
      </c>
      <c r="G135">
        <f t="shared" si="25"/>
        <v>1.9541372183302236E-3</v>
      </c>
    </row>
    <row r="136" spans="1:7" ht="25.5" x14ac:dyDescent="0.25">
      <c r="A136" s="1">
        <v>126</v>
      </c>
      <c r="B136" s="1">
        <f t="shared" si="26"/>
        <v>26.250992711514172</v>
      </c>
      <c r="C136">
        <f t="shared" si="27"/>
        <v>26</v>
      </c>
      <c r="D136">
        <f t="shared" si="24"/>
        <v>0.25099271151417213</v>
      </c>
      <c r="E136" s="1">
        <f t="shared" si="28"/>
        <v>1.3049512601838176E-3</v>
      </c>
      <c r="F136">
        <f t="shared" si="29"/>
        <v>0</v>
      </c>
      <c r="G136">
        <f t="shared" si="25"/>
        <v>1.3049512601838176E-3</v>
      </c>
    </row>
    <row r="137" spans="1:7" ht="25.5" x14ac:dyDescent="0.25">
      <c r="A137" s="1">
        <v>127</v>
      </c>
      <c r="B137" s="1">
        <f t="shared" si="26"/>
        <v>27.250552648740239</v>
      </c>
      <c r="C137">
        <f t="shared" si="27"/>
        <v>27</v>
      </c>
      <c r="D137">
        <f t="shared" si="24"/>
        <v>0.25055264874023919</v>
      </c>
      <c r="E137" s="1">
        <f t="shared" si="28"/>
        <v>8.6488848624580172E-4</v>
      </c>
      <c r="F137">
        <f t="shared" si="29"/>
        <v>0</v>
      </c>
      <c r="G137">
        <f t="shared" si="25"/>
        <v>8.6488848624580172E-4</v>
      </c>
    </row>
    <row r="138" spans="1:7" ht="25.5" x14ac:dyDescent="0.25">
      <c r="A138" s="1">
        <v>128</v>
      </c>
      <c r="B138" s="1">
        <f t="shared" si="26"/>
        <v>28.250256767356504</v>
      </c>
      <c r="C138">
        <f t="shared" si="27"/>
        <v>28</v>
      </c>
      <c r="D138">
        <f t="shared" si="24"/>
        <v>0.25025676735650393</v>
      </c>
      <c r="E138" s="1">
        <f t="shared" si="28"/>
        <v>5.6900710251211323E-4</v>
      </c>
      <c r="F138">
        <f t="shared" si="29"/>
        <v>0</v>
      </c>
      <c r="G138">
        <f t="shared" si="25"/>
        <v>5.6900710251211323E-4</v>
      </c>
    </row>
    <row r="139" spans="1:7" ht="25.5" x14ac:dyDescent="0.25">
      <c r="A139" s="1">
        <v>129</v>
      </c>
      <c r="B139" s="1">
        <f t="shared" ref="B139:B170" si="30">BS_call(A139,σ,rf,q,T,X)</f>
        <v>29.250059408204436</v>
      </c>
      <c r="C139">
        <f t="shared" ref="C139:C170" si="31">in_val_call(A139,σ,rf,q,T,X)</f>
        <v>29</v>
      </c>
      <c r="D139">
        <f t="shared" si="24"/>
        <v>0.25005940820443584</v>
      </c>
      <c r="E139" s="1">
        <f t="shared" ref="E139:E170" si="32">BS_put(A139,σ,rf,q,T,X)</f>
        <v>3.7164795044354951E-4</v>
      </c>
      <c r="F139">
        <f t="shared" ref="F139:F170" si="33">in_val_put(A139,σ,rf,q,T,X)</f>
        <v>0</v>
      </c>
      <c r="G139">
        <f t="shared" si="25"/>
        <v>3.7164795044354951E-4</v>
      </c>
    </row>
    <row r="140" spans="1:7" ht="25.5" x14ac:dyDescent="0.25">
      <c r="A140" s="1">
        <v>130</v>
      </c>
      <c r="B140" s="1">
        <f t="shared" si="30"/>
        <v>30.249928787694117</v>
      </c>
      <c r="C140">
        <f t="shared" si="31"/>
        <v>30</v>
      </c>
      <c r="D140">
        <f t="shared" ref="D140:D203" si="34">B140-C140</f>
        <v>0.24992878769411675</v>
      </c>
      <c r="E140" s="1">
        <f t="shared" si="32"/>
        <v>2.4102744010984396E-4</v>
      </c>
      <c r="F140">
        <f t="shared" si="33"/>
        <v>0</v>
      </c>
      <c r="G140">
        <f t="shared" ref="G140:G203" si="35">E140-F140</f>
        <v>2.4102744010984396E-4</v>
      </c>
    </row>
    <row r="141" spans="1:7" ht="25.5" x14ac:dyDescent="0.25">
      <c r="A141" s="1">
        <v>131</v>
      </c>
      <c r="B141" s="1">
        <f t="shared" si="30"/>
        <v>31.249842993778117</v>
      </c>
      <c r="C141">
        <f t="shared" si="31"/>
        <v>31</v>
      </c>
      <c r="D141">
        <f t="shared" si="34"/>
        <v>0.24984299377811681</v>
      </c>
      <c r="E141" s="1">
        <f t="shared" si="32"/>
        <v>1.5523352413098802E-4</v>
      </c>
      <c r="F141">
        <f t="shared" si="33"/>
        <v>0</v>
      </c>
      <c r="G141">
        <f t="shared" si="35"/>
        <v>1.5523352413098802E-4</v>
      </c>
    </row>
    <row r="142" spans="1:7" ht="25.5" x14ac:dyDescent="0.25">
      <c r="A142" s="1">
        <v>132</v>
      </c>
      <c r="B142" s="1">
        <f t="shared" si="30"/>
        <v>32.249787060820225</v>
      </c>
      <c r="C142">
        <f t="shared" si="31"/>
        <v>32</v>
      </c>
      <c r="D142">
        <f t="shared" si="34"/>
        <v>0.24978706082022484</v>
      </c>
      <c r="E142" s="1">
        <f t="shared" si="32"/>
        <v>9.9300566237658407E-5</v>
      </c>
      <c r="F142">
        <f t="shared" si="33"/>
        <v>0</v>
      </c>
      <c r="G142">
        <f t="shared" si="35"/>
        <v>9.9300566237658407E-5</v>
      </c>
    </row>
    <row r="143" spans="1:7" ht="25.5" x14ac:dyDescent="0.25">
      <c r="A143" s="1">
        <v>133</v>
      </c>
      <c r="B143" s="1">
        <f t="shared" si="30"/>
        <v>33.249750859947383</v>
      </c>
      <c r="C143">
        <f t="shared" si="31"/>
        <v>33</v>
      </c>
      <c r="D143">
        <f t="shared" si="34"/>
        <v>0.24975085994738322</v>
      </c>
      <c r="E143" s="1">
        <f t="shared" si="32"/>
        <v>6.30996933817401E-5</v>
      </c>
      <c r="F143">
        <f t="shared" si="33"/>
        <v>0</v>
      </c>
      <c r="G143">
        <f t="shared" si="35"/>
        <v>6.30996933817401E-5</v>
      </c>
    </row>
    <row r="144" spans="1:7" ht="25.5" x14ac:dyDescent="0.25">
      <c r="A144" s="1">
        <v>134</v>
      </c>
      <c r="B144" s="1">
        <f t="shared" si="30"/>
        <v>34.249727596041822</v>
      </c>
      <c r="C144">
        <f t="shared" si="31"/>
        <v>34</v>
      </c>
      <c r="D144">
        <f t="shared" si="34"/>
        <v>0.24972759604182215</v>
      </c>
      <c r="E144" s="1">
        <f t="shared" si="32"/>
        <v>3.9835787847294999E-5</v>
      </c>
      <c r="F144">
        <f t="shared" si="33"/>
        <v>0</v>
      </c>
      <c r="G144">
        <f t="shared" si="35"/>
        <v>3.9835787847294999E-5</v>
      </c>
    </row>
    <row r="145" spans="1:7" ht="25.5" x14ac:dyDescent="0.25">
      <c r="A145" s="1">
        <v>135</v>
      </c>
      <c r="B145" s="1">
        <f t="shared" si="30"/>
        <v>35.249712749357258</v>
      </c>
      <c r="C145">
        <f t="shared" si="31"/>
        <v>35</v>
      </c>
      <c r="D145">
        <f t="shared" si="34"/>
        <v>0.24971274935725774</v>
      </c>
      <c r="E145" s="1">
        <f t="shared" si="32"/>
        <v>2.498910328830998E-5</v>
      </c>
      <c r="F145">
        <f t="shared" si="33"/>
        <v>0</v>
      </c>
      <c r="G145">
        <f t="shared" si="35"/>
        <v>2.498910328830998E-5</v>
      </c>
    </row>
    <row r="146" spans="1:7" ht="25.5" x14ac:dyDescent="0.25">
      <c r="A146" s="1">
        <v>136</v>
      </c>
      <c r="B146" s="1">
        <f t="shared" si="30"/>
        <v>36.249703338501391</v>
      </c>
      <c r="C146">
        <f t="shared" si="31"/>
        <v>36</v>
      </c>
      <c r="D146">
        <f t="shared" si="34"/>
        <v>0.2497033385013907</v>
      </c>
      <c r="E146" s="1">
        <f t="shared" si="32"/>
        <v>1.5578247389605579E-5</v>
      </c>
      <c r="F146">
        <f t="shared" si="33"/>
        <v>0</v>
      </c>
      <c r="G146">
        <f t="shared" si="35"/>
        <v>1.5578247389605579E-5</v>
      </c>
    </row>
    <row r="147" spans="1:7" ht="25.5" x14ac:dyDescent="0.25">
      <c r="A147" s="1">
        <v>137</v>
      </c>
      <c r="B147" s="1">
        <f t="shared" si="30"/>
        <v>37.249697412665242</v>
      </c>
      <c r="C147">
        <f t="shared" si="31"/>
        <v>37</v>
      </c>
      <c r="D147">
        <f t="shared" si="34"/>
        <v>0.24969741266524181</v>
      </c>
      <c r="E147" s="1">
        <f t="shared" si="32"/>
        <v>9.6524112777789453E-6</v>
      </c>
      <c r="F147">
        <f t="shared" si="33"/>
        <v>0</v>
      </c>
      <c r="G147">
        <f t="shared" si="35"/>
        <v>9.6524112777789453E-6</v>
      </c>
    </row>
    <row r="148" spans="1:7" ht="25.5" x14ac:dyDescent="0.25">
      <c r="A148" s="1">
        <v>138</v>
      </c>
      <c r="B148" s="1">
        <f t="shared" si="30"/>
        <v>38.249693705365729</v>
      </c>
      <c r="C148">
        <f t="shared" si="31"/>
        <v>38</v>
      </c>
      <c r="D148">
        <f t="shared" si="34"/>
        <v>0.2496937053657291</v>
      </c>
      <c r="E148" s="1">
        <f t="shared" si="32"/>
        <v>5.9451117268633142E-6</v>
      </c>
      <c r="F148">
        <f t="shared" si="33"/>
        <v>0</v>
      </c>
      <c r="G148">
        <f t="shared" si="35"/>
        <v>5.9451117268633142E-6</v>
      </c>
    </row>
    <row r="149" spans="1:7" ht="25.5" x14ac:dyDescent="0.25">
      <c r="A149" s="1">
        <v>139</v>
      </c>
      <c r="B149" s="1">
        <f t="shared" si="30"/>
        <v>39.249691400644025</v>
      </c>
      <c r="C149">
        <f t="shared" si="31"/>
        <v>39</v>
      </c>
      <c r="D149">
        <f t="shared" si="34"/>
        <v>0.24969140064402495</v>
      </c>
      <c r="E149" s="1">
        <f t="shared" si="32"/>
        <v>3.6403900183348608E-6</v>
      </c>
      <c r="F149">
        <f t="shared" si="33"/>
        <v>0</v>
      </c>
      <c r="G149">
        <f t="shared" si="35"/>
        <v>3.6403900183348608E-6</v>
      </c>
    </row>
    <row r="150" spans="1:7" ht="25.5" x14ac:dyDescent="0.25">
      <c r="A150" s="1">
        <v>140</v>
      </c>
      <c r="B150" s="1">
        <f t="shared" si="30"/>
        <v>40.249689976690163</v>
      </c>
      <c r="C150">
        <f t="shared" si="31"/>
        <v>40</v>
      </c>
      <c r="D150">
        <f t="shared" si="34"/>
        <v>0.24968997669016346</v>
      </c>
      <c r="E150" s="1">
        <f t="shared" si="32"/>
        <v>2.2164361647548469E-6</v>
      </c>
      <c r="F150">
        <f t="shared" si="33"/>
        <v>0</v>
      </c>
      <c r="G150">
        <f t="shared" si="35"/>
        <v>2.2164361647548469E-6</v>
      </c>
    </row>
    <row r="151" spans="1:7" ht="25.5" x14ac:dyDescent="0.25">
      <c r="A151" s="1">
        <v>141</v>
      </c>
      <c r="B151" s="1">
        <f t="shared" si="30"/>
        <v>41.249689102205096</v>
      </c>
      <c r="C151">
        <f t="shared" si="31"/>
        <v>41</v>
      </c>
      <c r="D151">
        <f t="shared" si="34"/>
        <v>0.24968910220509599</v>
      </c>
      <c r="E151" s="1">
        <f t="shared" si="32"/>
        <v>1.3419511056750793E-6</v>
      </c>
      <c r="F151">
        <f t="shared" si="33"/>
        <v>0</v>
      </c>
      <c r="G151">
        <f t="shared" si="35"/>
        <v>1.3419511056750793E-6</v>
      </c>
    </row>
    <row r="152" spans="1:7" ht="25.5" x14ac:dyDescent="0.25">
      <c r="A152" s="1">
        <v>142</v>
      </c>
      <c r="B152" s="1">
        <f t="shared" si="30"/>
        <v>42.249688568318504</v>
      </c>
      <c r="C152">
        <f t="shared" si="31"/>
        <v>42</v>
      </c>
      <c r="D152">
        <f t="shared" si="34"/>
        <v>0.24968856831850417</v>
      </c>
      <c r="E152" s="1">
        <f t="shared" si="32"/>
        <v>8.0806452826714573E-7</v>
      </c>
      <c r="F152">
        <f t="shared" si="33"/>
        <v>0</v>
      </c>
      <c r="G152">
        <f t="shared" si="35"/>
        <v>8.0806452826714573E-7</v>
      </c>
    </row>
    <row r="153" spans="1:7" ht="25.5" x14ac:dyDescent="0.25">
      <c r="A153" s="1">
        <v>143</v>
      </c>
      <c r="B153" s="1">
        <f t="shared" si="30"/>
        <v>43.249688244243558</v>
      </c>
      <c r="C153">
        <f t="shared" si="31"/>
        <v>43</v>
      </c>
      <c r="D153">
        <f t="shared" si="34"/>
        <v>0.24968824424355773</v>
      </c>
      <c r="E153" s="1">
        <f t="shared" si="32"/>
        <v>4.8398957956302316E-7</v>
      </c>
      <c r="F153">
        <f t="shared" si="33"/>
        <v>0</v>
      </c>
      <c r="G153">
        <f t="shared" si="35"/>
        <v>4.8398957956302316E-7</v>
      </c>
    </row>
    <row r="154" spans="1:7" ht="25.5" x14ac:dyDescent="0.25">
      <c r="A154" s="1">
        <v>144</v>
      </c>
      <c r="B154" s="1">
        <f t="shared" si="30"/>
        <v>44.24968804862948</v>
      </c>
      <c r="C154">
        <f t="shared" si="31"/>
        <v>44</v>
      </c>
      <c r="D154">
        <f t="shared" si="34"/>
        <v>0.24968804862947991</v>
      </c>
      <c r="E154" s="1">
        <f t="shared" si="32"/>
        <v>2.8837547908199803E-7</v>
      </c>
      <c r="F154">
        <f t="shared" si="33"/>
        <v>0</v>
      </c>
      <c r="G154">
        <f t="shared" si="35"/>
        <v>2.8837547908199803E-7</v>
      </c>
    </row>
    <row r="155" spans="1:7" ht="25.5" x14ac:dyDescent="0.25">
      <c r="A155" s="1">
        <v>145</v>
      </c>
      <c r="B155" s="1">
        <f t="shared" si="30"/>
        <v>45.249687931201876</v>
      </c>
      <c r="C155">
        <f t="shared" si="31"/>
        <v>45</v>
      </c>
      <c r="D155">
        <f t="shared" si="34"/>
        <v>0.24968793120187627</v>
      </c>
      <c r="E155" s="1">
        <f t="shared" si="32"/>
        <v>1.7094788419823449E-7</v>
      </c>
      <c r="F155">
        <f t="shared" si="33"/>
        <v>0</v>
      </c>
      <c r="G155">
        <f t="shared" si="35"/>
        <v>1.7094788419823449E-7</v>
      </c>
    </row>
    <row r="156" spans="1:7" ht="25.5" x14ac:dyDescent="0.25">
      <c r="A156" s="1">
        <v>146</v>
      </c>
      <c r="B156" s="1">
        <f t="shared" si="30"/>
        <v>46.249687861086812</v>
      </c>
      <c r="C156">
        <f t="shared" si="31"/>
        <v>46</v>
      </c>
      <c r="D156">
        <f t="shared" si="34"/>
        <v>0.24968786108681229</v>
      </c>
      <c r="E156" s="1">
        <f t="shared" si="32"/>
        <v>1.0083282977806956E-7</v>
      </c>
      <c r="F156">
        <f t="shared" si="33"/>
        <v>0</v>
      </c>
      <c r="G156">
        <f t="shared" si="35"/>
        <v>1.0083282977806956E-7</v>
      </c>
    </row>
    <row r="157" spans="1:7" ht="25.5" x14ac:dyDescent="0.25">
      <c r="A157" s="1">
        <v>147</v>
      </c>
      <c r="B157" s="1">
        <f t="shared" si="30"/>
        <v>47.249687819440382</v>
      </c>
      <c r="C157">
        <f t="shared" si="31"/>
        <v>47</v>
      </c>
      <c r="D157">
        <f t="shared" si="34"/>
        <v>0.24968781944038199</v>
      </c>
      <c r="E157" s="1">
        <f t="shared" si="32"/>
        <v>5.9186377754080639E-8</v>
      </c>
      <c r="F157">
        <f t="shared" si="33"/>
        <v>0</v>
      </c>
      <c r="G157">
        <f t="shared" si="35"/>
        <v>5.9186377754080639E-8</v>
      </c>
    </row>
    <row r="158" spans="1:7" ht="25.5" x14ac:dyDescent="0.25">
      <c r="A158" s="1">
        <v>148</v>
      </c>
      <c r="B158" s="1">
        <f t="shared" si="30"/>
        <v>48.249687794829669</v>
      </c>
      <c r="C158">
        <f t="shared" si="31"/>
        <v>48</v>
      </c>
      <c r="D158">
        <f t="shared" si="34"/>
        <v>0.24968779482966852</v>
      </c>
      <c r="E158" s="1">
        <f t="shared" si="32"/>
        <v>3.4575695799396751E-8</v>
      </c>
      <c r="F158">
        <f t="shared" si="33"/>
        <v>0</v>
      </c>
      <c r="G158">
        <f t="shared" si="35"/>
        <v>3.4575695799396751E-8</v>
      </c>
    </row>
    <row r="159" spans="1:7" ht="25.5" x14ac:dyDescent="0.25">
      <c r="A159" s="1">
        <v>149</v>
      </c>
      <c r="B159" s="1">
        <f t="shared" si="30"/>
        <v>49.249687780358641</v>
      </c>
      <c r="C159">
        <f t="shared" si="31"/>
        <v>49</v>
      </c>
      <c r="D159">
        <f t="shared" si="34"/>
        <v>0.24968778035864148</v>
      </c>
      <c r="E159" s="1">
        <f t="shared" si="32"/>
        <v>2.0104638565561693E-8</v>
      </c>
      <c r="F159">
        <f t="shared" si="33"/>
        <v>0</v>
      </c>
      <c r="G159">
        <f t="shared" si="35"/>
        <v>2.0104638565561693E-8</v>
      </c>
    </row>
    <row r="160" spans="1:7" ht="25.5" x14ac:dyDescent="0.25">
      <c r="A160" s="1">
        <v>150</v>
      </c>
      <c r="B160" s="1">
        <f t="shared" si="30"/>
        <v>50.249687771891075</v>
      </c>
      <c r="C160">
        <f t="shared" si="31"/>
        <v>50</v>
      </c>
      <c r="D160">
        <f t="shared" si="34"/>
        <v>0.24968777189107527</v>
      </c>
      <c r="E160" s="1">
        <f t="shared" si="32"/>
        <v>1.1637069942904291E-8</v>
      </c>
      <c r="F160">
        <f t="shared" si="33"/>
        <v>0</v>
      </c>
      <c r="G160">
        <f t="shared" si="35"/>
        <v>1.1637069942904291E-8</v>
      </c>
    </row>
    <row r="161" spans="1:7" ht="25.5" x14ac:dyDescent="0.25">
      <c r="A161" s="1">
        <v>151</v>
      </c>
      <c r="B161" s="1">
        <f t="shared" si="30"/>
        <v>51.249687766959894</v>
      </c>
      <c r="C161">
        <f t="shared" si="31"/>
        <v>51</v>
      </c>
      <c r="D161">
        <f t="shared" si="34"/>
        <v>0.24968776695989447</v>
      </c>
      <c r="E161" s="1">
        <f t="shared" si="32"/>
        <v>6.7059138401312527E-9</v>
      </c>
      <c r="F161">
        <f t="shared" si="33"/>
        <v>0</v>
      </c>
      <c r="G161">
        <f t="shared" si="35"/>
        <v>6.7059138401312527E-9</v>
      </c>
    </row>
    <row r="162" spans="1:7" ht="25.5" x14ac:dyDescent="0.25">
      <c r="A162" s="1">
        <v>152</v>
      </c>
      <c r="B162" s="1">
        <f t="shared" si="30"/>
        <v>52.249687764101523</v>
      </c>
      <c r="C162">
        <f t="shared" si="31"/>
        <v>52</v>
      </c>
      <c r="D162">
        <f t="shared" si="34"/>
        <v>0.24968776410152316</v>
      </c>
      <c r="E162" s="1">
        <f t="shared" si="32"/>
        <v>3.8475407739950909E-9</v>
      </c>
      <c r="F162">
        <f t="shared" si="33"/>
        <v>0</v>
      </c>
      <c r="G162">
        <f t="shared" si="35"/>
        <v>3.8475407739950909E-9</v>
      </c>
    </row>
    <row r="163" spans="1:7" ht="25.5" x14ac:dyDescent="0.25">
      <c r="A163" s="1">
        <v>153</v>
      </c>
      <c r="B163" s="1">
        <f t="shared" si="30"/>
        <v>53.249687762452183</v>
      </c>
      <c r="C163">
        <f t="shared" si="31"/>
        <v>53</v>
      </c>
      <c r="D163">
        <f t="shared" si="34"/>
        <v>0.24968776245218294</v>
      </c>
      <c r="E163" s="1">
        <f t="shared" si="32"/>
        <v>2.1981762022540845E-9</v>
      </c>
      <c r="F163">
        <f t="shared" si="33"/>
        <v>0</v>
      </c>
      <c r="G163">
        <f t="shared" si="35"/>
        <v>2.1981762022540845E-9</v>
      </c>
    </row>
    <row r="164" spans="1:7" ht="25.5" x14ac:dyDescent="0.25">
      <c r="A164" s="1">
        <v>154</v>
      </c>
      <c r="B164" s="1">
        <f t="shared" si="30"/>
        <v>54.249687761504646</v>
      </c>
      <c r="C164">
        <f t="shared" si="31"/>
        <v>54</v>
      </c>
      <c r="D164">
        <f t="shared" si="34"/>
        <v>0.24968776150464578</v>
      </c>
      <c r="E164" s="1">
        <f t="shared" si="32"/>
        <v>1.2506562359572653E-9</v>
      </c>
      <c r="F164">
        <f t="shared" si="33"/>
        <v>0</v>
      </c>
      <c r="G164">
        <f t="shared" si="35"/>
        <v>1.2506562359572653E-9</v>
      </c>
    </row>
    <row r="165" spans="1:7" ht="25.5" x14ac:dyDescent="0.25">
      <c r="A165" s="1">
        <v>155</v>
      </c>
      <c r="B165" s="1">
        <f t="shared" si="30"/>
        <v>55.249687760962672</v>
      </c>
      <c r="C165">
        <f t="shared" si="31"/>
        <v>55</v>
      </c>
      <c r="D165">
        <f t="shared" si="34"/>
        <v>0.2496877609626722</v>
      </c>
      <c r="E165" s="1">
        <f t="shared" si="32"/>
        <v>7.0868113033803268E-10</v>
      </c>
      <c r="F165">
        <f t="shared" si="33"/>
        <v>0</v>
      </c>
      <c r="G165">
        <f t="shared" si="35"/>
        <v>7.0868113033803268E-10</v>
      </c>
    </row>
    <row r="166" spans="1:7" ht="25.5" x14ac:dyDescent="0.25">
      <c r="A166" s="1">
        <v>156</v>
      </c>
      <c r="B166" s="1">
        <f t="shared" si="30"/>
        <v>56.24968776065397</v>
      </c>
      <c r="C166">
        <f t="shared" si="31"/>
        <v>56</v>
      </c>
      <c r="D166">
        <f t="shared" si="34"/>
        <v>0.2496877606539698</v>
      </c>
      <c r="E166" s="1">
        <f t="shared" si="32"/>
        <v>3.9998312117200857E-10</v>
      </c>
      <c r="F166">
        <f t="shared" si="33"/>
        <v>0</v>
      </c>
      <c r="G166">
        <f t="shared" si="35"/>
        <v>3.9998312117200857E-10</v>
      </c>
    </row>
    <row r="167" spans="1:7" ht="25.5" x14ac:dyDescent="0.25">
      <c r="A167" s="1">
        <v>157</v>
      </c>
      <c r="B167" s="1">
        <f t="shared" si="30"/>
        <v>57.249687760478849</v>
      </c>
      <c r="C167">
        <f t="shared" si="31"/>
        <v>57</v>
      </c>
      <c r="D167">
        <f t="shared" si="34"/>
        <v>0.24968776047884944</v>
      </c>
      <c r="E167" s="1">
        <f t="shared" si="32"/>
        <v>2.2487951675254484E-10</v>
      </c>
      <c r="F167">
        <f t="shared" si="33"/>
        <v>0</v>
      </c>
      <c r="G167">
        <f t="shared" si="35"/>
        <v>2.2487951675254484E-10</v>
      </c>
    </row>
    <row r="168" spans="1:7" ht="25.5" x14ac:dyDescent="0.25">
      <c r="A168" s="1">
        <v>158</v>
      </c>
      <c r="B168" s="1">
        <f t="shared" si="30"/>
        <v>58.249687760379942</v>
      </c>
      <c r="C168">
        <f t="shared" si="31"/>
        <v>58</v>
      </c>
      <c r="D168">
        <f t="shared" si="34"/>
        <v>0.24968776037994189</v>
      </c>
      <c r="E168" s="1">
        <f t="shared" si="32"/>
        <v>1.2595467504802839E-10</v>
      </c>
      <c r="F168">
        <f t="shared" si="33"/>
        <v>0</v>
      </c>
      <c r="G168">
        <f t="shared" si="35"/>
        <v>1.2595467504802839E-10</v>
      </c>
    </row>
    <row r="169" spans="1:7" ht="25.5" x14ac:dyDescent="0.25">
      <c r="A169" s="1">
        <v>159</v>
      </c>
      <c r="B169" s="1">
        <f t="shared" si="30"/>
        <v>59.249687760324264</v>
      </c>
      <c r="C169">
        <f t="shared" si="31"/>
        <v>59</v>
      </c>
      <c r="D169">
        <f t="shared" si="34"/>
        <v>0.24968776032426376</v>
      </c>
      <c r="E169" s="1">
        <f t="shared" si="32"/>
        <v>7.0286632810675197E-11</v>
      </c>
      <c r="F169">
        <f t="shared" si="33"/>
        <v>0</v>
      </c>
      <c r="G169">
        <f t="shared" si="35"/>
        <v>7.0286632810675197E-11</v>
      </c>
    </row>
    <row r="170" spans="1:7" ht="25.5" x14ac:dyDescent="0.25">
      <c r="A170" s="1">
        <v>160</v>
      </c>
      <c r="B170" s="1">
        <f t="shared" si="30"/>
        <v>60.249687760293057</v>
      </c>
      <c r="C170">
        <f t="shared" si="31"/>
        <v>60</v>
      </c>
      <c r="D170">
        <f t="shared" si="34"/>
        <v>0.24968776029305673</v>
      </c>
      <c r="E170" s="1">
        <f t="shared" si="32"/>
        <v>3.9080699355501036E-11</v>
      </c>
      <c r="F170">
        <f t="shared" si="33"/>
        <v>0</v>
      </c>
      <c r="G170">
        <f t="shared" si="35"/>
        <v>3.9080699355501036E-11</v>
      </c>
    </row>
    <row r="171" spans="1:7" ht="25.5" x14ac:dyDescent="0.25">
      <c r="A171" s="1">
        <v>161</v>
      </c>
      <c r="B171" s="1">
        <f t="shared" ref="B171:B202" si="36">BS_call(A171,σ,rf,q,T,X)</f>
        <v>61.249687760275648</v>
      </c>
      <c r="C171">
        <f t="shared" ref="C171:C202" si="37">in_val_call(A171,σ,rf,q,T,X)</f>
        <v>61</v>
      </c>
      <c r="D171">
        <f t="shared" si="34"/>
        <v>0.24968776027564843</v>
      </c>
      <c r="E171" s="1">
        <f t="shared" ref="E171:E202" si="38">BS_put(A171,σ,rf,q,T,X)</f>
        <v>2.1653063723004079E-11</v>
      </c>
      <c r="F171">
        <f t="shared" ref="F171:F202" si="39">in_val_put(A171,σ,rf,q,T,X)</f>
        <v>0</v>
      </c>
      <c r="G171">
        <f t="shared" si="35"/>
        <v>2.1653063723004079E-11</v>
      </c>
    </row>
    <row r="172" spans="1:7" ht="25.5" x14ac:dyDescent="0.25">
      <c r="A172" s="1">
        <v>162</v>
      </c>
      <c r="B172" s="1">
        <f t="shared" si="36"/>
        <v>62.249687760265942</v>
      </c>
      <c r="C172">
        <f t="shared" si="37"/>
        <v>62</v>
      </c>
      <c r="D172">
        <f t="shared" si="34"/>
        <v>0.24968776026594242</v>
      </c>
      <c r="E172" s="1">
        <f t="shared" si="38"/>
        <v>1.1955819230838062E-11</v>
      </c>
      <c r="F172">
        <f t="shared" si="39"/>
        <v>0</v>
      </c>
      <c r="G172">
        <f t="shared" si="35"/>
        <v>1.1955819230838062E-11</v>
      </c>
    </row>
    <row r="173" spans="1:7" ht="25.5" x14ac:dyDescent="0.25">
      <c r="A173" s="1">
        <v>163</v>
      </c>
      <c r="B173" s="1">
        <f t="shared" si="36"/>
        <v>63.249687760260571</v>
      </c>
      <c r="C173">
        <f t="shared" si="37"/>
        <v>63</v>
      </c>
      <c r="D173">
        <f t="shared" si="34"/>
        <v>0.24968776026057071</v>
      </c>
      <c r="E173" s="1">
        <f t="shared" si="38"/>
        <v>6.5792599395107674E-12</v>
      </c>
      <c r="F173">
        <f t="shared" si="39"/>
        <v>0</v>
      </c>
      <c r="G173">
        <f t="shared" si="35"/>
        <v>6.5792599395107674E-12</v>
      </c>
    </row>
    <row r="174" spans="1:7" ht="25.5" x14ac:dyDescent="0.25">
      <c r="A174" s="1">
        <v>164</v>
      </c>
      <c r="B174" s="1">
        <f t="shared" si="36"/>
        <v>64.249687760257586</v>
      </c>
      <c r="C174">
        <f t="shared" si="37"/>
        <v>64</v>
      </c>
      <c r="D174">
        <f t="shared" si="34"/>
        <v>0.24968776025758643</v>
      </c>
      <c r="E174" s="1">
        <f t="shared" si="38"/>
        <v>3.6086643213983439E-12</v>
      </c>
      <c r="F174">
        <f t="shared" si="39"/>
        <v>0</v>
      </c>
      <c r="G174">
        <f t="shared" si="35"/>
        <v>3.6086643213983439E-12</v>
      </c>
    </row>
    <row r="175" spans="1:7" ht="25.5" x14ac:dyDescent="0.25">
      <c r="A175" s="1">
        <v>165</v>
      </c>
      <c r="B175" s="1">
        <f t="shared" si="36"/>
        <v>65.249687760255966</v>
      </c>
      <c r="C175">
        <f t="shared" si="37"/>
        <v>65</v>
      </c>
      <c r="D175">
        <f t="shared" si="34"/>
        <v>0.2496877602559664</v>
      </c>
      <c r="E175" s="1">
        <f t="shared" si="38"/>
        <v>1.9729721228498182E-12</v>
      </c>
      <c r="F175">
        <f t="shared" si="39"/>
        <v>0</v>
      </c>
      <c r="G175">
        <f t="shared" si="35"/>
        <v>1.9729721228498182E-12</v>
      </c>
    </row>
    <row r="176" spans="1:7" ht="25.5" x14ac:dyDescent="0.25">
      <c r="A176" s="1">
        <v>166</v>
      </c>
      <c r="B176" s="1">
        <f t="shared" si="36"/>
        <v>66.249687760255085</v>
      </c>
      <c r="C176">
        <f t="shared" si="37"/>
        <v>66</v>
      </c>
      <c r="D176">
        <f t="shared" si="34"/>
        <v>0.24968776025508532</v>
      </c>
      <c r="E176" s="1">
        <f t="shared" si="38"/>
        <v>1.0753083264698253E-12</v>
      </c>
      <c r="F176">
        <f t="shared" si="39"/>
        <v>0</v>
      </c>
      <c r="G176">
        <f t="shared" si="35"/>
        <v>1.0753083264698253E-12</v>
      </c>
    </row>
    <row r="177" spans="1:7" ht="25.5" x14ac:dyDescent="0.25">
      <c r="A177" s="1">
        <v>167</v>
      </c>
      <c r="B177" s="1">
        <f t="shared" si="36"/>
        <v>67.249687760254574</v>
      </c>
      <c r="C177">
        <f t="shared" si="37"/>
        <v>67</v>
      </c>
      <c r="D177">
        <f t="shared" si="34"/>
        <v>0.24968776025457373</v>
      </c>
      <c r="E177" s="1">
        <f t="shared" si="38"/>
        <v>5.8427128299252667E-13</v>
      </c>
      <c r="F177">
        <f t="shared" si="39"/>
        <v>0</v>
      </c>
      <c r="G177">
        <f t="shared" si="35"/>
        <v>5.8427128299252667E-13</v>
      </c>
    </row>
    <row r="178" spans="1:7" ht="25.5" x14ac:dyDescent="0.25">
      <c r="A178" s="1">
        <v>168</v>
      </c>
      <c r="B178" s="1">
        <f t="shared" si="36"/>
        <v>68.249687760254304</v>
      </c>
      <c r="C178">
        <f t="shared" si="37"/>
        <v>68</v>
      </c>
      <c r="D178">
        <f t="shared" si="34"/>
        <v>0.24968776025430373</v>
      </c>
      <c r="E178" s="1">
        <f t="shared" si="38"/>
        <v>3.1651678053009186E-13</v>
      </c>
      <c r="F178">
        <f t="shared" si="39"/>
        <v>0</v>
      </c>
      <c r="G178">
        <f t="shared" si="35"/>
        <v>3.1651678053009186E-13</v>
      </c>
    </row>
    <row r="179" spans="1:7" ht="25.5" x14ac:dyDescent="0.25">
      <c r="A179" s="1">
        <v>169</v>
      </c>
      <c r="B179" s="1">
        <f t="shared" si="36"/>
        <v>69.249687760254147</v>
      </c>
      <c r="C179">
        <f t="shared" si="37"/>
        <v>69</v>
      </c>
      <c r="D179">
        <f t="shared" si="34"/>
        <v>0.24968776025414741</v>
      </c>
      <c r="E179" s="1">
        <f t="shared" si="38"/>
        <v>1.7096614891974557E-13</v>
      </c>
      <c r="F179">
        <f t="shared" si="39"/>
        <v>0</v>
      </c>
      <c r="G179">
        <f t="shared" si="35"/>
        <v>1.7096614891974557E-13</v>
      </c>
    </row>
    <row r="180" spans="1:7" ht="25.5" x14ac:dyDescent="0.25">
      <c r="A180" s="1">
        <v>170</v>
      </c>
      <c r="B180" s="1">
        <f t="shared" si="36"/>
        <v>70.249687760254105</v>
      </c>
      <c r="C180">
        <f t="shared" si="37"/>
        <v>70</v>
      </c>
      <c r="D180">
        <f t="shared" si="34"/>
        <v>0.24968776025410477</v>
      </c>
      <c r="E180" s="1">
        <f t="shared" si="38"/>
        <v>9.2084085967154842E-14</v>
      </c>
      <c r="F180">
        <f t="shared" si="39"/>
        <v>0</v>
      </c>
      <c r="G180">
        <f t="shared" si="35"/>
        <v>9.2084085967154842E-14</v>
      </c>
    </row>
    <row r="181" spans="1:7" ht="25.5" x14ac:dyDescent="0.25">
      <c r="A181" s="1">
        <v>171</v>
      </c>
      <c r="B181" s="1">
        <f t="shared" si="36"/>
        <v>71.24968776025402</v>
      </c>
      <c r="C181">
        <f t="shared" si="37"/>
        <v>71</v>
      </c>
      <c r="D181">
        <f t="shared" si="34"/>
        <v>0.24968776025401951</v>
      </c>
      <c r="E181" s="1">
        <f t="shared" si="38"/>
        <v>4.9459455394395921E-14</v>
      </c>
      <c r="F181">
        <f t="shared" si="39"/>
        <v>0</v>
      </c>
      <c r="G181">
        <f t="shared" si="35"/>
        <v>4.9459455394395921E-14</v>
      </c>
    </row>
    <row r="182" spans="1:7" ht="25.5" x14ac:dyDescent="0.25">
      <c r="A182" s="1">
        <v>172</v>
      </c>
      <c r="B182" s="1">
        <f t="shared" si="36"/>
        <v>72.249687760254034</v>
      </c>
      <c r="C182">
        <f t="shared" si="37"/>
        <v>72</v>
      </c>
      <c r="D182">
        <f t="shared" si="34"/>
        <v>0.24968776025403372</v>
      </c>
      <c r="E182" s="1">
        <f t="shared" si="38"/>
        <v>2.649311242150468E-14</v>
      </c>
      <c r="F182">
        <f t="shared" si="39"/>
        <v>0</v>
      </c>
      <c r="G182">
        <f t="shared" si="35"/>
        <v>2.649311242150468E-14</v>
      </c>
    </row>
    <row r="183" spans="1:7" ht="25.5" x14ac:dyDescent="0.25">
      <c r="A183" s="1">
        <v>173</v>
      </c>
      <c r="B183" s="1">
        <f t="shared" si="36"/>
        <v>73.249687760254005</v>
      </c>
      <c r="C183">
        <f t="shared" si="37"/>
        <v>73</v>
      </c>
      <c r="D183">
        <f t="shared" si="34"/>
        <v>0.2496877602540053</v>
      </c>
      <c r="E183" s="1">
        <f t="shared" si="38"/>
        <v>1.4153489800304353E-14</v>
      </c>
      <c r="F183">
        <f t="shared" si="39"/>
        <v>0</v>
      </c>
      <c r="G183">
        <f t="shared" si="35"/>
        <v>1.4153489800304353E-14</v>
      </c>
    </row>
    <row r="184" spans="1:7" ht="25.5" x14ac:dyDescent="0.25">
      <c r="A184" s="1">
        <v>174</v>
      </c>
      <c r="B184" s="1">
        <f t="shared" si="36"/>
        <v>74.249687760253991</v>
      </c>
      <c r="C184">
        <f t="shared" si="37"/>
        <v>74</v>
      </c>
      <c r="D184">
        <f t="shared" si="34"/>
        <v>0.24968776025399109</v>
      </c>
      <c r="E184" s="1">
        <f t="shared" si="38"/>
        <v>7.5416850520833278E-15</v>
      </c>
      <c r="F184">
        <f t="shared" si="39"/>
        <v>0</v>
      </c>
      <c r="G184">
        <f t="shared" si="35"/>
        <v>7.5416850520833278E-15</v>
      </c>
    </row>
    <row r="185" spans="1:7" ht="25.5" x14ac:dyDescent="0.25">
      <c r="A185" s="1">
        <v>175</v>
      </c>
      <c r="B185" s="1">
        <f t="shared" si="36"/>
        <v>75.249687760253977</v>
      </c>
      <c r="C185">
        <f t="shared" si="37"/>
        <v>75</v>
      </c>
      <c r="D185">
        <f t="shared" si="34"/>
        <v>0.24968776025397688</v>
      </c>
      <c r="E185" s="1">
        <f t="shared" si="38"/>
        <v>4.0084305727148272E-15</v>
      </c>
      <c r="F185">
        <f t="shared" si="39"/>
        <v>0</v>
      </c>
      <c r="G185">
        <f t="shared" si="35"/>
        <v>4.0084305727148272E-15</v>
      </c>
    </row>
    <row r="186" spans="1:7" ht="25.5" x14ac:dyDescent="0.25">
      <c r="A186" s="1">
        <v>176</v>
      </c>
      <c r="B186" s="1">
        <f t="shared" si="36"/>
        <v>76.249687760254005</v>
      </c>
      <c r="C186">
        <f t="shared" si="37"/>
        <v>76</v>
      </c>
      <c r="D186">
        <f t="shared" si="34"/>
        <v>0.2496877602540053</v>
      </c>
      <c r="E186" s="1">
        <f t="shared" si="38"/>
        <v>2.1252386442086282E-15</v>
      </c>
      <c r="F186">
        <f t="shared" si="39"/>
        <v>0</v>
      </c>
      <c r="G186">
        <f t="shared" si="35"/>
        <v>2.1252386442086282E-15</v>
      </c>
    </row>
    <row r="187" spans="1:7" ht="25.5" x14ac:dyDescent="0.25">
      <c r="A187" s="1">
        <v>177</v>
      </c>
      <c r="B187" s="1">
        <f t="shared" si="36"/>
        <v>77.249687760254005</v>
      </c>
      <c r="C187">
        <f t="shared" si="37"/>
        <v>77</v>
      </c>
      <c r="D187">
        <f t="shared" si="34"/>
        <v>0.2496877602540053</v>
      </c>
      <c r="E187" s="1">
        <f t="shared" si="38"/>
        <v>1.1240719111358396E-15</v>
      </c>
      <c r="F187">
        <f t="shared" si="39"/>
        <v>0</v>
      </c>
      <c r="G187">
        <f t="shared" si="35"/>
        <v>1.1240719111358396E-15</v>
      </c>
    </row>
    <row r="188" spans="1:7" ht="25.5" x14ac:dyDescent="0.25">
      <c r="A188" s="1">
        <v>178</v>
      </c>
      <c r="B188" s="1">
        <f t="shared" si="36"/>
        <v>78.249687760254005</v>
      </c>
      <c r="C188">
        <f t="shared" si="37"/>
        <v>78</v>
      </c>
      <c r="D188">
        <f t="shared" si="34"/>
        <v>0.2496877602540053</v>
      </c>
      <c r="E188" s="1">
        <f t="shared" si="38"/>
        <v>5.9314200821355944E-16</v>
      </c>
      <c r="F188">
        <f t="shared" si="39"/>
        <v>0</v>
      </c>
      <c r="G188">
        <f t="shared" si="35"/>
        <v>5.9314200821355944E-16</v>
      </c>
    </row>
    <row r="189" spans="1:7" ht="25.5" x14ac:dyDescent="0.25">
      <c r="A189" s="1">
        <v>179</v>
      </c>
      <c r="B189" s="1">
        <f t="shared" si="36"/>
        <v>79.249687760253991</v>
      </c>
      <c r="C189">
        <f t="shared" si="37"/>
        <v>79</v>
      </c>
      <c r="D189">
        <f t="shared" si="34"/>
        <v>0.24968776025399109</v>
      </c>
      <c r="E189" s="1">
        <f t="shared" si="38"/>
        <v>3.12266990808612E-16</v>
      </c>
      <c r="F189">
        <f t="shared" si="39"/>
        <v>0</v>
      </c>
      <c r="G189">
        <f t="shared" si="35"/>
        <v>3.12266990808612E-16</v>
      </c>
    </row>
    <row r="190" spans="1:7" ht="25.5" x14ac:dyDescent="0.25">
      <c r="A190" s="1">
        <v>180</v>
      </c>
      <c r="B190" s="1">
        <f t="shared" si="36"/>
        <v>80.249687760253991</v>
      </c>
      <c r="C190">
        <f t="shared" si="37"/>
        <v>80</v>
      </c>
      <c r="D190">
        <f t="shared" si="34"/>
        <v>0.24968776025399109</v>
      </c>
      <c r="E190" s="1">
        <f t="shared" si="38"/>
        <v>1.6402889933383835E-16</v>
      </c>
      <c r="F190">
        <f t="shared" si="39"/>
        <v>0</v>
      </c>
      <c r="G190">
        <f t="shared" si="35"/>
        <v>1.6402889933383835E-16</v>
      </c>
    </row>
    <row r="191" spans="1:7" ht="25.5" x14ac:dyDescent="0.25">
      <c r="A191" s="1">
        <v>181</v>
      </c>
      <c r="B191" s="1">
        <f t="shared" si="36"/>
        <v>81.249687760253977</v>
      </c>
      <c r="C191">
        <f t="shared" si="37"/>
        <v>81</v>
      </c>
      <c r="D191">
        <f t="shared" si="34"/>
        <v>0.24968776025397688</v>
      </c>
      <c r="E191" s="1">
        <f t="shared" si="38"/>
        <v>8.5973605974296305E-17</v>
      </c>
      <c r="F191">
        <f t="shared" si="39"/>
        <v>0</v>
      </c>
      <c r="G191">
        <f t="shared" si="35"/>
        <v>8.5973605974296305E-17</v>
      </c>
    </row>
    <row r="192" spans="1:7" ht="25.5" x14ac:dyDescent="0.25">
      <c r="A192" s="1">
        <v>182</v>
      </c>
      <c r="B192" s="1">
        <f t="shared" si="36"/>
        <v>82.249687760253991</v>
      </c>
      <c r="C192">
        <f t="shared" si="37"/>
        <v>82</v>
      </c>
      <c r="D192">
        <f t="shared" si="34"/>
        <v>0.24968776025399109</v>
      </c>
      <c r="E192" s="1">
        <f t="shared" si="38"/>
        <v>4.4965919506455056E-17</v>
      </c>
      <c r="F192">
        <f t="shared" si="39"/>
        <v>0</v>
      </c>
      <c r="G192">
        <f t="shared" si="35"/>
        <v>4.4965919506455056E-17</v>
      </c>
    </row>
    <row r="193" spans="1:7" ht="25.5" x14ac:dyDescent="0.25">
      <c r="A193" s="1">
        <v>183</v>
      </c>
      <c r="B193" s="1">
        <f t="shared" si="36"/>
        <v>83.249687760253991</v>
      </c>
      <c r="C193">
        <f t="shared" si="37"/>
        <v>83</v>
      </c>
      <c r="D193">
        <f t="shared" si="34"/>
        <v>0.24968776025399109</v>
      </c>
      <c r="E193" s="1">
        <f t="shared" si="38"/>
        <v>2.346918335312636E-17</v>
      </c>
      <c r="F193">
        <f t="shared" si="39"/>
        <v>0</v>
      </c>
      <c r="G193">
        <f t="shared" si="35"/>
        <v>2.346918335312636E-17</v>
      </c>
    </row>
    <row r="194" spans="1:7" ht="25.5" x14ac:dyDescent="0.25">
      <c r="A194" s="1">
        <v>184</v>
      </c>
      <c r="B194" s="1">
        <f t="shared" si="36"/>
        <v>84.249687760253991</v>
      </c>
      <c r="C194">
        <f t="shared" si="37"/>
        <v>84</v>
      </c>
      <c r="D194">
        <f t="shared" si="34"/>
        <v>0.24968776025399109</v>
      </c>
      <c r="E194" s="1">
        <f t="shared" si="38"/>
        <v>1.2224490422679571E-17</v>
      </c>
      <c r="F194">
        <f t="shared" si="39"/>
        <v>0</v>
      </c>
      <c r="G194">
        <f t="shared" si="35"/>
        <v>1.2224490422679571E-17</v>
      </c>
    </row>
    <row r="195" spans="1:7" ht="25.5" x14ac:dyDescent="0.25">
      <c r="A195" s="1">
        <v>185</v>
      </c>
      <c r="B195" s="1">
        <f t="shared" si="36"/>
        <v>85.249687760253991</v>
      </c>
      <c r="C195">
        <f t="shared" si="37"/>
        <v>85</v>
      </c>
      <c r="D195">
        <f t="shared" si="34"/>
        <v>0.24968776025399109</v>
      </c>
      <c r="E195" s="1">
        <f t="shared" si="38"/>
        <v>6.3548235964920203E-18</v>
      </c>
      <c r="F195">
        <f t="shared" si="39"/>
        <v>0</v>
      </c>
      <c r="G195">
        <f t="shared" si="35"/>
        <v>6.3548235964920203E-18</v>
      </c>
    </row>
    <row r="196" spans="1:7" ht="25.5" x14ac:dyDescent="0.25">
      <c r="A196" s="1">
        <v>186</v>
      </c>
      <c r="B196" s="1">
        <f t="shared" si="36"/>
        <v>86.249687760253991</v>
      </c>
      <c r="C196">
        <f t="shared" si="37"/>
        <v>86</v>
      </c>
      <c r="D196">
        <f t="shared" si="34"/>
        <v>0.24968776025399109</v>
      </c>
      <c r="E196" s="1">
        <f t="shared" si="38"/>
        <v>3.2971400131595277E-18</v>
      </c>
      <c r="F196">
        <f t="shared" si="39"/>
        <v>0</v>
      </c>
      <c r="G196">
        <f t="shared" si="35"/>
        <v>3.2971400131595277E-18</v>
      </c>
    </row>
    <row r="197" spans="1:7" ht="25.5" x14ac:dyDescent="0.25">
      <c r="A197" s="1">
        <v>187</v>
      </c>
      <c r="B197" s="1">
        <f t="shared" si="36"/>
        <v>87.249687760253991</v>
      </c>
      <c r="C197">
        <f t="shared" si="37"/>
        <v>87</v>
      </c>
      <c r="D197">
        <f t="shared" si="34"/>
        <v>0.24968776025399109</v>
      </c>
      <c r="E197" s="1">
        <f t="shared" si="38"/>
        <v>1.7074704654411663E-18</v>
      </c>
      <c r="F197">
        <f t="shared" si="39"/>
        <v>0</v>
      </c>
      <c r="G197">
        <f t="shared" si="35"/>
        <v>1.7074704654411663E-18</v>
      </c>
    </row>
    <row r="198" spans="1:7" ht="25.5" x14ac:dyDescent="0.25">
      <c r="A198" s="1">
        <v>188</v>
      </c>
      <c r="B198" s="1">
        <f t="shared" si="36"/>
        <v>88.249687760253991</v>
      </c>
      <c r="C198">
        <f t="shared" si="37"/>
        <v>88</v>
      </c>
      <c r="D198">
        <f t="shared" si="34"/>
        <v>0.24968776025399109</v>
      </c>
      <c r="E198" s="1">
        <f t="shared" si="38"/>
        <v>8.8261491588576987E-19</v>
      </c>
      <c r="F198">
        <f t="shared" si="39"/>
        <v>0</v>
      </c>
      <c r="G198">
        <f t="shared" si="35"/>
        <v>8.8261491588576987E-19</v>
      </c>
    </row>
    <row r="199" spans="1:7" ht="25.5" x14ac:dyDescent="0.25">
      <c r="A199" s="1">
        <v>189</v>
      </c>
      <c r="B199" s="1">
        <f t="shared" si="36"/>
        <v>89.249687760253991</v>
      </c>
      <c r="C199">
        <f t="shared" si="37"/>
        <v>89</v>
      </c>
      <c r="D199">
        <f t="shared" si="34"/>
        <v>0.24968776025399109</v>
      </c>
      <c r="E199" s="1">
        <f t="shared" si="38"/>
        <v>4.5541935678743065E-19</v>
      </c>
      <c r="F199">
        <f t="shared" si="39"/>
        <v>0</v>
      </c>
      <c r="G199">
        <f t="shared" si="35"/>
        <v>4.5541935678743065E-19</v>
      </c>
    </row>
    <row r="200" spans="1:7" ht="25.5" x14ac:dyDescent="0.25">
      <c r="A200" s="1">
        <v>190</v>
      </c>
      <c r="B200" s="1">
        <f t="shared" si="36"/>
        <v>90.249687760253991</v>
      </c>
      <c r="C200">
        <f t="shared" si="37"/>
        <v>90</v>
      </c>
      <c r="D200">
        <f t="shared" si="34"/>
        <v>0.24968776025399109</v>
      </c>
      <c r="E200" s="1">
        <f t="shared" si="38"/>
        <v>2.3458128711006366E-19</v>
      </c>
      <c r="F200">
        <f t="shared" si="39"/>
        <v>0</v>
      </c>
      <c r="G200">
        <f t="shared" si="35"/>
        <v>2.3458128711006366E-19</v>
      </c>
    </row>
    <row r="201" spans="1:7" ht="25.5" x14ac:dyDescent="0.25">
      <c r="A201" s="1">
        <v>191</v>
      </c>
      <c r="B201" s="1">
        <f t="shared" si="36"/>
        <v>91.249687760253991</v>
      </c>
      <c r="C201">
        <f t="shared" si="37"/>
        <v>91</v>
      </c>
      <c r="D201">
        <f t="shared" si="34"/>
        <v>0.24968776025399109</v>
      </c>
      <c r="E201" s="1">
        <f t="shared" si="38"/>
        <v>1.2062462942701005E-19</v>
      </c>
      <c r="F201">
        <f t="shared" si="39"/>
        <v>0</v>
      </c>
      <c r="G201">
        <f t="shared" si="35"/>
        <v>1.2062462942701005E-19</v>
      </c>
    </row>
    <row r="202" spans="1:7" ht="25.5" x14ac:dyDescent="0.25">
      <c r="A202" s="1">
        <v>192</v>
      </c>
      <c r="B202" s="1">
        <f t="shared" si="36"/>
        <v>92.249687760253991</v>
      </c>
      <c r="C202">
        <f t="shared" si="37"/>
        <v>92</v>
      </c>
      <c r="D202">
        <f t="shared" si="34"/>
        <v>0.24968776025399109</v>
      </c>
      <c r="E202" s="1">
        <f t="shared" si="38"/>
        <v>6.1923866329310212E-20</v>
      </c>
      <c r="F202">
        <f t="shared" si="39"/>
        <v>0</v>
      </c>
      <c r="G202">
        <f t="shared" si="35"/>
        <v>6.1923866329310212E-20</v>
      </c>
    </row>
    <row r="203" spans="1:7" ht="25.5" x14ac:dyDescent="0.25">
      <c r="A203" s="1">
        <v>193</v>
      </c>
      <c r="B203" s="1">
        <f t="shared" ref="B203:B210" si="40">BS_call(A203,σ,rf,q,T,X)</f>
        <v>93.249687760253991</v>
      </c>
      <c r="C203">
        <f t="shared" ref="C203:C210" si="41">in_val_call(A203,σ,rf,q,T,X)</f>
        <v>93</v>
      </c>
      <c r="D203">
        <f t="shared" si="34"/>
        <v>0.24968776025399109</v>
      </c>
      <c r="E203" s="1">
        <f t="shared" ref="E203:E210" si="42">BS_put(A203,σ,rf,q,T,X)</f>
        <v>3.1737878496204753E-20</v>
      </c>
      <c r="F203">
        <f t="shared" ref="F203:F210" si="43">in_val_put(A203,σ,rf,q,T,X)</f>
        <v>0</v>
      </c>
      <c r="G203">
        <f t="shared" si="35"/>
        <v>3.1737878496204753E-20</v>
      </c>
    </row>
    <row r="204" spans="1:7" ht="25.5" x14ac:dyDescent="0.25">
      <c r="A204" s="1">
        <v>194</v>
      </c>
      <c r="B204" s="1">
        <f t="shared" si="40"/>
        <v>94.249687760253991</v>
      </c>
      <c r="C204">
        <f t="shared" si="41"/>
        <v>94</v>
      </c>
      <c r="D204">
        <f t="shared" ref="D204:D210" si="44">B204-C204</f>
        <v>0.24968776025399109</v>
      </c>
      <c r="E204" s="1">
        <f t="shared" si="42"/>
        <v>1.6241024164666097E-20</v>
      </c>
      <c r="F204">
        <f t="shared" si="43"/>
        <v>0</v>
      </c>
      <c r="G204">
        <f t="shared" ref="G204:G210" si="45">E204-F204</f>
        <v>1.6241024164666097E-20</v>
      </c>
    </row>
    <row r="205" spans="1:7" ht="25.5" x14ac:dyDescent="0.25">
      <c r="A205" s="1">
        <v>195</v>
      </c>
      <c r="B205" s="1">
        <f t="shared" si="40"/>
        <v>95.249687760253991</v>
      </c>
      <c r="C205">
        <f t="shared" si="41"/>
        <v>95</v>
      </c>
      <c r="D205">
        <f t="shared" si="44"/>
        <v>0.24968776025399109</v>
      </c>
      <c r="E205" s="1">
        <f t="shared" si="42"/>
        <v>8.2981673381364111E-21</v>
      </c>
      <c r="F205">
        <f t="shared" si="43"/>
        <v>0</v>
      </c>
      <c r="G205">
        <f t="shared" si="45"/>
        <v>8.2981673381364111E-21</v>
      </c>
    </row>
    <row r="206" spans="1:7" ht="25.5" x14ac:dyDescent="0.25">
      <c r="A206" s="1">
        <v>196</v>
      </c>
      <c r="B206" s="1">
        <f t="shared" si="40"/>
        <v>96.249687760253991</v>
      </c>
      <c r="C206">
        <f t="shared" si="41"/>
        <v>96</v>
      </c>
      <c r="D206">
        <f t="shared" si="44"/>
        <v>0.24968776025399109</v>
      </c>
      <c r="E206" s="1">
        <f t="shared" si="42"/>
        <v>4.2335181555981631E-21</v>
      </c>
      <c r="F206">
        <f t="shared" si="43"/>
        <v>0</v>
      </c>
      <c r="G206">
        <f t="shared" si="45"/>
        <v>4.2335181555981631E-21</v>
      </c>
    </row>
    <row r="207" spans="1:7" ht="25.5" x14ac:dyDescent="0.25">
      <c r="A207" s="1">
        <v>197</v>
      </c>
      <c r="B207" s="1">
        <f t="shared" si="40"/>
        <v>97.249687760253991</v>
      </c>
      <c r="C207">
        <f t="shared" si="41"/>
        <v>97</v>
      </c>
      <c r="D207">
        <f t="shared" si="44"/>
        <v>0.24968776025399109</v>
      </c>
      <c r="E207" s="1">
        <f t="shared" si="42"/>
        <v>2.1566912722442404E-21</v>
      </c>
      <c r="F207">
        <f t="shared" si="43"/>
        <v>0</v>
      </c>
      <c r="G207">
        <f t="shared" si="45"/>
        <v>2.1566912722442404E-21</v>
      </c>
    </row>
    <row r="208" spans="1:7" ht="25.5" x14ac:dyDescent="0.25">
      <c r="A208" s="1">
        <v>198</v>
      </c>
      <c r="B208" s="1">
        <f t="shared" si="40"/>
        <v>98.249687760253991</v>
      </c>
      <c r="C208">
        <f t="shared" si="41"/>
        <v>98</v>
      </c>
      <c r="D208">
        <f t="shared" si="44"/>
        <v>0.24968776025399109</v>
      </c>
      <c r="E208" s="1">
        <f t="shared" si="42"/>
        <v>1.0971306825468634E-21</v>
      </c>
      <c r="F208">
        <f t="shared" si="43"/>
        <v>0</v>
      </c>
      <c r="G208">
        <f t="shared" si="45"/>
        <v>1.0971306825468634E-21</v>
      </c>
    </row>
    <row r="209" spans="1:7" ht="25.5" x14ac:dyDescent="0.25">
      <c r="A209" s="1">
        <v>199</v>
      </c>
      <c r="B209" s="1">
        <f t="shared" si="40"/>
        <v>99.249687760253991</v>
      </c>
      <c r="C209">
        <f t="shared" si="41"/>
        <v>99</v>
      </c>
      <c r="D209">
        <f t="shared" si="44"/>
        <v>0.24968776025399109</v>
      </c>
      <c r="E209" s="1">
        <f t="shared" si="42"/>
        <v>5.5735094248749583E-22</v>
      </c>
      <c r="F209">
        <f t="shared" si="43"/>
        <v>0</v>
      </c>
      <c r="G209">
        <f t="shared" si="45"/>
        <v>5.5735094248749583E-22</v>
      </c>
    </row>
    <row r="210" spans="1:7" ht="25.5" x14ac:dyDescent="0.25">
      <c r="A210" s="1">
        <v>200</v>
      </c>
      <c r="B210" s="1">
        <f t="shared" si="40"/>
        <v>100.24968776025399</v>
      </c>
      <c r="C210">
        <f t="shared" si="41"/>
        <v>100</v>
      </c>
      <c r="D210">
        <f t="shared" si="44"/>
        <v>0.24968776025399109</v>
      </c>
      <c r="E210" s="1">
        <f t="shared" si="42"/>
        <v>2.8275804004958136E-22</v>
      </c>
      <c r="F210">
        <f t="shared" si="43"/>
        <v>0</v>
      </c>
      <c r="G210">
        <f t="shared" si="45"/>
        <v>2.8275804004958136E-22</v>
      </c>
    </row>
  </sheetData>
  <mergeCells count="1">
    <mergeCell ref="E1:J8"/>
  </mergeCells>
  <phoneticPr fontId="1" type="noConversion"/>
  <pageMargins left="0.75" right="0.75" top="1" bottom="1" header="0.5" footer="0.5"/>
  <pageSetup paperSize="9" orientation="portrait" horizontalDpi="1200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6</vt:i4>
      </vt:variant>
    </vt:vector>
  </HeadingPairs>
  <TitlesOfParts>
    <vt:vector size="8" baseType="lpstr">
      <vt:lpstr>公式应用示例</vt:lpstr>
      <vt:lpstr>Sheet1</vt:lpstr>
      <vt:lpstr>q</vt:lpstr>
      <vt:lpstr>rf</vt:lpstr>
      <vt:lpstr>S</vt:lpstr>
      <vt:lpstr>T</vt:lpstr>
      <vt:lpstr>X</vt:lpstr>
      <vt:lpstr>σ</vt:lpstr>
    </vt:vector>
  </TitlesOfParts>
  <Company>liu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lele</dc:creator>
  <cp:lastModifiedBy>wangchen</cp:lastModifiedBy>
  <dcterms:created xsi:type="dcterms:W3CDTF">2011-06-15T02:36:38Z</dcterms:created>
  <dcterms:modified xsi:type="dcterms:W3CDTF">2022-12-08T10:53:39Z</dcterms:modified>
</cp:coreProperties>
</file>