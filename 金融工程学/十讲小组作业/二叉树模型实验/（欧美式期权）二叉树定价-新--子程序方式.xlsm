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E:\obsidian_git\5course\金融工程学\十讲小组作业\二叉树模型实验\"/>
    </mc:Choice>
  </mc:AlternateContent>
  <xr:revisionPtr revIDLastSave="0" documentId="13_ncr:1_{69B6427A-C872-4C17-9300-DF9F4FF1AC23}" xr6:coauthVersionLast="47" xr6:coauthVersionMax="47" xr10:uidLastSave="{00000000-0000-0000-0000-000000000000}"/>
  <bookViews>
    <workbookView xWindow="-108" yWindow="-108" windowWidth="26136" windowHeight="16776" activeTab="1" xr2:uid="{00000000-000D-0000-FFFF-FFFF00000000}"/>
  </bookViews>
  <sheets>
    <sheet name="表格操作方法" sheetId="2" r:id="rId1"/>
    <sheet name="option_vb" sheetId="1" r:id="rId2"/>
  </sheets>
  <definedNames>
    <definedName name="_1_p">option_vb!$F$9</definedName>
    <definedName name="_r">option_vb!$C$4</definedName>
    <definedName name="△t">option_vb!$A$9</definedName>
    <definedName name="a">option_vb!$D$9</definedName>
    <definedName name="d">option_vb!$C$9</definedName>
    <definedName name="N">option_vb!$F$4</definedName>
    <definedName name="name">option_vb!#REF!</definedName>
    <definedName name="p">option_vb!$E$9</definedName>
    <definedName name="q">option_vb!$G$4</definedName>
    <definedName name="s0">option_vb!$A$4</definedName>
    <definedName name="T">option_vb!$E$4</definedName>
    <definedName name="u">option_vb!$B$9</definedName>
    <definedName name="X">option_vb!$B$4</definedName>
    <definedName name="σ">option_vb!$D$4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4" i="1" l="1"/>
  <c r="A9" i="1" s="1"/>
  <c r="D9" i="1" l="1"/>
  <c r="B9" i="1"/>
  <c r="C9" i="1" s="1"/>
  <c r="E9" i="1" l="1"/>
  <c r="F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thinkpad</author>
  </authors>
  <commentList>
    <comment ref="F4" authorId="0" shapeId="0" xr:uid="{00000000-0006-0000-0100-000001000000}">
      <text>
        <r>
          <rPr>
            <b/>
            <sz val="9"/>
            <color indexed="81"/>
            <rFont val="宋体"/>
            <family val="3"/>
            <charset val="134"/>
          </rPr>
          <t>thinkpad:</t>
        </r>
        <r>
          <rPr>
            <sz val="9"/>
            <color indexed="81"/>
            <rFont val="宋体"/>
            <family val="3"/>
            <charset val="134"/>
          </rPr>
          <t xml:space="preserve">
超过100步只画前100步的二叉树</t>
        </r>
      </text>
    </comment>
  </commentList>
</comments>
</file>

<file path=xl/sharedStrings.xml><?xml version="1.0" encoding="utf-8"?>
<sst xmlns="http://schemas.openxmlformats.org/spreadsheetml/2006/main" count="40" uniqueCount="40">
  <si>
    <t>S0</t>
    <phoneticPr fontId="3" type="noConversion"/>
  </si>
  <si>
    <t>X</t>
    <phoneticPr fontId="3" type="noConversion"/>
  </si>
  <si>
    <t>R</t>
    <phoneticPr fontId="3" type="noConversion"/>
  </si>
  <si>
    <t>N</t>
    <phoneticPr fontId="3" type="noConversion"/>
  </si>
  <si>
    <t>按 Ctrl+L 计算看涨期权。</t>
    <phoneticPr fontId="3" type="noConversion"/>
  </si>
  <si>
    <t>按 Ctrl+P 计算看跌期权。</t>
    <phoneticPr fontId="3" type="noConversion"/>
  </si>
  <si>
    <t>计算结果</t>
    <phoneticPr fontId="3" type="noConversion"/>
  </si>
  <si>
    <t>按 Ctrl+D 清除计算结果。</t>
    <phoneticPr fontId="3" type="noConversion"/>
  </si>
  <si>
    <t>股票价格</t>
    <phoneticPr fontId="3" type="noConversion"/>
  </si>
  <si>
    <t>u</t>
    <phoneticPr fontId="3" type="noConversion"/>
  </si>
  <si>
    <t>d</t>
    <phoneticPr fontId="3" type="noConversion"/>
  </si>
  <si>
    <t>a</t>
    <phoneticPr fontId="3" type="noConversion"/>
  </si>
  <si>
    <t>p</t>
    <phoneticPr fontId="3" type="noConversion"/>
  </si>
  <si>
    <t>1-p</t>
    <phoneticPr fontId="3" type="noConversion"/>
  </si>
  <si>
    <t>欧式期权价格</t>
    <phoneticPr fontId="3" type="noConversion"/>
  </si>
  <si>
    <t>美式期权价格</t>
    <phoneticPr fontId="3" type="noConversion"/>
  </si>
  <si>
    <t>输入参数</t>
    <phoneticPr fontId="3" type="noConversion"/>
  </si>
  <si>
    <t>股票初始价格</t>
    <phoneticPr fontId="3" type="noConversion"/>
  </si>
  <si>
    <t>执行价格</t>
    <phoneticPr fontId="3" type="noConversion"/>
  </si>
  <si>
    <t>无风险利率</t>
    <phoneticPr fontId="3" type="noConversion"/>
  </si>
  <si>
    <t>到期期限</t>
    <phoneticPr fontId="3" type="noConversion"/>
  </si>
  <si>
    <r>
      <t>△</t>
    </r>
    <r>
      <rPr>
        <sz val="20"/>
        <rFont val="Times New Roman"/>
        <family val="1"/>
      </rPr>
      <t>t</t>
    </r>
    <phoneticPr fontId="3" type="noConversion"/>
  </si>
  <si>
    <t>步长</t>
    <phoneticPr fontId="3" type="noConversion"/>
  </si>
  <si>
    <t>上升因子</t>
    <phoneticPr fontId="3" type="noConversion"/>
  </si>
  <si>
    <t>下降因子</t>
    <phoneticPr fontId="3" type="noConversion"/>
  </si>
  <si>
    <t>exp（r△t）</t>
    <phoneticPr fontId="3" type="noConversion"/>
  </si>
  <si>
    <t>上升概率</t>
    <phoneticPr fontId="3" type="noConversion"/>
  </si>
  <si>
    <t>下降概率</t>
    <phoneticPr fontId="3" type="noConversion"/>
  </si>
  <si>
    <t>使用说明</t>
    <phoneticPr fontId="3" type="noConversion"/>
  </si>
  <si>
    <t>期数</t>
    <phoneticPr fontId="3" type="noConversion"/>
  </si>
  <si>
    <t>波动率</t>
    <phoneticPr fontId="3" type="noConversion"/>
  </si>
  <si>
    <t>σ</t>
    <phoneticPr fontId="3" type="noConversion"/>
  </si>
  <si>
    <t>T(year)</t>
    <phoneticPr fontId="3" type="noConversion"/>
  </si>
  <si>
    <t>红利率</t>
    <phoneticPr fontId="3" type="noConversion"/>
  </si>
  <si>
    <t>q</t>
    <phoneticPr fontId="3" type="noConversion"/>
  </si>
  <si>
    <t xml:space="preserve"> 表格操作方法：1.“输入参数”下面的无风险利率、波动率、到期期限、期数、红利率是可以手动输入数值的部分，各因素对期权价值的影响可以通过调整这部分的参数取值观察期权估值的结果，其中到期期限是以年为单位的，期数是指将用多少步的二叉树进行估值。2."输出参数"部分不要手动修改，在“输入参数”设置好后，会自动计算出数值，一定要注意输出参数的合理性，如果发现输出参数部分的概率出现负值，则说明“输入参数”部分参数设置出现了问题；3.在“输入参数”设置完毕后，按“CTRL+D”先清除上次计算的结果，然后再按“CTRL+L”计算看涨期权或者按“CTRL+P”计算看跌期权价值。  4.初始时刻的期权价值显示在B11,B12处，其中黄色表示欧式期权价值，绿色表示美式期权价值。5.大家在分析时无需将单元格中的二叉树复制下来，只需将初始时刻的价值记录下来即可。</t>
    <phoneticPr fontId="3" type="noConversion"/>
  </si>
  <si>
    <t>欧式期权价值</t>
    <phoneticPr fontId="3" type="noConversion"/>
  </si>
  <si>
    <t>美式期权价值</t>
    <phoneticPr fontId="3" type="noConversion"/>
  </si>
  <si>
    <t>不付红利股票看涨期权二叉树图</t>
    <phoneticPr fontId="3" type="noConversion"/>
  </si>
  <si>
    <t>B-S欧式看涨期权理论价值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</si>
</sst>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Red]\(0.00\)"/>
    <numFmt numFmtId="177" formatCode="0.0000_ "/>
    <numFmt numFmtId="178" formatCode="0_);[Red]\(0\)"/>
    <numFmt numFmtId="179" formatCode="#,##0.0000"/>
    <numFmt numFmtId="180" formatCode="0.000_);[Red]\(0.000\)"/>
  </numFmts>
  <fonts count="10">
    <font>
      <sz val="12"/>
      <name val="宋体"/>
      <charset val="134"/>
    </font>
    <font>
      <sz val="12"/>
      <name val="宋体"/>
      <family val="3"/>
      <charset val="134"/>
    </font>
    <font>
      <sz val="20"/>
      <name val="Times New Roman"/>
      <family val="1"/>
    </font>
    <font>
      <sz val="9"/>
      <name val="宋体"/>
      <family val="3"/>
      <charset val="134"/>
    </font>
    <font>
      <sz val="20"/>
      <name val="宋体"/>
      <family val="3"/>
      <charset val="134"/>
    </font>
    <font>
      <sz val="20"/>
      <name val="楷体_GB2312"/>
      <family val="3"/>
      <charset val="134"/>
    </font>
    <font>
      <sz val="20"/>
      <name val="隶书"/>
      <family val="3"/>
      <charset val="134"/>
    </font>
    <font>
      <sz val="9"/>
      <color indexed="81"/>
      <name val="宋体"/>
      <family val="3"/>
      <charset val="134"/>
    </font>
    <font>
      <b/>
      <sz val="9"/>
      <color indexed="81"/>
      <name val="宋体"/>
      <family val="3"/>
      <charset val="134"/>
    </font>
    <font>
      <b/>
      <sz val="16"/>
      <color theme="1"/>
      <name val="宋体"/>
      <family val="3"/>
      <charset val="134"/>
    </font>
  </fonts>
  <fills count="6">
    <fill>
      <patternFill patternType="none"/>
    </fill>
    <fill>
      <patternFill patternType="gray125"/>
    </fill>
    <fill>
      <patternFill patternType="solid">
        <fgColor indexed="45"/>
        <bgColor indexed="64"/>
      </patternFill>
    </fill>
    <fill>
      <patternFill patternType="solid">
        <fgColor indexed="13"/>
        <bgColor indexed="64"/>
      </patternFill>
    </fill>
    <fill>
      <patternFill patternType="solid">
        <fgColor indexed="50"/>
        <bgColor indexed="64"/>
      </patternFill>
    </fill>
    <fill>
      <patternFill patternType="solid">
        <fgColor theme="3"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179" fontId="0" fillId="0" borderId="0">
      <alignment vertical="center"/>
    </xf>
  </cellStyleXfs>
  <cellXfs count="28">
    <xf numFmtId="179" fontId="0" fillId="0" borderId="0" xfId="0">
      <alignment vertical="center"/>
    </xf>
    <xf numFmtId="179" fontId="4" fillId="0" borderId="0" xfId="0" applyFont="1">
      <alignment vertical="center"/>
    </xf>
    <xf numFmtId="177" fontId="4" fillId="0" borderId="0" xfId="0" applyNumberFormat="1" applyFont="1">
      <alignment vertical="center"/>
    </xf>
    <xf numFmtId="176" fontId="4" fillId="0" borderId="1" xfId="0" applyNumberFormat="1" applyFont="1" applyBorder="1" applyAlignment="1">
      <alignment horizontal="center"/>
    </xf>
    <xf numFmtId="178" fontId="4" fillId="0" borderId="1" xfId="0" applyNumberFormat="1" applyFont="1" applyBorder="1" applyAlignment="1">
      <alignment horizontal="center"/>
    </xf>
    <xf numFmtId="176" fontId="2" fillId="0" borderId="1" xfId="0" applyNumberFormat="1" applyFont="1" applyBorder="1" applyAlignment="1">
      <alignment horizontal="center"/>
    </xf>
    <xf numFmtId="176" fontId="4" fillId="0" borderId="2" xfId="0" applyNumberFormat="1" applyFont="1" applyBorder="1" applyAlignment="1">
      <alignment horizontal="center" vertical="center"/>
    </xf>
    <xf numFmtId="179" fontId="4" fillId="3" borderId="0" xfId="0" applyFont="1" applyFill="1">
      <alignment vertical="center"/>
    </xf>
    <xf numFmtId="179" fontId="4" fillId="4" borderId="0" xfId="0" applyFont="1" applyFill="1">
      <alignment vertical="center"/>
    </xf>
    <xf numFmtId="180" fontId="4" fillId="0" borderId="1" xfId="0" applyNumberFormat="1" applyFont="1" applyBorder="1" applyAlignment="1">
      <alignment horizontal="center"/>
    </xf>
    <xf numFmtId="179" fontId="4" fillId="0" borderId="1" xfId="0" applyFont="1" applyBorder="1">
      <alignment vertical="center"/>
    </xf>
    <xf numFmtId="179" fontId="4" fillId="0" borderId="1" xfId="0" applyFont="1" applyBorder="1" applyAlignment="1">
      <alignment horizontal="center" vertical="center"/>
    </xf>
    <xf numFmtId="177" fontId="4" fillId="0" borderId="1" xfId="0" applyNumberFormat="1" applyFont="1" applyBorder="1">
      <alignment vertical="center"/>
    </xf>
    <xf numFmtId="179" fontId="1" fillId="0" borderId="0" xfId="0" applyFont="1">
      <alignment vertical="center"/>
    </xf>
    <xf numFmtId="179" fontId="4" fillId="2" borderId="0" xfId="0" applyFont="1" applyFill="1">
      <alignment vertical="center"/>
    </xf>
    <xf numFmtId="179" fontId="9" fillId="5" borderId="0" xfId="0" applyFont="1" applyFill="1" applyAlignment="1">
      <alignment vertical="center" wrapText="1"/>
    </xf>
    <xf numFmtId="176" fontId="5" fillId="4" borderId="3" xfId="0" applyNumberFormat="1" applyFont="1" applyFill="1" applyBorder="1" applyAlignment="1">
      <alignment horizontal="center" vertical="center"/>
    </xf>
    <xf numFmtId="179" fontId="0" fillId="0" borderId="4" xfId="0" applyBorder="1" applyAlignment="1">
      <alignment horizontal="center" vertical="center"/>
    </xf>
    <xf numFmtId="179" fontId="0" fillId="0" borderId="5" xfId="0" applyBorder="1" applyAlignment="1">
      <alignment horizontal="center" vertical="center"/>
    </xf>
    <xf numFmtId="179" fontId="6" fillId="0" borderId="1" xfId="0" applyFont="1" applyBorder="1" applyAlignment="1">
      <alignment horizontal="center" vertical="center"/>
    </xf>
    <xf numFmtId="179" fontId="4" fillId="0" borderId="1" xfId="0" applyFont="1" applyBorder="1" applyAlignment="1">
      <alignment horizontal="center" vertical="center"/>
    </xf>
    <xf numFmtId="176" fontId="6" fillId="0" borderId="0" xfId="0" applyNumberFormat="1" applyFont="1" applyAlignment="1">
      <alignment horizontal="center" vertical="center"/>
    </xf>
    <xf numFmtId="176" fontId="6" fillId="0" borderId="2" xfId="0" applyNumberFormat="1" applyFont="1" applyBorder="1" applyAlignment="1">
      <alignment horizontal="center" vertical="center"/>
    </xf>
    <xf numFmtId="179" fontId="6" fillId="0" borderId="2" xfId="0" applyFont="1" applyBorder="1" applyAlignment="1">
      <alignment horizontal="center" vertical="center"/>
    </xf>
    <xf numFmtId="179" fontId="0" fillId="0" borderId="2" xfId="0" applyBorder="1">
      <alignment vertical="center"/>
    </xf>
    <xf numFmtId="176" fontId="5" fillId="0" borderId="3" xfId="0" applyNumberFormat="1" applyFont="1" applyBorder="1" applyAlignment="1">
      <alignment horizontal="center" vertical="center"/>
    </xf>
    <xf numFmtId="176" fontId="5" fillId="2" borderId="3" xfId="0" applyNumberFormat="1" applyFont="1" applyFill="1" applyBorder="1" applyAlignment="1">
      <alignment horizontal="center" vertical="center"/>
    </xf>
    <xf numFmtId="176" fontId="5" fillId="3" borderId="3" xfId="0" applyNumberFormat="1" applyFont="1" applyFill="1" applyBorder="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21"/>
  <sheetViews>
    <sheetView workbookViewId="0">
      <selection sqref="A1:J18"/>
    </sheetView>
  </sheetViews>
  <sheetFormatPr defaultRowHeight="15.6"/>
  <sheetData>
    <row r="1" spans="1:10">
      <c r="A1" s="15" t="s">
        <v>35</v>
      </c>
      <c r="B1" s="15"/>
      <c r="C1" s="15"/>
      <c r="D1" s="15"/>
      <c r="E1" s="15"/>
      <c r="F1" s="15"/>
      <c r="G1" s="15"/>
      <c r="H1" s="15"/>
      <c r="I1" s="15"/>
      <c r="J1" s="15"/>
    </row>
    <row r="2" spans="1:10">
      <c r="A2" s="15"/>
      <c r="B2" s="15"/>
      <c r="C2" s="15"/>
      <c r="D2" s="15"/>
      <c r="E2" s="15"/>
      <c r="F2" s="15"/>
      <c r="G2" s="15"/>
      <c r="H2" s="15"/>
      <c r="I2" s="15"/>
      <c r="J2" s="15"/>
    </row>
    <row r="3" spans="1:10">
      <c r="A3" s="15"/>
      <c r="B3" s="15"/>
      <c r="C3" s="15"/>
      <c r="D3" s="15"/>
      <c r="E3" s="15"/>
      <c r="F3" s="15"/>
      <c r="G3" s="15"/>
      <c r="H3" s="15"/>
      <c r="I3" s="15"/>
      <c r="J3" s="15"/>
    </row>
    <row r="4" spans="1:10">
      <c r="A4" s="15"/>
      <c r="B4" s="15"/>
      <c r="C4" s="15"/>
      <c r="D4" s="15"/>
      <c r="E4" s="15"/>
      <c r="F4" s="15"/>
      <c r="G4" s="15"/>
      <c r="H4" s="15"/>
      <c r="I4" s="15"/>
      <c r="J4" s="15"/>
    </row>
    <row r="5" spans="1:10">
      <c r="A5" s="15"/>
      <c r="B5" s="15"/>
      <c r="C5" s="15"/>
      <c r="D5" s="15"/>
      <c r="E5" s="15"/>
      <c r="F5" s="15"/>
      <c r="G5" s="15"/>
      <c r="H5" s="15"/>
      <c r="I5" s="15"/>
      <c r="J5" s="15"/>
    </row>
    <row r="6" spans="1:10">
      <c r="A6" s="15"/>
      <c r="B6" s="15"/>
      <c r="C6" s="15"/>
      <c r="D6" s="15"/>
      <c r="E6" s="15"/>
      <c r="F6" s="15"/>
      <c r="G6" s="15"/>
      <c r="H6" s="15"/>
      <c r="I6" s="15"/>
      <c r="J6" s="15"/>
    </row>
    <row r="7" spans="1:10">
      <c r="A7" s="15"/>
      <c r="B7" s="15"/>
      <c r="C7" s="15"/>
      <c r="D7" s="15"/>
      <c r="E7" s="15"/>
      <c r="F7" s="15"/>
      <c r="G7" s="15"/>
      <c r="H7" s="15"/>
      <c r="I7" s="15"/>
      <c r="J7" s="15"/>
    </row>
    <row r="8" spans="1:10">
      <c r="A8" s="15"/>
      <c r="B8" s="15"/>
      <c r="C8" s="15"/>
      <c r="D8" s="15"/>
      <c r="E8" s="15"/>
      <c r="F8" s="15"/>
      <c r="G8" s="15"/>
      <c r="H8" s="15"/>
      <c r="I8" s="15"/>
      <c r="J8" s="15"/>
    </row>
    <row r="9" spans="1:10">
      <c r="A9" s="15"/>
      <c r="B9" s="15"/>
      <c r="C9" s="15"/>
      <c r="D9" s="15"/>
      <c r="E9" s="15"/>
      <c r="F9" s="15"/>
      <c r="G9" s="15"/>
      <c r="H9" s="15"/>
      <c r="I9" s="15"/>
      <c r="J9" s="15"/>
    </row>
    <row r="10" spans="1:10">
      <c r="A10" s="15"/>
      <c r="B10" s="15"/>
      <c r="C10" s="15"/>
      <c r="D10" s="15"/>
      <c r="E10" s="15"/>
      <c r="F10" s="15"/>
      <c r="G10" s="15"/>
      <c r="H10" s="15"/>
      <c r="I10" s="15"/>
      <c r="J10" s="15"/>
    </row>
    <row r="11" spans="1:10">
      <c r="A11" s="15"/>
      <c r="B11" s="15"/>
      <c r="C11" s="15"/>
      <c r="D11" s="15"/>
      <c r="E11" s="15"/>
      <c r="F11" s="15"/>
      <c r="G11" s="15"/>
      <c r="H11" s="15"/>
      <c r="I11" s="15"/>
      <c r="J11" s="15"/>
    </row>
    <row r="12" spans="1:10">
      <c r="A12" s="15"/>
      <c r="B12" s="15"/>
      <c r="C12" s="15"/>
      <c r="D12" s="15"/>
      <c r="E12" s="15"/>
      <c r="F12" s="15"/>
      <c r="G12" s="15"/>
      <c r="H12" s="15"/>
      <c r="I12" s="15"/>
      <c r="J12" s="15"/>
    </row>
    <row r="13" spans="1:10">
      <c r="A13" s="15"/>
      <c r="B13" s="15"/>
      <c r="C13" s="15"/>
      <c r="D13" s="15"/>
      <c r="E13" s="15"/>
      <c r="F13" s="15"/>
      <c r="G13" s="15"/>
      <c r="H13" s="15"/>
      <c r="I13" s="15"/>
      <c r="J13" s="15"/>
    </row>
    <row r="14" spans="1:10">
      <c r="A14" s="15"/>
      <c r="B14" s="15"/>
      <c r="C14" s="15"/>
      <c r="D14" s="15"/>
      <c r="E14" s="15"/>
      <c r="F14" s="15"/>
      <c r="G14" s="15"/>
      <c r="H14" s="15"/>
      <c r="I14" s="15"/>
      <c r="J14" s="15"/>
    </row>
    <row r="15" spans="1:10">
      <c r="A15" s="15"/>
      <c r="B15" s="15"/>
      <c r="C15" s="15"/>
      <c r="D15" s="15"/>
      <c r="E15" s="15"/>
      <c r="F15" s="15"/>
      <c r="G15" s="15"/>
      <c r="H15" s="15"/>
      <c r="I15" s="15"/>
      <c r="J15" s="15"/>
    </row>
    <row r="16" spans="1:10">
      <c r="A16" s="15"/>
      <c r="B16" s="15"/>
      <c r="C16" s="15"/>
      <c r="D16" s="15"/>
      <c r="E16" s="15"/>
      <c r="F16" s="15"/>
      <c r="G16" s="15"/>
      <c r="H16" s="15"/>
      <c r="I16" s="15"/>
      <c r="J16" s="15"/>
    </row>
    <row r="17" spans="1:10">
      <c r="A17" s="15"/>
      <c r="B17" s="15"/>
      <c r="C17" s="15"/>
      <c r="D17" s="15"/>
      <c r="E17" s="15"/>
      <c r="F17" s="15"/>
      <c r="G17" s="15"/>
      <c r="H17" s="15"/>
      <c r="I17" s="15"/>
      <c r="J17" s="15"/>
    </row>
    <row r="18" spans="1:10">
      <c r="A18" s="15"/>
      <c r="B18" s="15"/>
      <c r="C18" s="15"/>
      <c r="D18" s="15"/>
      <c r="E18" s="15"/>
      <c r="F18" s="15"/>
      <c r="G18" s="15"/>
      <c r="H18" s="15"/>
      <c r="I18" s="15"/>
      <c r="J18" s="15"/>
    </row>
    <row r="21" spans="1:10">
      <c r="E21" s="13"/>
    </row>
  </sheetData>
  <mergeCells count="1">
    <mergeCell ref="A1:J18"/>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Y215"/>
  <sheetViews>
    <sheetView tabSelected="1" topLeftCell="A7" zoomScale="85" zoomScaleNormal="85" workbookViewId="0">
      <selection activeCell="H25" sqref="H25"/>
    </sheetView>
  </sheetViews>
  <sheetFormatPr defaultColWidth="9" defaultRowHeight="25.8"/>
  <cols>
    <col min="1" max="1" width="26.09765625" style="1" customWidth="1"/>
    <col min="2" max="2" width="20.5" style="1" customWidth="1"/>
    <col min="3" max="3" width="21.59765625" style="1" customWidth="1"/>
    <col min="4" max="4" width="19.8984375" style="1" customWidth="1"/>
    <col min="5" max="5" width="14.8984375" style="1" customWidth="1"/>
    <col min="6" max="6" width="13.5" style="1" customWidth="1"/>
    <col min="7" max="7" width="14.8984375" style="1" customWidth="1"/>
    <col min="8" max="8" width="15.5" style="1" customWidth="1"/>
    <col min="9" max="9" width="17.09765625" style="1" customWidth="1"/>
    <col min="10" max="10" width="17" style="1" customWidth="1"/>
    <col min="11" max="11" width="17.59765625" style="1" customWidth="1"/>
    <col min="12" max="12" width="20.3984375" style="1" customWidth="1"/>
    <col min="13" max="13" width="19.19921875" style="1" customWidth="1"/>
    <col min="14" max="14" width="18.19921875" style="1" customWidth="1"/>
    <col min="15" max="15" width="17.5" style="1" customWidth="1"/>
    <col min="16" max="16" width="18.3984375" style="1" customWidth="1"/>
    <col min="17" max="17" width="19.69921875" style="1" customWidth="1"/>
    <col min="18" max="18" width="18.59765625" style="1" customWidth="1"/>
    <col min="19" max="19" width="17.09765625" style="1" customWidth="1"/>
    <col min="20" max="20" width="17.19921875" style="1" customWidth="1"/>
    <col min="21" max="21" width="21.09765625" style="1" customWidth="1"/>
    <col min="22" max="22" width="16.69921875" style="1" customWidth="1"/>
    <col min="23" max="23" width="19.8984375" style="1" customWidth="1"/>
    <col min="24" max="24" width="18" style="1" customWidth="1"/>
    <col min="25" max="26" width="18.09765625" style="1" customWidth="1"/>
    <col min="27" max="27" width="18.8984375" style="1" customWidth="1"/>
    <col min="28" max="28" width="18.19921875" style="1" customWidth="1"/>
    <col min="29" max="29" width="15.8984375" style="1" customWidth="1"/>
    <col min="30" max="30" width="19.8984375" style="1" customWidth="1"/>
    <col min="31" max="31" width="21.09765625" style="1" customWidth="1"/>
    <col min="32" max="81" width="12.69921875" style="1" bestFit="1" customWidth="1"/>
    <col min="82" max="101" width="14.59765625" style="1" bestFit="1" customWidth="1"/>
    <col min="102" max="16384" width="9" style="1"/>
  </cols>
  <sheetData>
    <row r="1" spans="1:51">
      <c r="A1" s="19" t="s">
        <v>16</v>
      </c>
      <c r="B1" s="20"/>
      <c r="C1" s="20"/>
      <c r="D1" s="20"/>
      <c r="E1" s="20"/>
      <c r="F1" s="20"/>
      <c r="G1" s="10"/>
      <c r="I1" s="23" t="s">
        <v>28</v>
      </c>
      <c r="J1" s="24"/>
      <c r="K1" s="24"/>
    </row>
    <row r="2" spans="1:51">
      <c r="A2" s="11" t="s">
        <v>17</v>
      </c>
      <c r="B2" s="11" t="s">
        <v>18</v>
      </c>
      <c r="C2" s="11" t="s">
        <v>19</v>
      </c>
      <c r="D2" s="10" t="s">
        <v>30</v>
      </c>
      <c r="E2" s="11" t="s">
        <v>20</v>
      </c>
      <c r="F2" s="11" t="s">
        <v>29</v>
      </c>
      <c r="G2" s="10" t="s">
        <v>33</v>
      </c>
      <c r="I2" s="25" t="s">
        <v>4</v>
      </c>
      <c r="J2" s="17"/>
      <c r="K2" s="18"/>
    </row>
    <row r="3" spans="1:51">
      <c r="A3" s="5" t="s">
        <v>0</v>
      </c>
      <c r="B3" s="5" t="s">
        <v>1</v>
      </c>
      <c r="C3" s="5" t="s">
        <v>2</v>
      </c>
      <c r="D3" s="10" t="s">
        <v>31</v>
      </c>
      <c r="E3" s="5" t="s">
        <v>32</v>
      </c>
      <c r="F3" s="5" t="s">
        <v>3</v>
      </c>
      <c r="G3" s="10" t="s">
        <v>34</v>
      </c>
      <c r="I3" s="25" t="s">
        <v>5</v>
      </c>
      <c r="J3" s="17"/>
      <c r="K3" s="18"/>
    </row>
    <row r="4" spans="1:51">
      <c r="A4" s="12">
        <v>300</v>
      </c>
      <c r="B4" s="3">
        <v>300</v>
      </c>
      <c r="C4" s="3">
        <v>0.08</v>
      </c>
      <c r="D4" s="10">
        <v>0.3</v>
      </c>
      <c r="E4" s="9">
        <f>4/12</f>
        <v>0.33333333333333331</v>
      </c>
      <c r="F4" s="4">
        <v>4</v>
      </c>
      <c r="G4" s="10">
        <v>0.08</v>
      </c>
      <c r="I4" s="25" t="s">
        <v>7</v>
      </c>
      <c r="J4" s="17"/>
      <c r="K4" s="18"/>
    </row>
    <row r="5" spans="1:51">
      <c r="A5" s="21" t="s">
        <v>6</v>
      </c>
      <c r="B5" s="21"/>
      <c r="C5" s="21"/>
      <c r="D5" s="21"/>
      <c r="E5" s="21"/>
      <c r="F5" s="21"/>
      <c r="I5" s="26" t="s">
        <v>8</v>
      </c>
      <c r="J5" s="17"/>
      <c r="K5" s="18"/>
    </row>
    <row r="6" spans="1:51">
      <c r="A6" s="22"/>
      <c r="B6" s="22"/>
      <c r="C6" s="22"/>
      <c r="D6" s="22"/>
      <c r="E6" s="22"/>
      <c r="F6" s="22"/>
      <c r="I6" s="27" t="s">
        <v>14</v>
      </c>
      <c r="J6" s="17"/>
      <c r="K6" s="18"/>
    </row>
    <row r="7" spans="1:51">
      <c r="A7" s="6" t="s">
        <v>22</v>
      </c>
      <c r="B7" s="6" t="s">
        <v>23</v>
      </c>
      <c r="C7" s="6" t="s">
        <v>24</v>
      </c>
      <c r="D7" s="6" t="s">
        <v>25</v>
      </c>
      <c r="E7" s="6" t="s">
        <v>26</v>
      </c>
      <c r="F7" s="6" t="s">
        <v>27</v>
      </c>
      <c r="I7" s="16" t="s">
        <v>15</v>
      </c>
      <c r="J7" s="17"/>
      <c r="K7" s="18"/>
    </row>
    <row r="8" spans="1:51" ht="26.4">
      <c r="A8" s="3" t="s">
        <v>21</v>
      </c>
      <c r="B8" s="5" t="s">
        <v>9</v>
      </c>
      <c r="C8" s="5" t="s">
        <v>10</v>
      </c>
      <c r="D8" s="5" t="s">
        <v>11</v>
      </c>
      <c r="E8" s="5" t="s">
        <v>12</v>
      </c>
      <c r="F8" s="5" t="s">
        <v>13</v>
      </c>
    </row>
    <row r="9" spans="1:51">
      <c r="A9" s="1">
        <f>T/N</f>
        <v>8.3333333333333329E-2</v>
      </c>
      <c r="B9" s="2">
        <f>EXP(σ*SQRT(△t))</f>
        <v>1.0904631784921235</v>
      </c>
      <c r="C9" s="2">
        <f>1/u</f>
        <v>0.91704151017990843</v>
      </c>
      <c r="D9" s="2">
        <f>EXP((_r-q)*△t)</f>
        <v>1</v>
      </c>
      <c r="E9" s="2">
        <f>(a-d)/(u-d)</f>
        <v>0.47836288641128444</v>
      </c>
      <c r="F9" s="2">
        <f>1-p</f>
        <v>0.52163711358871556</v>
      </c>
    </row>
    <row r="10" spans="1:51">
      <c r="A10" s="1" t="s">
        <v>38</v>
      </c>
      <c r="C10" s="7" t="s">
        <v>39</v>
      </c>
    </row>
    <row r="11" spans="1:51">
      <c r="A11" s="7" t="s">
        <v>36</v>
      </c>
      <c r="B11" s="1">
        <v>18.94913843125677</v>
      </c>
      <c r="C11" s="1">
        <v>20.158961943426561</v>
      </c>
    </row>
    <row r="12" spans="1:51">
      <c r="A12" s="8" t="s">
        <v>37</v>
      </c>
      <c r="B12" s="1">
        <v>19.161006141941488</v>
      </c>
      <c r="E12" s="14">
        <v>424.19473742415477</v>
      </c>
      <c r="AY12" s="14">
        <v>147.78112197861287</v>
      </c>
    </row>
    <row r="13" spans="1:51">
      <c r="A13" s="8"/>
      <c r="E13" s="14">
        <v>424.19473742415477</v>
      </c>
      <c r="AY13" s="14"/>
    </row>
    <row r="14" spans="1:51">
      <c r="E14" s="7">
        <v>124.19473742415477</v>
      </c>
      <c r="AY14" s="7">
        <v>0</v>
      </c>
    </row>
    <row r="15" spans="1:51">
      <c r="D15" s="14">
        <v>389.00418261781664</v>
      </c>
      <c r="E15" s="8">
        <v>124.19473742415477</v>
      </c>
      <c r="AX15" s="14">
        <v>141.98654130313255</v>
      </c>
      <c r="AY15" s="8">
        <v>0</v>
      </c>
    </row>
    <row r="16" spans="1:51">
      <c r="D16" s="7">
        <v>88.412794883136769</v>
      </c>
      <c r="AX16" s="7">
        <v>0</v>
      </c>
    </row>
    <row r="17" spans="1:51">
      <c r="C17" s="14">
        <v>356.73298309414344</v>
      </c>
      <c r="D17" s="8">
        <v>89.004182617816639</v>
      </c>
      <c r="E17" s="14">
        <v>356.73298309414344</v>
      </c>
      <c r="AW17" s="14">
        <v>136.41916938581491</v>
      </c>
      <c r="AX17" s="8">
        <v>0</v>
      </c>
      <c r="AY17" s="14">
        <v>136.41916938581491</v>
      </c>
    </row>
    <row r="18" spans="1:51">
      <c r="C18" s="7">
        <v>55.981563912866434</v>
      </c>
      <c r="E18" s="7">
        <v>56.732983094143435</v>
      </c>
      <c r="AW18" s="7">
        <v>0</v>
      </c>
      <c r="AY18" s="7">
        <v>0</v>
      </c>
    </row>
    <row r="19" spans="1:51">
      <c r="B19" s="14">
        <v>327.13895354763707</v>
      </c>
      <c r="C19" s="8">
        <v>56.732983094143435</v>
      </c>
      <c r="D19" s="14">
        <v>327.13895354763702</v>
      </c>
      <c r="E19" s="8">
        <v>56.732983094143435</v>
      </c>
      <c r="AV19" s="14">
        <v>131.07009724382289</v>
      </c>
      <c r="AW19" s="8">
        <v>0</v>
      </c>
      <c r="AX19" s="14">
        <v>131.07009724382289</v>
      </c>
      <c r="AY19" s="8">
        <v>0</v>
      </c>
    </row>
    <row r="20" spans="1:51">
      <c r="B20" s="7">
        <v>33.239503914034287</v>
      </c>
      <c r="D20" s="7">
        <v>26.95862894054487</v>
      </c>
      <c r="AV20" s="7">
        <v>0</v>
      </c>
      <c r="AX20" s="7">
        <v>0</v>
      </c>
    </row>
    <row r="21" spans="1:51">
      <c r="A21" s="14">
        <v>300</v>
      </c>
      <c r="B21" s="8">
        <v>33.640967348001716</v>
      </c>
      <c r="C21" s="14">
        <v>300</v>
      </c>
      <c r="D21" s="8">
        <v>27.138953547637016</v>
      </c>
      <c r="E21" s="14">
        <v>300</v>
      </c>
      <c r="AU21" s="14">
        <v>125.93076522053306</v>
      </c>
      <c r="AV21" s="8">
        <v>0</v>
      </c>
      <c r="AW21" s="14">
        <v>125.93076522053305</v>
      </c>
      <c r="AX21" s="8">
        <v>0</v>
      </c>
      <c r="AY21" s="14">
        <v>125.93076522053305</v>
      </c>
    </row>
    <row r="22" spans="1:51">
      <c r="A22" s="7">
        <v>18.94913843125677</v>
      </c>
      <c r="C22" s="7">
        <v>12.810320112164311</v>
      </c>
      <c r="E22" s="7">
        <v>0</v>
      </c>
      <c r="AU22" s="7">
        <v>0</v>
      </c>
      <c r="AW22" s="7">
        <v>0</v>
      </c>
      <c r="AY22" s="7">
        <v>0</v>
      </c>
    </row>
    <row r="23" spans="1:51">
      <c r="A23" s="8">
        <v>19.161006141941488</v>
      </c>
      <c r="B23" s="14">
        <v>275.1124530539725</v>
      </c>
      <c r="C23" s="8">
        <v>12.896007553689813</v>
      </c>
      <c r="D23" s="14">
        <v>275.11245305397256</v>
      </c>
      <c r="E23" s="8">
        <v>0</v>
      </c>
      <c r="AT23" s="14">
        <v>120.99294928825884</v>
      </c>
      <c r="AU23" s="8">
        <v>0</v>
      </c>
      <c r="AV23" s="14">
        <v>120.99294928825884</v>
      </c>
      <c r="AW23" s="8">
        <v>0</v>
      </c>
      <c r="AX23" s="14">
        <v>120.99294928825884</v>
      </c>
      <c r="AY23" s="8">
        <v>0</v>
      </c>
    </row>
    <row r="24" spans="1:51">
      <c r="B24" s="7">
        <v>6.0872643686012573</v>
      </c>
      <c r="D24" s="7">
        <v>0</v>
      </c>
      <c r="AT24" s="7">
        <v>0</v>
      </c>
      <c r="AV24" s="7">
        <v>0</v>
      </c>
      <c r="AX24" s="7">
        <v>0</v>
      </c>
    </row>
    <row r="25" spans="1:51">
      <c r="B25" s="8">
        <v>6.1279817047074401</v>
      </c>
      <c r="C25" s="14">
        <v>252.28953941791411</v>
      </c>
      <c r="D25" s="8">
        <v>0</v>
      </c>
      <c r="E25" s="14">
        <v>252.28953941791414</v>
      </c>
      <c r="AS25" s="14">
        <v>116.2487478880517</v>
      </c>
      <c r="AT25" s="8">
        <v>0</v>
      </c>
      <c r="AU25" s="14">
        <v>116.2487478880517</v>
      </c>
      <c r="AV25" s="8">
        <v>0</v>
      </c>
      <c r="AW25" s="14">
        <v>116.2487478880517</v>
      </c>
      <c r="AX25" s="8">
        <v>0</v>
      </c>
      <c r="AY25" s="14">
        <v>116.2487478880517</v>
      </c>
    </row>
    <row r="26" spans="1:51">
      <c r="C26" s="7">
        <v>0</v>
      </c>
      <c r="E26" s="7">
        <v>0</v>
      </c>
      <c r="AS26" s="7">
        <v>0</v>
      </c>
      <c r="AU26" s="7">
        <v>0</v>
      </c>
      <c r="AW26" s="7">
        <v>0</v>
      </c>
      <c r="AY26" s="7">
        <v>0</v>
      </c>
    </row>
    <row r="27" spans="1:51">
      <c r="C27" s="8">
        <v>0</v>
      </c>
      <c r="D27" s="14">
        <v>231.3599802303975</v>
      </c>
      <c r="E27" s="8">
        <v>0</v>
      </c>
      <c r="AR27" s="14">
        <v>111.69056928552101</v>
      </c>
      <c r="AS27" s="8">
        <v>0</v>
      </c>
      <c r="AT27" s="14">
        <v>111.69056928552101</v>
      </c>
      <c r="AU27" s="8">
        <v>0</v>
      </c>
      <c r="AV27" s="14">
        <v>111.69056928552101</v>
      </c>
      <c r="AW27" s="8">
        <v>0</v>
      </c>
      <c r="AX27" s="14">
        <v>111.69056928552101</v>
      </c>
      <c r="AY27" s="8">
        <v>0</v>
      </c>
    </row>
    <row r="28" spans="1:51">
      <c r="D28" s="7">
        <v>0</v>
      </c>
      <c r="AR28" s="7">
        <v>0</v>
      </c>
      <c r="AT28" s="7">
        <v>0</v>
      </c>
      <c r="AV28" s="7">
        <v>0</v>
      </c>
      <c r="AX28" s="7">
        <v>0</v>
      </c>
    </row>
    <row r="29" spans="1:51">
      <c r="D29" s="8">
        <v>0</v>
      </c>
      <c r="E29" s="14">
        <v>212.16670566567748</v>
      </c>
      <c r="AQ29" s="14">
        <v>107.31111942243942</v>
      </c>
      <c r="AR29" s="8">
        <v>0</v>
      </c>
      <c r="AS29" s="14">
        <v>107.31111942243942</v>
      </c>
      <c r="AT29" s="8">
        <v>0</v>
      </c>
      <c r="AU29" s="14">
        <v>107.31111942243942</v>
      </c>
      <c r="AV29" s="8">
        <v>0</v>
      </c>
      <c r="AW29" s="14">
        <v>107.31111942243942</v>
      </c>
      <c r="AX29" s="8">
        <v>0</v>
      </c>
      <c r="AY29" s="14">
        <v>107.31111942243942</v>
      </c>
    </row>
    <row r="30" spans="1:51">
      <c r="E30" s="7">
        <v>0</v>
      </c>
      <c r="AQ30" s="7">
        <v>0</v>
      </c>
      <c r="AS30" s="7">
        <v>0</v>
      </c>
      <c r="AU30" s="7">
        <v>0</v>
      </c>
      <c r="AW30" s="7">
        <v>0</v>
      </c>
      <c r="AY30" s="7">
        <v>0</v>
      </c>
    </row>
    <row r="31" spans="1:51">
      <c r="E31" s="8">
        <v>0</v>
      </c>
      <c r="AP31" s="14">
        <v>103.10339024469356</v>
      </c>
      <c r="AQ31" s="8">
        <v>0</v>
      </c>
      <c r="AR31" s="14">
        <v>103.10339024469354</v>
      </c>
      <c r="AS31" s="8">
        <v>0</v>
      </c>
      <c r="AT31" s="14">
        <v>103.10339024469356</v>
      </c>
      <c r="AU31" s="8">
        <v>0</v>
      </c>
      <c r="AV31" s="14">
        <v>103.10339024469354</v>
      </c>
      <c r="AW31" s="8">
        <v>0</v>
      </c>
      <c r="AX31" s="14">
        <v>103.10339024469354</v>
      </c>
      <c r="AY31" s="8">
        <v>0</v>
      </c>
    </row>
    <row r="32" spans="1:51">
      <c r="AP32" s="7">
        <v>0</v>
      </c>
      <c r="AR32" s="7">
        <v>0</v>
      </c>
      <c r="AT32" s="7">
        <v>0</v>
      </c>
      <c r="AV32" s="7">
        <v>0</v>
      </c>
      <c r="AX32" s="7">
        <v>0</v>
      </c>
    </row>
    <row r="33" spans="34:51">
      <c r="AO33" s="14">
        <v>99.060648487902228</v>
      </c>
      <c r="AP33" s="8">
        <v>0</v>
      </c>
      <c r="AQ33" s="14">
        <v>99.060648487902228</v>
      </c>
      <c r="AR33" s="8">
        <v>0</v>
      </c>
      <c r="AS33" s="14">
        <v>99.060648487902228</v>
      </c>
      <c r="AT33" s="8">
        <v>0</v>
      </c>
      <c r="AU33" s="14">
        <v>99.060648487902228</v>
      </c>
      <c r="AV33" s="8">
        <v>0</v>
      </c>
      <c r="AW33" s="14">
        <v>99.060648487902213</v>
      </c>
      <c r="AX33" s="8">
        <v>0</v>
      </c>
      <c r="AY33" s="14">
        <v>99.060648487902213</v>
      </c>
    </row>
    <row r="34" spans="34:51">
      <c r="AO34" s="7">
        <v>0</v>
      </c>
      <c r="AQ34" s="7">
        <v>0</v>
      </c>
      <c r="AS34" s="7">
        <v>0</v>
      </c>
      <c r="AU34" s="7">
        <v>0</v>
      </c>
      <c r="AW34" s="7">
        <v>0</v>
      </c>
      <c r="AY34" s="7">
        <v>0</v>
      </c>
    </row>
    <row r="35" spans="34:51">
      <c r="AN35" s="14">
        <v>95.176424902757034</v>
      </c>
      <c r="AO35" s="8">
        <v>0</v>
      </c>
      <c r="AP35" s="14">
        <v>95.176424902757006</v>
      </c>
      <c r="AQ35" s="8">
        <v>0</v>
      </c>
      <c r="AR35" s="14">
        <v>95.17642490275702</v>
      </c>
      <c r="AS35" s="8">
        <v>0</v>
      </c>
      <c r="AT35" s="14">
        <v>95.176424902757006</v>
      </c>
      <c r="AU35" s="8">
        <v>0</v>
      </c>
      <c r="AV35" s="14">
        <v>95.176424902757006</v>
      </c>
      <c r="AW35" s="8">
        <v>0</v>
      </c>
      <c r="AX35" s="14">
        <v>95.176424902757006</v>
      </c>
      <c r="AY35" s="8">
        <v>0</v>
      </c>
    </row>
    <row r="36" spans="34:51">
      <c r="AN36" s="7">
        <v>0</v>
      </c>
      <c r="AP36" s="7">
        <v>0</v>
      </c>
      <c r="AR36" s="7">
        <v>0</v>
      </c>
      <c r="AT36" s="7">
        <v>0</v>
      </c>
      <c r="AV36" s="7">
        <v>0</v>
      </c>
      <c r="AX36" s="7">
        <v>0</v>
      </c>
    </row>
    <row r="37" spans="34:51">
      <c r="AM37" s="14">
        <v>91.444503902843124</v>
      </c>
      <c r="AN37" s="8">
        <v>0</v>
      </c>
      <c r="AO37" s="14">
        <v>91.444503902843138</v>
      </c>
      <c r="AP37" s="8">
        <v>0</v>
      </c>
      <c r="AQ37" s="14">
        <v>91.444503902843124</v>
      </c>
      <c r="AR37" s="8">
        <v>0</v>
      </c>
      <c r="AS37" s="14">
        <v>91.444503902843124</v>
      </c>
      <c r="AT37" s="8">
        <v>0</v>
      </c>
      <c r="AU37" s="14">
        <v>91.44450390284311</v>
      </c>
      <c r="AV37" s="8">
        <v>0</v>
      </c>
      <c r="AW37" s="14">
        <v>91.44450390284311</v>
      </c>
      <c r="AX37" s="8">
        <v>0</v>
      </c>
      <c r="AY37" s="14">
        <v>91.44450390284311</v>
      </c>
    </row>
    <row r="38" spans="34:51">
      <c r="AM38" s="7">
        <v>0</v>
      </c>
      <c r="AO38" s="7">
        <v>0</v>
      </c>
      <c r="AQ38" s="7">
        <v>0</v>
      </c>
      <c r="AS38" s="7">
        <v>0</v>
      </c>
      <c r="AU38" s="7">
        <v>0</v>
      </c>
      <c r="AW38" s="7">
        <v>0</v>
      </c>
      <c r="AY38" s="7">
        <v>0</v>
      </c>
    </row>
    <row r="39" spans="34:51">
      <c r="AL39" s="14">
        <v>87.858913618375084</v>
      </c>
      <c r="AM39" s="8">
        <v>0</v>
      </c>
      <c r="AN39" s="14">
        <v>87.85891361837507</v>
      </c>
      <c r="AO39" s="8">
        <v>0</v>
      </c>
      <c r="AP39" s="14">
        <v>87.858913618375084</v>
      </c>
      <c r="AQ39" s="8">
        <v>0</v>
      </c>
      <c r="AR39" s="14">
        <v>87.85891361837507</v>
      </c>
      <c r="AS39" s="8">
        <v>0</v>
      </c>
      <c r="AT39" s="14">
        <v>87.85891361837507</v>
      </c>
      <c r="AU39" s="8">
        <v>0</v>
      </c>
      <c r="AV39" s="14">
        <v>87.858913618375055</v>
      </c>
      <c r="AW39" s="8">
        <v>0</v>
      </c>
      <c r="AX39" s="14">
        <v>87.858913618375055</v>
      </c>
      <c r="AY39" s="8">
        <v>0</v>
      </c>
    </row>
    <row r="40" spans="34:51">
      <c r="AL40" s="7">
        <v>0</v>
      </c>
      <c r="AN40" s="7">
        <v>0</v>
      </c>
      <c r="AP40" s="7">
        <v>0</v>
      </c>
      <c r="AR40" s="7">
        <v>0</v>
      </c>
      <c r="AT40" s="7">
        <v>0</v>
      </c>
      <c r="AV40" s="7">
        <v>0</v>
      </c>
      <c r="AX40" s="7">
        <v>0</v>
      </c>
    </row>
    <row r="41" spans="34:51">
      <c r="AK41" s="14">
        <v>84.413916339931006</v>
      </c>
      <c r="AL41" s="8">
        <v>0</v>
      </c>
      <c r="AM41" s="14">
        <v>84.413916339931006</v>
      </c>
      <c r="AN41" s="8">
        <v>0</v>
      </c>
      <c r="AO41" s="14">
        <v>84.413916339930992</v>
      </c>
      <c r="AP41" s="8">
        <v>0</v>
      </c>
      <c r="AQ41" s="14">
        <v>84.413916339931006</v>
      </c>
      <c r="AR41" s="8">
        <v>0</v>
      </c>
      <c r="AS41" s="14">
        <v>84.413916339930992</v>
      </c>
      <c r="AT41" s="8">
        <v>0</v>
      </c>
      <c r="AU41" s="14">
        <v>84.413916339930992</v>
      </c>
      <c r="AV41" s="8">
        <v>0</v>
      </c>
      <c r="AW41" s="14">
        <v>84.413916339930978</v>
      </c>
      <c r="AX41" s="8">
        <v>0</v>
      </c>
      <c r="AY41" s="14">
        <v>84.413916339930978</v>
      </c>
    </row>
    <row r="42" spans="34:51">
      <c r="AK42" s="7">
        <v>0</v>
      </c>
      <c r="AM42" s="7">
        <v>0</v>
      </c>
      <c r="AO42" s="7">
        <v>0</v>
      </c>
      <c r="AQ42" s="7">
        <v>0</v>
      </c>
      <c r="AS42" s="7">
        <v>0</v>
      </c>
      <c r="AU42" s="7">
        <v>0</v>
      </c>
      <c r="AW42" s="7">
        <v>0</v>
      </c>
      <c r="AY42" s="7">
        <v>0</v>
      </c>
    </row>
    <row r="43" spans="34:51">
      <c r="AJ43" s="14">
        <v>81.103999336893452</v>
      </c>
      <c r="AK43" s="8">
        <v>0</v>
      </c>
      <c r="AL43" s="14">
        <v>81.103999336893438</v>
      </c>
      <c r="AM43" s="8">
        <v>0</v>
      </c>
      <c r="AN43" s="14">
        <v>81.103999336893438</v>
      </c>
      <c r="AO43" s="8">
        <v>0</v>
      </c>
      <c r="AP43" s="14">
        <v>81.103999336893438</v>
      </c>
      <c r="AQ43" s="8">
        <v>0</v>
      </c>
      <c r="AR43" s="14">
        <v>81.103999336893438</v>
      </c>
      <c r="AS43" s="8">
        <v>0</v>
      </c>
      <c r="AT43" s="14">
        <v>81.103999336893423</v>
      </c>
      <c r="AU43" s="8">
        <v>0</v>
      </c>
      <c r="AV43" s="14">
        <v>81.103999336893423</v>
      </c>
      <c r="AW43" s="8">
        <v>0</v>
      </c>
      <c r="AX43" s="14">
        <v>81.103999336893409</v>
      </c>
      <c r="AY43" s="8">
        <v>0</v>
      </c>
    </row>
    <row r="44" spans="34:51">
      <c r="AJ44" s="7">
        <v>0</v>
      </c>
      <c r="AL44" s="7">
        <v>0</v>
      </c>
      <c r="AN44" s="7">
        <v>0</v>
      </c>
      <c r="AP44" s="7">
        <v>0</v>
      </c>
      <c r="AR44" s="7">
        <v>0</v>
      </c>
      <c r="AT44" s="7">
        <v>0</v>
      </c>
      <c r="AV44" s="7">
        <v>0</v>
      </c>
      <c r="AX44" s="7">
        <v>0</v>
      </c>
    </row>
    <row r="45" spans="34:51">
      <c r="AI45" s="14">
        <v>77.923866035904254</v>
      </c>
      <c r="AJ45" s="8">
        <v>0</v>
      </c>
      <c r="AK45" s="14">
        <v>77.923866035904254</v>
      </c>
      <c r="AL45" s="8">
        <v>0</v>
      </c>
      <c r="AM45" s="14">
        <v>77.92386603590424</v>
      </c>
      <c r="AN45" s="8">
        <v>0</v>
      </c>
      <c r="AO45" s="14">
        <v>77.92386603590424</v>
      </c>
      <c r="AP45" s="8">
        <v>0</v>
      </c>
      <c r="AQ45" s="14">
        <v>77.923866035904226</v>
      </c>
      <c r="AR45" s="8">
        <v>0</v>
      </c>
      <c r="AS45" s="14">
        <v>77.92386603590424</v>
      </c>
      <c r="AT45" s="8">
        <v>0</v>
      </c>
      <c r="AU45" s="14">
        <v>77.923866035904226</v>
      </c>
      <c r="AV45" s="8">
        <v>0</v>
      </c>
      <c r="AW45" s="14">
        <v>77.923866035904226</v>
      </c>
      <c r="AX45" s="8">
        <v>0</v>
      </c>
      <c r="AY45" s="14">
        <v>77.923866035904211</v>
      </c>
    </row>
    <row r="46" spans="34:51">
      <c r="AI46" s="7">
        <v>0</v>
      </c>
      <c r="AK46" s="7">
        <v>0</v>
      </c>
      <c r="AM46" s="7">
        <v>0</v>
      </c>
      <c r="AO46" s="7">
        <v>0</v>
      </c>
      <c r="AQ46" s="7">
        <v>0</v>
      </c>
      <c r="AS46" s="7">
        <v>0</v>
      </c>
      <c r="AU46" s="7">
        <v>0</v>
      </c>
      <c r="AW46" s="7">
        <v>0</v>
      </c>
      <c r="AY46" s="7">
        <v>0</v>
      </c>
    </row>
    <row r="47" spans="34:51">
      <c r="AH47" s="14">
        <v>74.868427545217202</v>
      </c>
      <c r="AI47" s="8">
        <v>0</v>
      </c>
      <c r="AJ47" s="14">
        <v>74.868427545217216</v>
      </c>
      <c r="AK47" s="8">
        <v>0</v>
      </c>
      <c r="AL47" s="14">
        <v>74.868427545217216</v>
      </c>
      <c r="AM47" s="8">
        <v>0</v>
      </c>
      <c r="AN47" s="14">
        <v>74.868427545217202</v>
      </c>
      <c r="AO47" s="8">
        <v>0</v>
      </c>
      <c r="AP47" s="14">
        <v>74.868427545217202</v>
      </c>
      <c r="AQ47" s="8">
        <v>0</v>
      </c>
      <c r="AR47" s="14">
        <v>74.868427545217187</v>
      </c>
      <c r="AS47" s="8">
        <v>0</v>
      </c>
      <c r="AT47" s="14">
        <v>74.868427545217202</v>
      </c>
      <c r="AU47" s="8">
        <v>0</v>
      </c>
      <c r="AV47" s="14">
        <v>74.868427545217173</v>
      </c>
      <c r="AW47" s="8">
        <v>0</v>
      </c>
      <c r="AX47" s="14">
        <v>74.868427545217187</v>
      </c>
      <c r="AY47" s="8">
        <v>0</v>
      </c>
    </row>
    <row r="48" spans="34:51">
      <c r="AH48" s="7">
        <v>0</v>
      </c>
      <c r="AJ48" s="7">
        <v>0</v>
      </c>
      <c r="AL48" s="7">
        <v>0</v>
      </c>
      <c r="AN48" s="7">
        <v>0</v>
      </c>
      <c r="AP48" s="7">
        <v>0</v>
      </c>
      <c r="AR48" s="7">
        <v>0</v>
      </c>
      <c r="AT48" s="7">
        <v>0</v>
      </c>
      <c r="AV48" s="7">
        <v>0</v>
      </c>
      <c r="AX48" s="7">
        <v>0</v>
      </c>
    </row>
    <row r="49" spans="26:51">
      <c r="AG49" s="14">
        <v>71.932794511385595</v>
      </c>
      <c r="AH49" s="8">
        <v>0</v>
      </c>
      <c r="AI49" s="14">
        <v>71.93279451138558</v>
      </c>
      <c r="AJ49" s="8">
        <v>0</v>
      </c>
      <c r="AK49" s="14">
        <v>71.932794511385595</v>
      </c>
      <c r="AL49" s="8">
        <v>0</v>
      </c>
      <c r="AM49" s="14">
        <v>71.932794511385595</v>
      </c>
      <c r="AN49" s="8">
        <v>0</v>
      </c>
      <c r="AO49" s="14">
        <v>71.93279451138558</v>
      </c>
      <c r="AP49" s="8">
        <v>0</v>
      </c>
      <c r="AQ49" s="14">
        <v>71.93279451138558</v>
      </c>
      <c r="AR49" s="8">
        <v>0</v>
      </c>
      <c r="AS49" s="14">
        <v>71.932794511385566</v>
      </c>
      <c r="AT49" s="8">
        <v>0</v>
      </c>
      <c r="AU49" s="14">
        <v>71.932794511385566</v>
      </c>
      <c r="AV49" s="8">
        <v>0</v>
      </c>
      <c r="AW49" s="14">
        <v>71.932794511385552</v>
      </c>
      <c r="AX49" s="8">
        <v>0</v>
      </c>
      <c r="AY49" s="14">
        <v>71.932794511385552</v>
      </c>
    </row>
    <row r="50" spans="26:51">
      <c r="AG50" s="7">
        <v>0</v>
      </c>
      <c r="AI50" s="7">
        <v>0</v>
      </c>
      <c r="AK50" s="7">
        <v>0</v>
      </c>
      <c r="AM50" s="7">
        <v>0</v>
      </c>
      <c r="AO50" s="7">
        <v>0</v>
      </c>
      <c r="AQ50" s="7">
        <v>0</v>
      </c>
      <c r="AS50" s="7">
        <v>0</v>
      </c>
      <c r="AU50" s="7">
        <v>0</v>
      </c>
      <c r="AW50" s="7">
        <v>0</v>
      </c>
      <c r="AY50" s="7">
        <v>0</v>
      </c>
    </row>
    <row r="51" spans="26:51">
      <c r="AF51" s="14">
        <v>69.112269295253469</v>
      </c>
      <c r="AG51" s="8">
        <v>0</v>
      </c>
      <c r="AH51" s="14">
        <v>69.112269295253483</v>
      </c>
      <c r="AI51" s="8">
        <v>0</v>
      </c>
      <c r="AJ51" s="14">
        <v>69.112269295253469</v>
      </c>
      <c r="AK51" s="8">
        <v>0</v>
      </c>
      <c r="AL51" s="14">
        <v>69.112269295253469</v>
      </c>
      <c r="AM51" s="8">
        <v>0</v>
      </c>
      <c r="AN51" s="14">
        <v>69.112269295253469</v>
      </c>
      <c r="AO51" s="8">
        <v>0</v>
      </c>
      <c r="AP51" s="14">
        <v>69.112269295253455</v>
      </c>
      <c r="AQ51" s="8">
        <v>0</v>
      </c>
      <c r="AR51" s="14">
        <v>69.112269295253455</v>
      </c>
      <c r="AS51" s="8">
        <v>0</v>
      </c>
      <c r="AT51" s="14">
        <v>69.112269295253441</v>
      </c>
      <c r="AU51" s="8">
        <v>0</v>
      </c>
      <c r="AV51" s="14">
        <v>69.112269295253455</v>
      </c>
      <c r="AW51" s="8">
        <v>0</v>
      </c>
      <c r="AX51" s="14">
        <v>69.112269295253441</v>
      </c>
      <c r="AY51" s="8">
        <v>0</v>
      </c>
    </row>
    <row r="52" spans="26:51">
      <c r="AF52" s="7">
        <v>0</v>
      </c>
      <c r="AH52" s="7">
        <v>0</v>
      </c>
      <c r="AJ52" s="7">
        <v>0</v>
      </c>
      <c r="AL52" s="7">
        <v>0</v>
      </c>
      <c r="AN52" s="7">
        <v>0</v>
      </c>
      <c r="AP52" s="7">
        <v>0</v>
      </c>
      <c r="AR52" s="7">
        <v>0</v>
      </c>
      <c r="AT52" s="7">
        <v>0</v>
      </c>
      <c r="AV52" s="7">
        <v>0</v>
      </c>
      <c r="AX52" s="7">
        <v>0</v>
      </c>
    </row>
    <row r="53" spans="26:51">
      <c r="AE53" s="14">
        <v>66.402338454730923</v>
      </c>
      <c r="AF53" s="8">
        <v>0</v>
      </c>
      <c r="AG53" s="14">
        <v>66.402338454730909</v>
      </c>
      <c r="AH53" s="8">
        <v>0</v>
      </c>
      <c r="AI53" s="14">
        <v>66.402338454730909</v>
      </c>
      <c r="AJ53" s="8">
        <v>0</v>
      </c>
      <c r="AK53" s="14">
        <v>66.402338454730909</v>
      </c>
      <c r="AL53" s="8">
        <v>0</v>
      </c>
      <c r="AM53" s="14">
        <v>66.402338454730909</v>
      </c>
      <c r="AN53" s="8">
        <v>0</v>
      </c>
      <c r="AO53" s="14">
        <v>66.402338454730909</v>
      </c>
      <c r="AP53" s="8">
        <v>0</v>
      </c>
      <c r="AQ53" s="14">
        <v>66.402338454730895</v>
      </c>
      <c r="AR53" s="8">
        <v>0</v>
      </c>
      <c r="AS53" s="14">
        <v>66.402338454730895</v>
      </c>
      <c r="AT53" s="8">
        <v>0</v>
      </c>
      <c r="AU53" s="14">
        <v>66.402338454730881</v>
      </c>
      <c r="AV53" s="8">
        <v>0</v>
      </c>
      <c r="AW53" s="14">
        <v>66.402338454730895</v>
      </c>
      <c r="AX53" s="8">
        <v>0</v>
      </c>
      <c r="AY53" s="14">
        <v>66.402338454730881</v>
      </c>
    </row>
    <row r="54" spans="26:51">
      <c r="AE54" s="7">
        <v>0</v>
      </c>
      <c r="AG54" s="7">
        <v>0</v>
      </c>
      <c r="AI54" s="7">
        <v>0</v>
      </c>
      <c r="AK54" s="7">
        <v>0</v>
      </c>
      <c r="AM54" s="7">
        <v>0</v>
      </c>
      <c r="AO54" s="7">
        <v>0</v>
      </c>
      <c r="AQ54" s="7">
        <v>0</v>
      </c>
      <c r="AS54" s="7">
        <v>0</v>
      </c>
      <c r="AU54" s="7">
        <v>0</v>
      </c>
      <c r="AW54" s="7">
        <v>0</v>
      </c>
      <c r="AY54" s="7">
        <v>0</v>
      </c>
    </row>
    <row r="55" spans="26:51">
      <c r="AD55" s="14">
        <v>63.79866552232366</v>
      </c>
      <c r="AE55" s="8">
        <v>0</v>
      </c>
      <c r="AF55" s="14">
        <v>63.798665522323667</v>
      </c>
      <c r="AG55" s="8">
        <v>0</v>
      </c>
      <c r="AH55" s="14">
        <v>63.798665522323653</v>
      </c>
      <c r="AI55" s="8">
        <v>0</v>
      </c>
      <c r="AJ55" s="14">
        <v>63.79866552232366</v>
      </c>
      <c r="AK55" s="8">
        <v>0</v>
      </c>
      <c r="AL55" s="14">
        <v>63.798665522323645</v>
      </c>
      <c r="AM55" s="8">
        <v>0</v>
      </c>
      <c r="AN55" s="14">
        <v>63.798665522323653</v>
      </c>
      <c r="AO55" s="8">
        <v>0</v>
      </c>
      <c r="AP55" s="14">
        <v>63.798665522323645</v>
      </c>
      <c r="AQ55" s="8">
        <v>0</v>
      </c>
      <c r="AR55" s="14">
        <v>63.798665522323638</v>
      </c>
      <c r="AS55" s="8">
        <v>0</v>
      </c>
      <c r="AT55" s="14">
        <v>63.798665522323638</v>
      </c>
      <c r="AU55" s="8">
        <v>0</v>
      </c>
      <c r="AV55" s="14">
        <v>63.798665522323631</v>
      </c>
      <c r="AW55" s="8">
        <v>0</v>
      </c>
      <c r="AX55" s="14">
        <v>63.798665522323645</v>
      </c>
      <c r="AY55" s="8">
        <v>0</v>
      </c>
    </row>
    <row r="56" spans="26:51">
      <c r="AD56" s="7">
        <v>0</v>
      </c>
      <c r="AF56" s="7">
        <v>0</v>
      </c>
      <c r="AH56" s="7">
        <v>0</v>
      </c>
      <c r="AJ56" s="7">
        <v>0</v>
      </c>
      <c r="AL56" s="7">
        <v>0</v>
      </c>
      <c r="AN56" s="7">
        <v>0</v>
      </c>
      <c r="AP56" s="7">
        <v>0</v>
      </c>
      <c r="AR56" s="7">
        <v>0</v>
      </c>
      <c r="AT56" s="7">
        <v>0</v>
      </c>
      <c r="AV56" s="7">
        <v>0</v>
      </c>
      <c r="AX56" s="7">
        <v>0</v>
      </c>
    </row>
    <row r="57" spans="26:51">
      <c r="AC57" s="14">
        <v>61.297084065860012</v>
      </c>
      <c r="AD57" s="8">
        <v>0</v>
      </c>
      <c r="AE57" s="14">
        <v>61.297084065860005</v>
      </c>
      <c r="AF57" s="8">
        <v>0</v>
      </c>
      <c r="AG57" s="14">
        <v>61.297084065860012</v>
      </c>
      <c r="AH57" s="8">
        <v>0</v>
      </c>
      <c r="AI57" s="14">
        <v>61.297084065859998</v>
      </c>
      <c r="AJ57" s="8">
        <v>0</v>
      </c>
      <c r="AK57" s="14">
        <v>61.297084065860005</v>
      </c>
      <c r="AL57" s="8">
        <v>0</v>
      </c>
      <c r="AM57" s="14">
        <v>61.297084065859991</v>
      </c>
      <c r="AN57" s="8">
        <v>0</v>
      </c>
      <c r="AO57" s="14">
        <v>61.297084065859998</v>
      </c>
      <c r="AP57" s="8">
        <v>0</v>
      </c>
      <c r="AQ57" s="14">
        <v>61.297084065859991</v>
      </c>
      <c r="AR57" s="8">
        <v>0</v>
      </c>
      <c r="AS57" s="14">
        <v>61.297084065859984</v>
      </c>
      <c r="AT57" s="8">
        <v>0</v>
      </c>
      <c r="AU57" s="14">
        <v>61.297084065859984</v>
      </c>
      <c r="AV57" s="8">
        <v>0</v>
      </c>
      <c r="AW57" s="14">
        <v>61.297084065859984</v>
      </c>
      <c r="AX57" s="8">
        <v>0</v>
      </c>
      <c r="AY57" s="14">
        <v>61.297084065859984</v>
      </c>
    </row>
    <row r="58" spans="26:51">
      <c r="AC58" s="7">
        <v>0</v>
      </c>
      <c r="AE58" s="7">
        <v>0</v>
      </c>
      <c r="AG58" s="7">
        <v>0</v>
      </c>
      <c r="AI58" s="7">
        <v>0</v>
      </c>
      <c r="AK58" s="7">
        <v>0</v>
      </c>
      <c r="AM58" s="7">
        <v>0</v>
      </c>
      <c r="AO58" s="7">
        <v>0</v>
      </c>
      <c r="AQ58" s="7">
        <v>0</v>
      </c>
      <c r="AS58" s="7">
        <v>0</v>
      </c>
      <c r="AU58" s="7">
        <v>0</v>
      </c>
      <c r="AW58" s="7">
        <v>0</v>
      </c>
      <c r="AY58" s="7">
        <v>0</v>
      </c>
    </row>
    <row r="59" spans="26:51">
      <c r="AB59" s="14">
        <v>58.893591021310449</v>
      </c>
      <c r="AC59" s="8">
        <v>0</v>
      </c>
      <c r="AD59" s="14">
        <v>58.893591021310449</v>
      </c>
      <c r="AE59" s="8">
        <v>0</v>
      </c>
      <c r="AF59" s="14">
        <v>58.893591021310442</v>
      </c>
      <c r="AG59" s="8">
        <v>0</v>
      </c>
      <c r="AH59" s="14">
        <v>58.893591021310449</v>
      </c>
      <c r="AI59" s="8">
        <v>0</v>
      </c>
      <c r="AJ59" s="14">
        <v>58.893591021310435</v>
      </c>
      <c r="AK59" s="8">
        <v>0</v>
      </c>
      <c r="AL59" s="14">
        <v>58.893591021310435</v>
      </c>
      <c r="AM59" s="8">
        <v>0</v>
      </c>
      <c r="AN59" s="14">
        <v>58.893591021310428</v>
      </c>
      <c r="AO59" s="8">
        <v>0</v>
      </c>
      <c r="AP59" s="14">
        <v>58.893591021310428</v>
      </c>
      <c r="AQ59" s="8">
        <v>0</v>
      </c>
      <c r="AR59" s="14">
        <v>58.893591021310428</v>
      </c>
      <c r="AS59" s="8">
        <v>0</v>
      </c>
      <c r="AT59" s="14">
        <v>58.893591021310421</v>
      </c>
      <c r="AU59" s="8">
        <v>0</v>
      </c>
      <c r="AV59" s="14">
        <v>58.893591021310428</v>
      </c>
      <c r="AW59" s="8">
        <v>0</v>
      </c>
      <c r="AX59" s="14">
        <v>58.893591021310414</v>
      </c>
      <c r="AY59" s="8">
        <v>0</v>
      </c>
    </row>
    <row r="60" spans="26:51">
      <c r="AB60" s="7">
        <v>0</v>
      </c>
      <c r="AD60" s="7">
        <v>0</v>
      </c>
      <c r="AF60" s="7">
        <v>0</v>
      </c>
      <c r="AH60" s="7">
        <v>0</v>
      </c>
      <c r="AJ60" s="7">
        <v>0</v>
      </c>
      <c r="AL60" s="7">
        <v>0</v>
      </c>
      <c r="AN60" s="7">
        <v>0</v>
      </c>
      <c r="AP60" s="7">
        <v>0</v>
      </c>
      <c r="AR60" s="7">
        <v>0</v>
      </c>
      <c r="AT60" s="7">
        <v>0</v>
      </c>
      <c r="AV60" s="7">
        <v>0</v>
      </c>
      <c r="AX60" s="7">
        <v>0</v>
      </c>
    </row>
    <row r="61" spans="26:51">
      <c r="AA61" s="14">
        <v>56.584340287031168</v>
      </c>
      <c r="AB61" s="8">
        <v>0</v>
      </c>
      <c r="AC61" s="14">
        <v>56.584340287031161</v>
      </c>
      <c r="AD61" s="8">
        <v>0</v>
      </c>
      <c r="AE61" s="14">
        <v>56.584340287031161</v>
      </c>
      <c r="AF61" s="8">
        <v>0</v>
      </c>
      <c r="AG61" s="14">
        <v>56.584340287031161</v>
      </c>
      <c r="AH61" s="8">
        <v>0</v>
      </c>
      <c r="AI61" s="14">
        <v>56.584340287031161</v>
      </c>
      <c r="AJ61" s="8">
        <v>0</v>
      </c>
      <c r="AK61" s="14">
        <v>56.584340287031146</v>
      </c>
      <c r="AL61" s="8">
        <v>0</v>
      </c>
      <c r="AM61" s="14">
        <v>56.584340287031154</v>
      </c>
      <c r="AN61" s="8">
        <v>0</v>
      </c>
      <c r="AO61" s="14">
        <v>56.584340287031132</v>
      </c>
      <c r="AP61" s="8">
        <v>0</v>
      </c>
      <c r="AQ61" s="14">
        <v>56.584340287031146</v>
      </c>
      <c r="AR61" s="8">
        <v>0</v>
      </c>
      <c r="AS61" s="14">
        <v>56.584340287031139</v>
      </c>
      <c r="AT61" s="8">
        <v>0</v>
      </c>
      <c r="AU61" s="14">
        <v>56.584340287031139</v>
      </c>
      <c r="AV61" s="8">
        <v>0</v>
      </c>
      <c r="AW61" s="14">
        <v>56.584340287031132</v>
      </c>
      <c r="AX61" s="8">
        <v>0</v>
      </c>
      <c r="AY61" s="14">
        <v>56.584340287031132</v>
      </c>
    </row>
    <row r="62" spans="26:51">
      <c r="AA62" s="7">
        <v>0</v>
      </c>
      <c r="AC62" s="7">
        <v>0</v>
      </c>
      <c r="AE62" s="7">
        <v>0</v>
      </c>
      <c r="AG62" s="7">
        <v>0</v>
      </c>
      <c r="AI62" s="7">
        <v>0</v>
      </c>
      <c r="AK62" s="7">
        <v>0</v>
      </c>
      <c r="AM62" s="7">
        <v>0</v>
      </c>
      <c r="AO62" s="7">
        <v>0</v>
      </c>
      <c r="AQ62" s="7">
        <v>0</v>
      </c>
      <c r="AS62" s="7">
        <v>0</v>
      </c>
      <c r="AU62" s="7">
        <v>0</v>
      </c>
      <c r="AW62" s="7">
        <v>0</v>
      </c>
      <c r="AY62" s="7">
        <v>0</v>
      </c>
    </row>
    <row r="63" spans="26:51">
      <c r="Z63" s="14">
        <v>54.365636569180886</v>
      </c>
      <c r="AA63" s="8">
        <v>0</v>
      </c>
      <c r="AB63" s="14">
        <v>54.365636569180879</v>
      </c>
      <c r="AC63" s="8">
        <v>0</v>
      </c>
      <c r="AD63" s="14">
        <v>54.365636569180879</v>
      </c>
      <c r="AE63" s="8">
        <v>0</v>
      </c>
      <c r="AF63" s="14">
        <v>54.365636569180879</v>
      </c>
      <c r="AG63" s="8">
        <v>0</v>
      </c>
      <c r="AH63" s="14">
        <v>54.365636569180872</v>
      </c>
      <c r="AI63" s="8">
        <v>0</v>
      </c>
      <c r="AJ63" s="14">
        <v>54.365636569180872</v>
      </c>
      <c r="AK63" s="8">
        <v>0</v>
      </c>
      <c r="AL63" s="14">
        <v>54.365636569180857</v>
      </c>
      <c r="AM63" s="8">
        <v>0</v>
      </c>
      <c r="AN63" s="14">
        <v>54.365636569180865</v>
      </c>
      <c r="AO63" s="8">
        <v>0</v>
      </c>
      <c r="AP63" s="14">
        <v>54.36563656918085</v>
      </c>
      <c r="AQ63" s="8">
        <v>0</v>
      </c>
      <c r="AR63" s="14">
        <v>54.365636569180857</v>
      </c>
      <c r="AS63" s="8">
        <v>0</v>
      </c>
      <c r="AT63" s="14">
        <v>54.365636569180865</v>
      </c>
      <c r="AU63" s="8">
        <v>0</v>
      </c>
      <c r="AV63" s="14">
        <v>54.36563656918085</v>
      </c>
      <c r="AW63" s="8">
        <v>0</v>
      </c>
      <c r="AX63" s="14">
        <v>54.36563656918085</v>
      </c>
      <c r="AY63" s="8">
        <v>0</v>
      </c>
    </row>
    <row r="64" spans="26:51">
      <c r="Z64" s="7">
        <v>5.5926859447413089E-22</v>
      </c>
      <c r="AB64" s="7">
        <v>0</v>
      </c>
      <c r="AD64" s="7">
        <v>0</v>
      </c>
      <c r="AF64" s="7">
        <v>0</v>
      </c>
      <c r="AH64" s="7">
        <v>0</v>
      </c>
      <c r="AJ64" s="7">
        <v>0</v>
      </c>
      <c r="AL64" s="7">
        <v>0</v>
      </c>
      <c r="AN64" s="7">
        <v>0</v>
      </c>
      <c r="AP64" s="7">
        <v>0</v>
      </c>
      <c r="AR64" s="7">
        <v>0</v>
      </c>
      <c r="AT64" s="7">
        <v>0</v>
      </c>
      <c r="AV64" s="7">
        <v>0</v>
      </c>
      <c r="AX64" s="7">
        <v>0</v>
      </c>
    </row>
    <row r="65" spans="18:51">
      <c r="Y65" s="14">
        <v>52.233929468462335</v>
      </c>
      <c r="Z65" s="8">
        <v>5.5926859447413089E-22</v>
      </c>
      <c r="AA65" s="14">
        <v>52.233929468462335</v>
      </c>
      <c r="AB65" s="8">
        <v>0</v>
      </c>
      <c r="AC65" s="14">
        <v>52.233929468462335</v>
      </c>
      <c r="AD65" s="8">
        <v>0</v>
      </c>
      <c r="AE65" s="14">
        <v>52.233929468462328</v>
      </c>
      <c r="AF65" s="8">
        <v>0</v>
      </c>
      <c r="AG65" s="14">
        <v>52.233929468462321</v>
      </c>
      <c r="AH65" s="8">
        <v>0</v>
      </c>
      <c r="AI65" s="14">
        <v>52.233929468462314</v>
      </c>
      <c r="AJ65" s="8">
        <v>0</v>
      </c>
      <c r="AK65" s="14">
        <v>52.233929468462321</v>
      </c>
      <c r="AL65" s="8">
        <v>0</v>
      </c>
      <c r="AM65" s="14">
        <v>52.233929468462307</v>
      </c>
      <c r="AN65" s="8">
        <v>0</v>
      </c>
      <c r="AO65" s="14">
        <v>52.233929468462314</v>
      </c>
      <c r="AP65" s="8">
        <v>0</v>
      </c>
      <c r="AQ65" s="14">
        <v>52.2339294684623</v>
      </c>
      <c r="AR65" s="8">
        <v>0</v>
      </c>
      <c r="AS65" s="14">
        <v>52.233929468462314</v>
      </c>
      <c r="AT65" s="8">
        <v>0</v>
      </c>
      <c r="AU65" s="14">
        <v>52.233929468462307</v>
      </c>
      <c r="AV65" s="8">
        <v>0</v>
      </c>
      <c r="AW65" s="14">
        <v>52.2339294684623</v>
      </c>
      <c r="AX65" s="8">
        <v>0</v>
      </c>
      <c r="AY65" s="14">
        <v>52.2339294684623</v>
      </c>
    </row>
    <row r="66" spans="18:51">
      <c r="Y66" s="7">
        <v>1.7096400405681303E-8</v>
      </c>
      <c r="AA66" s="7">
        <v>1.131206638165679E-21</v>
      </c>
      <c r="AC66" s="7">
        <v>0</v>
      </c>
      <c r="AE66" s="7">
        <v>0</v>
      </c>
      <c r="AG66" s="7">
        <v>0</v>
      </c>
      <c r="AI66" s="7">
        <v>0</v>
      </c>
      <c r="AK66" s="7">
        <v>0</v>
      </c>
      <c r="AM66" s="7">
        <v>0</v>
      </c>
      <c r="AO66" s="7">
        <v>0</v>
      </c>
      <c r="AQ66" s="7">
        <v>0</v>
      </c>
      <c r="AS66" s="7">
        <v>0</v>
      </c>
      <c r="AU66" s="7">
        <v>0</v>
      </c>
      <c r="AW66" s="7">
        <v>0</v>
      </c>
      <c r="AY66" s="7">
        <v>0</v>
      </c>
    </row>
    <row r="67" spans="18:51">
      <c r="X67" s="14">
        <v>50.185807798725932</v>
      </c>
      <c r="Y67" s="8">
        <v>1.7635802806728148E-8</v>
      </c>
      <c r="Z67" s="14">
        <v>50.185807798725932</v>
      </c>
      <c r="AA67" s="8">
        <v>1.131206638165679E-21</v>
      </c>
      <c r="AB67" s="14">
        <v>50.185807798725932</v>
      </c>
      <c r="AC67" s="8">
        <v>0</v>
      </c>
      <c r="AD67" s="14">
        <v>50.185807798725932</v>
      </c>
      <c r="AE67" s="8">
        <v>0</v>
      </c>
      <c r="AF67" s="14">
        <v>50.185807798725925</v>
      </c>
      <c r="AG67" s="8">
        <v>0</v>
      </c>
      <c r="AH67" s="14">
        <v>50.185807798725918</v>
      </c>
      <c r="AI67" s="8">
        <v>0</v>
      </c>
      <c r="AJ67" s="14">
        <v>50.185807798725918</v>
      </c>
      <c r="AK67" s="8">
        <v>0</v>
      </c>
      <c r="AL67" s="14">
        <v>50.185807798725918</v>
      </c>
      <c r="AM67" s="8">
        <v>0</v>
      </c>
      <c r="AN67" s="14">
        <v>50.185807798725911</v>
      </c>
      <c r="AO67" s="8">
        <v>0</v>
      </c>
      <c r="AP67" s="14">
        <v>50.185807798725911</v>
      </c>
      <c r="AQ67" s="8">
        <v>0</v>
      </c>
      <c r="AR67" s="14">
        <v>50.185807798725904</v>
      </c>
      <c r="AS67" s="8">
        <v>0</v>
      </c>
      <c r="AT67" s="14">
        <v>50.185807798725911</v>
      </c>
      <c r="AU67" s="8">
        <v>0</v>
      </c>
      <c r="AV67" s="14">
        <v>50.185807798725911</v>
      </c>
      <c r="AW67" s="8">
        <v>0</v>
      </c>
      <c r="AX67" s="14">
        <v>50.185807798725897</v>
      </c>
      <c r="AY67" s="8">
        <v>0</v>
      </c>
    </row>
    <row r="68" spans="18:51">
      <c r="X68" s="7">
        <v>2.4908784241049315E-7</v>
      </c>
      <c r="Z68" s="7">
        <v>3.4580095894405405E-8</v>
      </c>
      <c r="AB68" s="7">
        <v>2.2880391834504966E-21</v>
      </c>
      <c r="AD68" s="7">
        <v>0</v>
      </c>
      <c r="AF68" s="7">
        <v>0</v>
      </c>
      <c r="AH68" s="7">
        <v>0</v>
      </c>
      <c r="AJ68" s="7">
        <v>0</v>
      </c>
      <c r="AL68" s="7">
        <v>0</v>
      </c>
      <c r="AN68" s="7">
        <v>0</v>
      </c>
      <c r="AP68" s="7">
        <v>0</v>
      </c>
      <c r="AR68" s="7">
        <v>0</v>
      </c>
      <c r="AT68" s="7">
        <v>0</v>
      </c>
      <c r="AV68" s="7">
        <v>0</v>
      </c>
      <c r="AX68" s="7">
        <v>0</v>
      </c>
    </row>
    <row r="69" spans="18:51">
      <c r="W69" s="14">
        <v>48.217994128344174</v>
      </c>
      <c r="X69" s="8">
        <v>2.5696787391227541E-7</v>
      </c>
      <c r="Y69" s="14">
        <v>48.217994128344174</v>
      </c>
      <c r="Z69" s="8">
        <v>3.5671120104839459E-8</v>
      </c>
      <c r="AA69" s="14">
        <v>48.217994128344181</v>
      </c>
      <c r="AB69" s="8">
        <v>2.2880391834504966E-21</v>
      </c>
      <c r="AC69" s="14">
        <v>48.217994128344181</v>
      </c>
      <c r="AD69" s="8">
        <v>0</v>
      </c>
      <c r="AE69" s="14">
        <v>48.217994128344174</v>
      </c>
      <c r="AF69" s="8">
        <v>0</v>
      </c>
      <c r="AG69" s="14">
        <v>48.217994128344166</v>
      </c>
      <c r="AH69" s="8">
        <v>0</v>
      </c>
      <c r="AI69" s="14">
        <v>48.217994128344166</v>
      </c>
      <c r="AJ69" s="8">
        <v>0</v>
      </c>
      <c r="AK69" s="14">
        <v>48.217994128344159</v>
      </c>
      <c r="AL69" s="8">
        <v>0</v>
      </c>
      <c r="AM69" s="14">
        <v>48.217994128344166</v>
      </c>
      <c r="AN69" s="8">
        <v>0</v>
      </c>
      <c r="AO69" s="14">
        <v>48.217994128344152</v>
      </c>
      <c r="AP69" s="8">
        <v>0</v>
      </c>
      <c r="AQ69" s="14">
        <v>48.217994128344159</v>
      </c>
      <c r="AR69" s="8">
        <v>0</v>
      </c>
      <c r="AS69" s="14">
        <v>48.217994128344145</v>
      </c>
      <c r="AT69" s="8">
        <v>0</v>
      </c>
      <c r="AU69" s="14">
        <v>48.217994128344152</v>
      </c>
      <c r="AV69" s="8">
        <v>0</v>
      </c>
      <c r="AW69" s="14">
        <v>48.217994128344152</v>
      </c>
      <c r="AX69" s="8">
        <v>0</v>
      </c>
      <c r="AY69" s="14">
        <v>48.217994128344145</v>
      </c>
    </row>
    <row r="70" spans="18:51">
      <c r="W70" s="7">
        <v>1.8853455720317948E-6</v>
      </c>
      <c r="Y70" s="7">
        <v>4.8637619787989482E-7</v>
      </c>
      <c r="AA70" s="7">
        <v>6.9943555584303187E-8</v>
      </c>
      <c r="AC70" s="7">
        <v>4.6279107002889308E-21</v>
      </c>
      <c r="AE70" s="7">
        <v>0</v>
      </c>
      <c r="AG70" s="7">
        <v>0</v>
      </c>
      <c r="AI70" s="7">
        <v>0</v>
      </c>
      <c r="AK70" s="7">
        <v>0</v>
      </c>
      <c r="AM70" s="7">
        <v>0</v>
      </c>
      <c r="AO70" s="7">
        <v>0</v>
      </c>
      <c r="AQ70" s="7">
        <v>0</v>
      </c>
      <c r="AS70" s="7">
        <v>0</v>
      </c>
      <c r="AU70" s="7">
        <v>0</v>
      </c>
      <c r="AW70" s="7">
        <v>0</v>
      </c>
      <c r="AY70" s="7">
        <v>0</v>
      </c>
    </row>
    <row r="71" spans="18:51">
      <c r="V71" s="14">
        <v>46.327339535621817</v>
      </c>
      <c r="W71" s="8">
        <v>1.9451587357899691E-6</v>
      </c>
      <c r="X71" s="14">
        <v>46.32733953562181</v>
      </c>
      <c r="Y71" s="8">
        <v>5.0176445863032554E-7</v>
      </c>
      <c r="Z71" s="14">
        <v>46.32733953562181</v>
      </c>
      <c r="AA71" s="8">
        <v>7.2150319635488533E-8</v>
      </c>
      <c r="AB71" s="14">
        <v>46.327339535621817</v>
      </c>
      <c r="AC71" s="8">
        <v>4.6279107002889308E-21</v>
      </c>
      <c r="AD71" s="14">
        <v>46.32733953562181</v>
      </c>
      <c r="AE71" s="8">
        <v>0</v>
      </c>
      <c r="AF71" s="14">
        <v>46.32733953562181</v>
      </c>
      <c r="AG71" s="8">
        <v>0</v>
      </c>
      <c r="AH71" s="14">
        <v>46.327339535621803</v>
      </c>
      <c r="AI71" s="8">
        <v>0</v>
      </c>
      <c r="AJ71" s="14">
        <v>46.327339535621796</v>
      </c>
      <c r="AK71" s="8">
        <v>0</v>
      </c>
      <c r="AL71" s="14">
        <v>46.327339535621796</v>
      </c>
      <c r="AM71" s="8">
        <v>0</v>
      </c>
      <c r="AN71" s="14">
        <v>46.327339535621796</v>
      </c>
      <c r="AO71" s="8">
        <v>0</v>
      </c>
      <c r="AP71" s="14">
        <v>46.327339535621789</v>
      </c>
      <c r="AQ71" s="8">
        <v>0</v>
      </c>
      <c r="AR71" s="14">
        <v>46.327339535621789</v>
      </c>
      <c r="AS71" s="8">
        <v>0</v>
      </c>
      <c r="AT71" s="14">
        <v>46.327339535621789</v>
      </c>
      <c r="AU71" s="8">
        <v>0</v>
      </c>
      <c r="AV71" s="14">
        <v>46.327339535621789</v>
      </c>
      <c r="AW71" s="8">
        <v>0</v>
      </c>
      <c r="AX71" s="14">
        <v>46.327339535621789</v>
      </c>
      <c r="AY71" s="8">
        <v>0</v>
      </c>
    </row>
    <row r="72" spans="18:51">
      <c r="V72" s="7">
        <v>9.8728479103878946E-6</v>
      </c>
      <c r="X72" s="7">
        <v>3.5592746556537502E-6</v>
      </c>
      <c r="Z72" s="7">
        <v>9.4849099173443372E-7</v>
      </c>
      <c r="AB72" s="7">
        <v>1.4147158477273006E-7</v>
      </c>
      <c r="AD72" s="7">
        <v>9.3606602565039365E-21</v>
      </c>
      <c r="AF72" s="7">
        <v>0</v>
      </c>
      <c r="AH72" s="7">
        <v>0</v>
      </c>
      <c r="AJ72" s="7">
        <v>0</v>
      </c>
      <c r="AL72" s="7">
        <v>0</v>
      </c>
      <c r="AN72" s="7">
        <v>0</v>
      </c>
      <c r="AP72" s="7">
        <v>0</v>
      </c>
      <c r="AR72" s="7">
        <v>0</v>
      </c>
      <c r="AT72" s="7">
        <v>0</v>
      </c>
      <c r="AV72" s="7">
        <v>0</v>
      </c>
      <c r="AX72" s="7">
        <v>0</v>
      </c>
    </row>
    <row r="73" spans="18:51">
      <c r="U73" s="14">
        <v>44.510818569849341</v>
      </c>
      <c r="V73" s="8">
        <v>1.0187004292931683E-5</v>
      </c>
      <c r="W73" s="14">
        <v>44.510818569849334</v>
      </c>
      <c r="X73" s="8">
        <v>3.6722165390939107E-6</v>
      </c>
      <c r="Y73" s="14">
        <v>44.510818569849327</v>
      </c>
      <c r="Z73" s="8">
        <v>9.7850301948704424E-7</v>
      </c>
      <c r="AA73" s="14">
        <v>44.510818569849334</v>
      </c>
      <c r="AB73" s="8">
        <v>1.4593510403383481E-7</v>
      </c>
      <c r="AC73" s="14">
        <v>44.510818569849327</v>
      </c>
      <c r="AD73" s="8">
        <v>9.3606602565039365E-21</v>
      </c>
      <c r="AE73" s="14">
        <v>44.510818569849327</v>
      </c>
      <c r="AF73" s="8">
        <v>0</v>
      </c>
      <c r="AG73" s="14">
        <v>44.510818569849327</v>
      </c>
      <c r="AH73" s="8">
        <v>0</v>
      </c>
      <c r="AI73" s="14">
        <v>44.51081856984932</v>
      </c>
      <c r="AJ73" s="8">
        <v>0</v>
      </c>
      <c r="AK73" s="14">
        <v>44.51081856984932</v>
      </c>
      <c r="AL73" s="8">
        <v>0</v>
      </c>
      <c r="AM73" s="14">
        <v>44.510818569849313</v>
      </c>
      <c r="AN73" s="8">
        <v>0</v>
      </c>
      <c r="AO73" s="14">
        <v>44.51081856984932</v>
      </c>
      <c r="AP73" s="8">
        <v>0</v>
      </c>
      <c r="AQ73" s="14">
        <v>44.510818569849306</v>
      </c>
      <c r="AR73" s="8">
        <v>0</v>
      </c>
      <c r="AS73" s="14">
        <v>44.510818569849313</v>
      </c>
      <c r="AT73" s="8">
        <v>0</v>
      </c>
      <c r="AU73" s="14">
        <v>44.510818569849299</v>
      </c>
      <c r="AV73" s="8">
        <v>0</v>
      </c>
      <c r="AW73" s="14">
        <v>44.510818569849313</v>
      </c>
      <c r="AX73" s="8">
        <v>0</v>
      </c>
      <c r="AY73" s="14">
        <v>44.510818569849306</v>
      </c>
    </row>
    <row r="74" spans="18:51">
      <c r="U74" s="7">
        <v>4.0195994476209963E-5</v>
      </c>
      <c r="W74" s="7">
        <v>1.8045869299599824E-5</v>
      </c>
      <c r="Y74" s="7">
        <v>6.7029651545914344E-6</v>
      </c>
      <c r="AA74" s="7">
        <v>1.8471103576004416E-6</v>
      </c>
      <c r="AC74" s="7">
        <v>2.8614801079113797E-7</v>
      </c>
      <c r="AE74" s="7">
        <v>1.8933373202776343E-20</v>
      </c>
      <c r="AG74" s="7">
        <v>0</v>
      </c>
      <c r="AI74" s="7">
        <v>0</v>
      </c>
      <c r="AK74" s="7">
        <v>0</v>
      </c>
      <c r="AM74" s="7">
        <v>0</v>
      </c>
      <c r="AO74" s="7">
        <v>0</v>
      </c>
      <c r="AQ74" s="7">
        <v>0</v>
      </c>
      <c r="AS74" s="7">
        <v>0</v>
      </c>
      <c r="AU74" s="7">
        <v>0</v>
      </c>
      <c r="AW74" s="7">
        <v>0</v>
      </c>
      <c r="AY74" s="7">
        <v>0</v>
      </c>
    </row>
    <row r="75" spans="18:51">
      <c r="T75" s="14">
        <v>42.765524409936361</v>
      </c>
      <c r="U75" s="8">
        <v>4.1479996837057594E-5</v>
      </c>
      <c r="V75" s="14">
        <v>42.765524409936361</v>
      </c>
      <c r="W75" s="8">
        <v>1.8620275781966062E-5</v>
      </c>
      <c r="X75" s="14">
        <v>42.765524409936354</v>
      </c>
      <c r="Y75" s="8">
        <v>6.9157079295936828E-6</v>
      </c>
      <c r="Z75" s="14">
        <v>42.765524409936347</v>
      </c>
      <c r="AA75" s="8">
        <v>1.9055628914955924E-6</v>
      </c>
      <c r="AB75" s="14">
        <v>42.765524409936347</v>
      </c>
      <c r="AC75" s="8">
        <v>2.9517616411072439E-7</v>
      </c>
      <c r="AD75" s="14">
        <v>42.765524409936347</v>
      </c>
      <c r="AE75" s="8">
        <v>1.8933373202776343E-20</v>
      </c>
      <c r="AF75" s="14">
        <v>42.765524409936347</v>
      </c>
      <c r="AG75" s="8">
        <v>0</v>
      </c>
      <c r="AH75" s="14">
        <v>42.76552440993634</v>
      </c>
      <c r="AI75" s="8">
        <v>0</v>
      </c>
      <c r="AJ75" s="14">
        <v>42.76552440993634</v>
      </c>
      <c r="AK75" s="8">
        <v>0</v>
      </c>
      <c r="AL75" s="14">
        <v>42.76552440993634</v>
      </c>
      <c r="AM75" s="8">
        <v>0</v>
      </c>
      <c r="AN75" s="14">
        <v>42.76552440993634</v>
      </c>
      <c r="AO75" s="8">
        <v>0</v>
      </c>
      <c r="AP75" s="14">
        <v>42.765524409936333</v>
      </c>
      <c r="AQ75" s="8">
        <v>0</v>
      </c>
      <c r="AR75" s="14">
        <v>42.765524409936326</v>
      </c>
      <c r="AS75" s="8">
        <v>0</v>
      </c>
      <c r="AT75" s="14">
        <v>42.765524409936333</v>
      </c>
      <c r="AU75" s="8">
        <v>0</v>
      </c>
      <c r="AV75" s="14">
        <v>42.765524409936326</v>
      </c>
      <c r="AW75" s="8">
        <v>0</v>
      </c>
      <c r="AX75" s="14">
        <v>42.765524409936333</v>
      </c>
      <c r="AY75" s="8">
        <v>0</v>
      </c>
    </row>
    <row r="76" spans="18:51">
      <c r="T76" s="7">
        <v>1.3558132822774968E-4</v>
      </c>
      <c r="V76" s="7">
        <v>7.1230018443083846E-5</v>
      </c>
      <c r="X76" s="7">
        <v>3.286927135490085E-5</v>
      </c>
      <c r="Z76" s="7">
        <v>1.2590099677554904E-5</v>
      </c>
      <c r="AB76" s="7">
        <v>3.5917311672667365E-6</v>
      </c>
      <c r="AD76" s="7">
        <v>5.7877830527779932E-7</v>
      </c>
      <c r="AF76" s="7">
        <v>3.8295655542731271E-20</v>
      </c>
      <c r="AH76" s="7">
        <v>0</v>
      </c>
      <c r="AJ76" s="7">
        <v>0</v>
      </c>
      <c r="AL76" s="7">
        <v>0</v>
      </c>
      <c r="AN76" s="7">
        <v>0</v>
      </c>
      <c r="AP76" s="7">
        <v>0</v>
      </c>
      <c r="AR76" s="7">
        <v>0</v>
      </c>
      <c r="AT76" s="7">
        <v>0</v>
      </c>
      <c r="AV76" s="7">
        <v>0</v>
      </c>
      <c r="AX76" s="7">
        <v>0</v>
      </c>
    </row>
    <row r="77" spans="18:51">
      <c r="S77" s="14">
        <v>41.088664212877745</v>
      </c>
      <c r="T77" s="8">
        <v>1.3993658973266926E-4</v>
      </c>
      <c r="U77" s="14">
        <v>41.088664212877745</v>
      </c>
      <c r="V77" s="8">
        <v>7.3506599347000507E-5</v>
      </c>
      <c r="W77" s="14">
        <v>41.088664212877745</v>
      </c>
      <c r="X77" s="8">
        <v>3.3915870238791208E-5</v>
      </c>
      <c r="Y77" s="14">
        <v>41.088664212877738</v>
      </c>
      <c r="Z77" s="8">
        <v>1.2989785510810759E-5</v>
      </c>
      <c r="AA77" s="14">
        <v>41.088664212877731</v>
      </c>
      <c r="AB77" s="8">
        <v>3.7054065888351498E-6</v>
      </c>
      <c r="AC77" s="14">
        <v>41.088664212877731</v>
      </c>
      <c r="AD77" s="8">
        <v>5.9703913212629497E-7</v>
      </c>
      <c r="AE77" s="14">
        <v>41.088664212877731</v>
      </c>
      <c r="AF77" s="8">
        <v>3.8295655542731271E-20</v>
      </c>
      <c r="AG77" s="14">
        <v>41.088664212877731</v>
      </c>
      <c r="AH77" s="8">
        <v>0</v>
      </c>
      <c r="AI77" s="14">
        <v>41.088664212877724</v>
      </c>
      <c r="AJ77" s="8">
        <v>0</v>
      </c>
      <c r="AK77" s="14">
        <v>41.088664212877724</v>
      </c>
      <c r="AL77" s="8">
        <v>0</v>
      </c>
      <c r="AM77" s="14">
        <v>41.088664212877724</v>
      </c>
      <c r="AN77" s="8">
        <v>0</v>
      </c>
      <c r="AO77" s="14">
        <v>41.088664212877717</v>
      </c>
      <c r="AP77" s="8">
        <v>0</v>
      </c>
      <c r="AQ77" s="14">
        <v>41.088664212877724</v>
      </c>
      <c r="AR77" s="8">
        <v>0</v>
      </c>
      <c r="AS77" s="14">
        <v>41.08866421287771</v>
      </c>
      <c r="AT77" s="8">
        <v>0</v>
      </c>
      <c r="AU77" s="14">
        <v>41.088664212877717</v>
      </c>
      <c r="AV77" s="8">
        <v>0</v>
      </c>
      <c r="AW77" s="14">
        <v>41.08866421287771</v>
      </c>
      <c r="AX77" s="8">
        <v>0</v>
      </c>
      <c r="AY77" s="14">
        <v>41.088664212877717</v>
      </c>
    </row>
    <row r="78" spans="18:51">
      <c r="S78" s="7">
        <v>3.9428884317683441E-4</v>
      </c>
      <c r="U78" s="7">
        <v>2.3322498812199542E-4</v>
      </c>
      <c r="W78" s="7">
        <v>1.2566275461665764E-4</v>
      </c>
      <c r="Y78" s="7">
        <v>5.9644598265864739E-5</v>
      </c>
      <c r="AA78" s="7">
        <v>2.358093701076702E-5</v>
      </c>
      <c r="AC78" s="7">
        <v>6.9728918126667777E-6</v>
      </c>
      <c r="AE78" s="7">
        <v>1.1706680250339029E-6</v>
      </c>
      <c r="AG78" s="7">
        <v>7.7458845697525889E-20</v>
      </c>
      <c r="AI78" s="7">
        <v>0</v>
      </c>
      <c r="AK78" s="7">
        <v>0</v>
      </c>
      <c r="AM78" s="7">
        <v>0</v>
      </c>
      <c r="AO78" s="7">
        <v>0</v>
      </c>
      <c r="AQ78" s="7">
        <v>0</v>
      </c>
      <c r="AS78" s="7">
        <v>0</v>
      </c>
      <c r="AU78" s="7">
        <v>0</v>
      </c>
      <c r="AW78" s="7">
        <v>0</v>
      </c>
      <c r="AY78" s="7">
        <v>0</v>
      </c>
    </row>
    <row r="79" spans="18:51">
      <c r="R79" s="14">
        <v>39.477554644608944</v>
      </c>
      <c r="S79" s="8">
        <v>4.0705804700146367E-4</v>
      </c>
      <c r="T79" s="14">
        <v>39.477554644608944</v>
      </c>
      <c r="U79" s="8">
        <v>2.4072419850038022E-4</v>
      </c>
      <c r="V79" s="14">
        <v>39.477554644608944</v>
      </c>
      <c r="W79" s="8">
        <v>1.2968146368148316E-4</v>
      </c>
      <c r="X79" s="14">
        <v>39.477554644608944</v>
      </c>
      <c r="Y79" s="8">
        <v>6.1544459160883271E-5</v>
      </c>
      <c r="Z79" s="14">
        <v>39.477554644608929</v>
      </c>
      <c r="AA79" s="8">
        <v>2.4329728097370532E-5</v>
      </c>
      <c r="AB79" s="14">
        <v>39.477554644608922</v>
      </c>
      <c r="AC79" s="8">
        <v>7.1936070400986643E-6</v>
      </c>
      <c r="AD79" s="14">
        <v>39.477554644608929</v>
      </c>
      <c r="AE79" s="8">
        <v>1.2076033522693531E-6</v>
      </c>
      <c r="AF79" s="14">
        <v>39.477554644608922</v>
      </c>
      <c r="AG79" s="8">
        <v>7.7458845697525889E-20</v>
      </c>
      <c r="AH79" s="14">
        <v>39.477554644608929</v>
      </c>
      <c r="AI79" s="8">
        <v>0</v>
      </c>
      <c r="AJ79" s="14">
        <v>39.477554644608922</v>
      </c>
      <c r="AK79" s="8">
        <v>0</v>
      </c>
      <c r="AL79" s="14">
        <v>39.477554644608922</v>
      </c>
      <c r="AM79" s="8">
        <v>0</v>
      </c>
      <c r="AN79" s="14">
        <v>39.477554644608915</v>
      </c>
      <c r="AO79" s="8">
        <v>0</v>
      </c>
      <c r="AP79" s="14">
        <v>39.477554644608915</v>
      </c>
      <c r="AQ79" s="8">
        <v>0</v>
      </c>
      <c r="AR79" s="14">
        <v>39.477554644608915</v>
      </c>
      <c r="AS79" s="8">
        <v>0</v>
      </c>
      <c r="AT79" s="14">
        <v>39.477554644608908</v>
      </c>
      <c r="AU79" s="8">
        <v>0</v>
      </c>
      <c r="AV79" s="14">
        <v>39.477554644608915</v>
      </c>
      <c r="AW79" s="8">
        <v>0</v>
      </c>
      <c r="AX79" s="14">
        <v>39.477554644608908</v>
      </c>
      <c r="AY79" s="8">
        <v>0</v>
      </c>
    </row>
    <row r="80" spans="18:51">
      <c r="R80" s="7">
        <v>1.0159748945006387E-3</v>
      </c>
      <c r="T80" s="7">
        <v>6.5918589920263223E-4</v>
      </c>
      <c r="V80" s="7">
        <v>3.9906251237176887E-4</v>
      </c>
      <c r="X80" s="7">
        <v>2.2063807662494247E-4</v>
      </c>
      <c r="Z80" s="7">
        <v>1.0779559099210499E-4</v>
      </c>
      <c r="AB80" s="7">
        <v>4.4031682970885195E-5</v>
      </c>
      <c r="AD80" s="7">
        <v>1.3513258993881238E-5</v>
      </c>
      <c r="AF80" s="7">
        <v>2.3678558998146797E-6</v>
      </c>
      <c r="AH80" s="7">
        <v>1.5667241340465669E-19</v>
      </c>
      <c r="AJ80" s="7">
        <v>0</v>
      </c>
      <c r="AL80" s="7">
        <v>0</v>
      </c>
      <c r="AN80" s="7">
        <v>0</v>
      </c>
      <c r="AP80" s="7">
        <v>0</v>
      </c>
      <c r="AR80" s="7">
        <v>0</v>
      </c>
      <c r="AT80" s="7">
        <v>0</v>
      </c>
      <c r="AV80" s="7">
        <v>0</v>
      </c>
      <c r="AX80" s="7">
        <v>0</v>
      </c>
    </row>
    <row r="81" spans="10:51">
      <c r="Q81" s="14">
        <v>37.929617586099013</v>
      </c>
      <c r="R81" s="8">
        <v>1.0492557810895683E-3</v>
      </c>
      <c r="S81" s="14">
        <v>37.92961758609902</v>
      </c>
      <c r="T81" s="8">
        <v>6.8057021614596422E-4</v>
      </c>
      <c r="U81" s="14">
        <v>37.92961758609902</v>
      </c>
      <c r="V81" s="8">
        <v>4.1190818597149553E-4</v>
      </c>
      <c r="W81" s="14">
        <v>37.929617586099013</v>
      </c>
      <c r="X81" s="8">
        <v>2.2769876364235473E-4</v>
      </c>
      <c r="Y81" s="14">
        <v>37.929617586099013</v>
      </c>
      <c r="Z81" s="8">
        <v>1.112305808498834E-4</v>
      </c>
      <c r="AA81" s="14">
        <v>37.929617586099006</v>
      </c>
      <c r="AB81" s="8">
        <v>4.5430253126956106E-5</v>
      </c>
      <c r="AC81" s="14">
        <v>37.929617586098999</v>
      </c>
      <c r="AD81" s="8">
        <v>1.3941059239506651E-5</v>
      </c>
      <c r="AE81" s="14">
        <v>37.929617586098999</v>
      </c>
      <c r="AF81" s="8">
        <v>2.4425632725589853E-6</v>
      </c>
      <c r="AG81" s="14">
        <v>37.929617586098999</v>
      </c>
      <c r="AH81" s="8">
        <v>1.5667241340465669E-19</v>
      </c>
      <c r="AI81" s="14">
        <v>37.929617586098999</v>
      </c>
      <c r="AJ81" s="8">
        <v>0</v>
      </c>
      <c r="AK81" s="14">
        <v>37.929617586098999</v>
      </c>
      <c r="AL81" s="8">
        <v>0</v>
      </c>
      <c r="AM81" s="14">
        <v>37.929617586098992</v>
      </c>
      <c r="AN81" s="8">
        <v>0</v>
      </c>
      <c r="AO81" s="14">
        <v>37.929617586098992</v>
      </c>
      <c r="AP81" s="8">
        <v>0</v>
      </c>
      <c r="AQ81" s="14">
        <v>37.929617586098985</v>
      </c>
      <c r="AR81" s="8">
        <v>0</v>
      </c>
      <c r="AS81" s="14">
        <v>37.929617586098999</v>
      </c>
      <c r="AT81" s="8">
        <v>0</v>
      </c>
      <c r="AU81" s="14">
        <v>37.929617586098985</v>
      </c>
      <c r="AV81" s="8">
        <v>0</v>
      </c>
      <c r="AW81" s="14">
        <v>37.929617586098992</v>
      </c>
      <c r="AX81" s="8">
        <v>0</v>
      </c>
      <c r="AY81" s="14">
        <v>37.929617586098978</v>
      </c>
    </row>
    <row r="82" spans="10:51">
      <c r="Q82" s="7">
        <v>2.3659722159463745E-3</v>
      </c>
      <c r="S82" s="7">
        <v>1.6527008131084319E-3</v>
      </c>
      <c r="U82" s="7">
        <v>1.0953621005662859E-3</v>
      </c>
      <c r="W82" s="7">
        <v>6.7896058368499708E-4</v>
      </c>
      <c r="Y82" s="7">
        <v>3.8542331908217954E-4</v>
      </c>
      <c r="AA82" s="7">
        <v>1.9397521134122589E-4</v>
      </c>
      <c r="AC82" s="7">
        <v>8.194690364838216E-5</v>
      </c>
      <c r="AE82" s="7">
        <v>2.6138293852640923E-5</v>
      </c>
      <c r="AG82" s="7">
        <v>4.7893522692949722E-6</v>
      </c>
      <c r="AI82" s="7">
        <v>3.1689402160589747E-19</v>
      </c>
      <c r="AK82" s="7">
        <v>0</v>
      </c>
      <c r="AM82" s="7">
        <v>0</v>
      </c>
      <c r="AO82" s="7">
        <v>0</v>
      </c>
      <c r="AQ82" s="7">
        <v>0</v>
      </c>
      <c r="AS82" s="7">
        <v>0</v>
      </c>
      <c r="AU82" s="7">
        <v>0</v>
      </c>
      <c r="AW82" s="7">
        <v>0</v>
      </c>
      <c r="AY82" s="7">
        <v>0</v>
      </c>
    </row>
    <row r="83" spans="10:51">
      <c r="P83" s="14">
        <v>36.442376007810168</v>
      </c>
      <c r="Q83" s="8">
        <v>2.4446771558912003E-3</v>
      </c>
      <c r="R83" s="14">
        <v>36.442376007810168</v>
      </c>
      <c r="S83" s="8">
        <v>1.7069890206213626E-3</v>
      </c>
      <c r="T83" s="14">
        <v>36.442376007810168</v>
      </c>
      <c r="U83" s="8">
        <v>1.1309642628279737E-3</v>
      </c>
      <c r="V83" s="14">
        <v>36.442376007810168</v>
      </c>
      <c r="W83" s="8">
        <v>7.0084293267540807E-4</v>
      </c>
      <c r="X83" s="14">
        <v>36.442376007810168</v>
      </c>
      <c r="Y83" s="8">
        <v>3.9776635207970277E-4</v>
      </c>
      <c r="Z83" s="14">
        <v>36.442376007810161</v>
      </c>
      <c r="AA83" s="8">
        <v>2.0015906841711116E-4</v>
      </c>
      <c r="AB83" s="14">
        <v>36.442376007810161</v>
      </c>
      <c r="AC83" s="8">
        <v>8.4550546787345458E-5</v>
      </c>
      <c r="AD83" s="14">
        <v>36.442376007810154</v>
      </c>
      <c r="AE83" s="8">
        <v>2.6965903110778544E-5</v>
      </c>
      <c r="AF83" s="14">
        <v>36.442376007810154</v>
      </c>
      <c r="AG83" s="8">
        <v>4.9404594060147425E-6</v>
      </c>
      <c r="AH83" s="14">
        <v>36.442376007810154</v>
      </c>
      <c r="AI83" s="8">
        <v>3.1689402160589747E-19</v>
      </c>
      <c r="AJ83" s="14">
        <v>36.442376007810154</v>
      </c>
      <c r="AK83" s="8">
        <v>0</v>
      </c>
      <c r="AL83" s="14">
        <v>36.442376007810147</v>
      </c>
      <c r="AM83" s="8">
        <v>0</v>
      </c>
      <c r="AN83" s="14">
        <v>36.442376007810147</v>
      </c>
      <c r="AO83" s="8">
        <v>0</v>
      </c>
      <c r="AP83" s="14">
        <v>36.442376007810147</v>
      </c>
      <c r="AQ83" s="8">
        <v>0</v>
      </c>
      <c r="AR83" s="14">
        <v>36.442376007810147</v>
      </c>
      <c r="AS83" s="8">
        <v>0</v>
      </c>
      <c r="AT83" s="14">
        <v>36.442376007810147</v>
      </c>
      <c r="AU83" s="8">
        <v>0</v>
      </c>
      <c r="AV83" s="14">
        <v>36.44237600781014</v>
      </c>
      <c r="AW83" s="8">
        <v>0</v>
      </c>
      <c r="AX83" s="14">
        <v>36.44237600781014</v>
      </c>
      <c r="AY83" s="8">
        <v>0</v>
      </c>
    </row>
    <row r="84" spans="10:51">
      <c r="P84" s="7">
        <v>5.0548549370634929E-3</v>
      </c>
      <c r="R84" s="7">
        <v>3.749016321343902E-3</v>
      </c>
      <c r="T84" s="7">
        <v>2.6703214264366414E-3</v>
      </c>
      <c r="V84" s="7">
        <v>1.8084034011811145E-3</v>
      </c>
      <c r="X84" s="7">
        <v>1.1482009553740586E-3</v>
      </c>
      <c r="Z84" s="7">
        <v>6.6960179860593271E-4</v>
      </c>
      <c r="AB84" s="7">
        <v>3.4742230992437263E-4</v>
      </c>
      <c r="AD84" s="7">
        <v>1.5196359648164158E-4</v>
      </c>
      <c r="AF84" s="7">
        <v>5.0452961667339312E-5</v>
      </c>
      <c r="AH84" s="7">
        <v>9.6872006278744133E-6</v>
      </c>
      <c r="AJ84" s="7">
        <v>6.4096683485807732E-19</v>
      </c>
      <c r="AL84" s="7">
        <v>0</v>
      </c>
      <c r="AN84" s="7">
        <v>0</v>
      </c>
      <c r="AP84" s="7">
        <v>0</v>
      </c>
      <c r="AR84" s="7">
        <v>0</v>
      </c>
      <c r="AT84" s="7">
        <v>0</v>
      </c>
      <c r="AV84" s="7">
        <v>0</v>
      </c>
      <c r="AX84" s="7">
        <v>0</v>
      </c>
    </row>
    <row r="85" spans="10:51">
      <c r="O85" s="14">
        <v>35.013450005922017</v>
      </c>
      <c r="P85" s="8">
        <v>5.2263846294324963E-3</v>
      </c>
      <c r="Q85" s="14">
        <v>35.01345000592201</v>
      </c>
      <c r="R85" s="8">
        <v>3.8742550635555597E-3</v>
      </c>
      <c r="S85" s="14">
        <v>35.01345000592201</v>
      </c>
      <c r="T85" s="8">
        <v>2.7583107887722931E-3</v>
      </c>
      <c r="U85" s="14">
        <v>35.01345000592201</v>
      </c>
      <c r="V85" s="8">
        <v>1.8673087287030409E-3</v>
      </c>
      <c r="W85" s="14">
        <v>35.01345000592201</v>
      </c>
      <c r="X85" s="8">
        <v>1.1852578577074722E-3</v>
      </c>
      <c r="Y85" s="14">
        <v>35.013450005922003</v>
      </c>
      <c r="Z85" s="8">
        <v>6.9106300637721083E-4</v>
      </c>
      <c r="AA85" s="14">
        <v>35.013450005922003</v>
      </c>
      <c r="AB85" s="8">
        <v>3.5850325046616173E-4</v>
      </c>
      <c r="AC85" s="14">
        <v>35.013450005921996</v>
      </c>
      <c r="AD85" s="8">
        <v>1.567934109243039E-4</v>
      </c>
      <c r="AE85" s="14">
        <v>35.013450005921996</v>
      </c>
      <c r="AF85" s="8">
        <v>5.2050709971773996E-5</v>
      </c>
      <c r="AG85" s="14">
        <v>35.013450005921996</v>
      </c>
      <c r="AH85" s="8">
        <v>9.9928380225368812E-6</v>
      </c>
      <c r="AI85" s="14">
        <v>35.013450005921996</v>
      </c>
      <c r="AJ85" s="8">
        <v>6.4096683485807732E-19</v>
      </c>
      <c r="AK85" s="14">
        <v>35.013450005921996</v>
      </c>
      <c r="AL85" s="8">
        <v>0</v>
      </c>
      <c r="AM85" s="14">
        <v>35.013450005921996</v>
      </c>
      <c r="AN85" s="8">
        <v>0</v>
      </c>
      <c r="AO85" s="14">
        <v>35.013450005921989</v>
      </c>
      <c r="AP85" s="8">
        <v>0</v>
      </c>
      <c r="AQ85" s="14">
        <v>35.013450005921989</v>
      </c>
      <c r="AR85" s="8">
        <v>0</v>
      </c>
      <c r="AS85" s="14">
        <v>35.013450005921989</v>
      </c>
      <c r="AT85" s="8">
        <v>0</v>
      </c>
      <c r="AU85" s="14">
        <v>35.013450005921989</v>
      </c>
      <c r="AV85" s="8">
        <v>0</v>
      </c>
      <c r="AW85" s="14">
        <v>35.013450005921982</v>
      </c>
      <c r="AX85" s="8">
        <v>0</v>
      </c>
      <c r="AY85" s="14">
        <v>35.013450005921982</v>
      </c>
    </row>
    <row r="86" spans="10:51">
      <c r="O86" s="7">
        <v>1.002474570483995E-2</v>
      </c>
      <c r="Q86" s="7">
        <v>7.8103897487625563E-3</v>
      </c>
      <c r="S86" s="7">
        <v>5.8968299343929217E-3</v>
      </c>
      <c r="U86" s="7">
        <v>4.2836163082173263E-3</v>
      </c>
      <c r="W86" s="7">
        <v>2.9650791430052606E-3</v>
      </c>
      <c r="Y86" s="7">
        <v>1.9291931864752305E-3</v>
      </c>
      <c r="AA86" s="7">
        <v>1.1564735734038137E-3</v>
      </c>
      <c r="AC86" s="7">
        <v>6.1911047184903237E-4</v>
      </c>
      <c r="AE86" s="7">
        <v>2.8070270008486809E-4</v>
      </c>
      <c r="AG86" s="7">
        <v>9.7162634054455968E-5</v>
      </c>
      <c r="AI86" s="7">
        <v>1.9593851261749984E-5</v>
      </c>
      <c r="AK86" s="7">
        <v>1.2964538785112126E-18</v>
      </c>
      <c r="AM86" s="7">
        <v>0</v>
      </c>
      <c r="AO86" s="7">
        <v>0</v>
      </c>
      <c r="AQ86" s="7">
        <v>0</v>
      </c>
      <c r="AS86" s="7">
        <v>0</v>
      </c>
      <c r="AU86" s="7">
        <v>0</v>
      </c>
      <c r="AW86" s="7">
        <v>0</v>
      </c>
      <c r="AY86" s="7">
        <v>0</v>
      </c>
    </row>
    <row r="87" spans="10:51">
      <c r="N87" s="14">
        <v>33.640552993977721</v>
      </c>
      <c r="O87" s="8">
        <v>1.0373467174130705E-2</v>
      </c>
      <c r="P87" s="14">
        <v>33.640552993977721</v>
      </c>
      <c r="Q87" s="8">
        <v>8.0770379255535197E-3</v>
      </c>
      <c r="R87" s="14">
        <v>33.640552993977714</v>
      </c>
      <c r="S87" s="8">
        <v>6.0947581850708471E-3</v>
      </c>
      <c r="T87" s="14">
        <v>33.640552993977714</v>
      </c>
      <c r="U87" s="8">
        <v>4.4252659906903608E-3</v>
      </c>
      <c r="V87" s="14">
        <v>33.640552993977714</v>
      </c>
      <c r="W87" s="8">
        <v>3.0618992335895543E-3</v>
      </c>
      <c r="X87" s="14">
        <v>33.640552993977714</v>
      </c>
      <c r="Y87" s="8">
        <v>1.9915537571996134E-3</v>
      </c>
      <c r="Z87" s="14">
        <v>33.640552993977714</v>
      </c>
      <c r="AA87" s="8">
        <v>1.1935732192808472E-3</v>
      </c>
      <c r="AB87" s="14">
        <v>33.640552993977707</v>
      </c>
      <c r="AC87" s="8">
        <v>6.3886706686283872E-4</v>
      </c>
      <c r="AD87" s="14">
        <v>33.640552993977707</v>
      </c>
      <c r="AE87" s="8">
        <v>2.8962739163850817E-4</v>
      </c>
      <c r="AF87" s="14">
        <v>33.6405529939777</v>
      </c>
      <c r="AG87" s="8">
        <v>1.0024016170751872E-4</v>
      </c>
      <c r="AH87" s="14">
        <v>33.6405529939777</v>
      </c>
      <c r="AI87" s="8">
        <v>2.0212049839553084E-5</v>
      </c>
      <c r="AJ87" s="14">
        <v>33.6405529939777</v>
      </c>
      <c r="AK87" s="8">
        <v>1.2964538785112126E-18</v>
      </c>
      <c r="AL87" s="14">
        <v>33.6405529939777</v>
      </c>
      <c r="AM87" s="8">
        <v>0</v>
      </c>
      <c r="AN87" s="14">
        <v>33.6405529939777</v>
      </c>
      <c r="AO87" s="8">
        <v>0</v>
      </c>
      <c r="AP87" s="14">
        <v>33.6405529939777</v>
      </c>
      <c r="AQ87" s="8">
        <v>0</v>
      </c>
      <c r="AR87" s="14">
        <v>33.640552993977693</v>
      </c>
      <c r="AS87" s="8">
        <v>0</v>
      </c>
      <c r="AT87" s="14">
        <v>33.640552993977693</v>
      </c>
      <c r="AU87" s="8">
        <v>0</v>
      </c>
      <c r="AV87" s="14">
        <v>33.640552993977693</v>
      </c>
      <c r="AW87" s="8">
        <v>0</v>
      </c>
      <c r="AX87" s="14">
        <v>33.640552993977686</v>
      </c>
      <c r="AY87" s="8">
        <v>0</v>
      </c>
    </row>
    <row r="88" spans="10:51">
      <c r="N88" s="7">
        <v>1.8628945764919993E-2</v>
      </c>
      <c r="P88" s="7">
        <v>1.5119484115707498E-2</v>
      </c>
      <c r="R88" s="7">
        <v>1.1972862017227767E-2</v>
      </c>
      <c r="T88" s="7">
        <v>9.2029079631401351E-3</v>
      </c>
      <c r="V88" s="7">
        <v>6.819288403881729E-3</v>
      </c>
      <c r="X88" s="7">
        <v>4.8259013933401136E-3</v>
      </c>
      <c r="Z88" s="7">
        <v>3.218943130962393E-3</v>
      </c>
      <c r="AB88" s="7">
        <v>1.9846955159796343E-3</v>
      </c>
      <c r="AD88" s="7">
        <v>1.0972085299394735E-3</v>
      </c>
      <c r="AF88" s="7">
        <v>5.1629081006832663E-4</v>
      </c>
      <c r="AH88" s="7">
        <v>1.86643199821149E-4</v>
      </c>
      <c r="AJ88" s="7">
        <v>3.9631573869015832E-5</v>
      </c>
      <c r="AL88" s="7">
        <v>2.6222771096712459E-18</v>
      </c>
      <c r="AN88" s="7">
        <v>0</v>
      </c>
      <c r="AP88" s="7">
        <v>0</v>
      </c>
      <c r="AR88" s="7">
        <v>0</v>
      </c>
      <c r="AT88" s="7">
        <v>0</v>
      </c>
      <c r="AV88" s="7">
        <v>0</v>
      </c>
      <c r="AX88" s="7">
        <v>0</v>
      </c>
    </row>
    <row r="89" spans="10:51">
      <c r="M89" s="14">
        <v>32.321488043857862</v>
      </c>
      <c r="N89" s="8">
        <v>1.9296712906297055E-2</v>
      </c>
      <c r="O89" s="14">
        <v>32.321488043857862</v>
      </c>
      <c r="P89" s="8">
        <v>1.5649827478730071E-2</v>
      </c>
      <c r="Q89" s="14">
        <v>32.321488043857862</v>
      </c>
      <c r="R89" s="8">
        <v>1.2384426857116222E-2</v>
      </c>
      <c r="S89" s="14">
        <v>32.321488043857855</v>
      </c>
      <c r="T89" s="8">
        <v>9.5134790525033298E-3</v>
      </c>
      <c r="U89" s="14">
        <v>32.321488043857855</v>
      </c>
      <c r="V89" s="8">
        <v>7.045699787486012E-3</v>
      </c>
      <c r="W89" s="14">
        <v>32.321488043857855</v>
      </c>
      <c r="X89" s="8">
        <v>4.9839284137578885E-3</v>
      </c>
      <c r="Y89" s="14">
        <v>32.321488043857855</v>
      </c>
      <c r="Z89" s="8">
        <v>3.3231816416737156E-3</v>
      </c>
      <c r="AA89" s="14">
        <v>32.321488043857848</v>
      </c>
      <c r="AB89" s="8">
        <v>2.0484301639911245E-3</v>
      </c>
      <c r="AC89" s="14">
        <v>32.321488043857848</v>
      </c>
      <c r="AD89" s="8">
        <v>1.1322417667181137E-3</v>
      </c>
      <c r="AE89" s="14">
        <v>32.32148804385784</v>
      </c>
      <c r="AF89" s="8">
        <v>5.3271230224514825E-4</v>
      </c>
      <c r="AG89" s="14">
        <v>32.32148804385784</v>
      </c>
      <c r="AH89" s="8">
        <v>1.9255615242997072E-4</v>
      </c>
      <c r="AI89" s="14">
        <v>32.32148804385784</v>
      </c>
      <c r="AJ89" s="8">
        <v>4.0881975450340087E-5</v>
      </c>
      <c r="AK89" s="14">
        <v>32.32148804385784</v>
      </c>
      <c r="AL89" s="8">
        <v>2.6222771096712459E-18</v>
      </c>
      <c r="AM89" s="14">
        <v>32.32148804385784</v>
      </c>
      <c r="AN89" s="8">
        <v>0</v>
      </c>
      <c r="AO89" s="14">
        <v>32.32148804385784</v>
      </c>
      <c r="AP89" s="8">
        <v>0</v>
      </c>
      <c r="AQ89" s="14">
        <v>32.32148804385784</v>
      </c>
      <c r="AR89" s="8">
        <v>0</v>
      </c>
      <c r="AS89" s="14">
        <v>32.32148804385784</v>
      </c>
      <c r="AT89" s="8">
        <v>0</v>
      </c>
      <c r="AU89" s="14">
        <v>32.321488043857833</v>
      </c>
      <c r="AV89" s="8">
        <v>0</v>
      </c>
      <c r="AW89" s="14">
        <v>32.321488043857833</v>
      </c>
      <c r="AX89" s="8">
        <v>0</v>
      </c>
      <c r="AY89" s="14">
        <v>32.321488043857826</v>
      </c>
    </row>
    <row r="90" spans="10:51">
      <c r="M90" s="7">
        <v>3.2688684254153576E-2</v>
      </c>
      <c r="O90" s="7">
        <v>2.7452379277434841E-2</v>
      </c>
      <c r="Q90" s="7">
        <v>2.2613101697130565E-2</v>
      </c>
      <c r="S90" s="7">
        <v>1.8200842233199857E-2</v>
      </c>
      <c r="U90" s="7">
        <v>1.4244030193296677E-2</v>
      </c>
      <c r="W90" s="7">
        <v>1.0768001872000658E-2</v>
      </c>
      <c r="Y90" s="7">
        <v>7.7929101796409481E-3</v>
      </c>
      <c r="AA90" s="7">
        <v>5.3309403479683106E-3</v>
      </c>
      <c r="AC90" s="7">
        <v>3.3827177767786214E-3</v>
      </c>
      <c r="AE90" s="7">
        <v>1.9328920680188968E-3</v>
      </c>
      <c r="AG90" s="7">
        <v>9.4514943994824206E-4</v>
      </c>
      <c r="AI90" s="7">
        <v>3.5752434752122703E-4</v>
      </c>
      <c r="AK90" s="7">
        <v>8.0160945714710812E-5</v>
      </c>
      <c r="AM90" s="7">
        <v>5.3039582463220751E-18</v>
      </c>
      <c r="AO90" s="7">
        <v>0</v>
      </c>
      <c r="AQ90" s="7">
        <v>0</v>
      </c>
      <c r="AS90" s="7">
        <v>0</v>
      </c>
      <c r="AU90" s="7">
        <v>0</v>
      </c>
      <c r="AW90" s="7">
        <v>0</v>
      </c>
      <c r="AY90" s="7">
        <v>0</v>
      </c>
    </row>
    <row r="91" spans="10:51">
      <c r="L91" s="14">
        <v>31.054144370226716</v>
      </c>
      <c r="M91" s="8">
        <v>3.3902617169782122E-2</v>
      </c>
      <c r="N91" s="14">
        <v>31.054144370226716</v>
      </c>
      <c r="O91" s="8">
        <v>2.8447265528822478E-2</v>
      </c>
      <c r="P91" s="14">
        <v>31.054144370226716</v>
      </c>
      <c r="Q91" s="8">
        <v>2.3413760708793727E-2</v>
      </c>
      <c r="R91" s="14">
        <v>31.054144370226716</v>
      </c>
      <c r="S91" s="8">
        <v>1.8831363421188792E-2</v>
      </c>
      <c r="T91" s="14">
        <v>31.054144370226709</v>
      </c>
      <c r="U91" s="8">
        <v>1.4727692971878759E-2</v>
      </c>
      <c r="V91" s="14">
        <v>31.054144370226705</v>
      </c>
      <c r="W91" s="8">
        <v>1.1127175117709377E-2</v>
      </c>
      <c r="X91" s="14">
        <v>31.054144370226709</v>
      </c>
      <c r="Y91" s="8">
        <v>8.0489221094304543E-3</v>
      </c>
      <c r="Z91" s="14">
        <v>31.054144370226705</v>
      </c>
      <c r="AA91" s="8">
        <v>5.5039286544366333E-3</v>
      </c>
      <c r="AB91" s="14">
        <v>31.054144370226705</v>
      </c>
      <c r="AC91" s="8">
        <v>3.4914746633185451E-3</v>
      </c>
      <c r="AD91" s="14">
        <v>31.054144370226702</v>
      </c>
      <c r="AE91" s="8">
        <v>1.9946469515441951E-3</v>
      </c>
      <c r="AF91" s="14">
        <v>31.054144370226702</v>
      </c>
      <c r="AG91" s="8">
        <v>9.7522465078254082E-4</v>
      </c>
      <c r="AH91" s="14">
        <v>31.054144370226691</v>
      </c>
      <c r="AI91" s="8">
        <v>3.6885349900364498E-4</v>
      </c>
      <c r="AJ91" s="14">
        <v>31.054144370226695</v>
      </c>
      <c r="AK91" s="8">
        <v>8.2690074979508614E-5</v>
      </c>
      <c r="AL91" s="14">
        <v>31.054144370226695</v>
      </c>
      <c r="AM91" s="8">
        <v>5.3039582463220751E-18</v>
      </c>
      <c r="AN91" s="14">
        <v>31.054144370226698</v>
      </c>
      <c r="AO91" s="8">
        <v>0</v>
      </c>
      <c r="AP91" s="14">
        <v>31.054144370226695</v>
      </c>
      <c r="AQ91" s="8">
        <v>0</v>
      </c>
      <c r="AR91" s="14">
        <v>31.054144370226695</v>
      </c>
      <c r="AS91" s="8">
        <v>0</v>
      </c>
      <c r="AT91" s="14">
        <v>31.054144370226687</v>
      </c>
      <c r="AU91" s="8">
        <v>0</v>
      </c>
      <c r="AV91" s="14">
        <v>31.054144370226684</v>
      </c>
      <c r="AW91" s="8">
        <v>0</v>
      </c>
      <c r="AX91" s="14">
        <v>31.054144370226691</v>
      </c>
      <c r="AY91" s="8">
        <v>0</v>
      </c>
    </row>
    <row r="92" spans="10:51">
      <c r="L92" s="7">
        <v>5.4511204083640664E-2</v>
      </c>
      <c r="N92" s="7">
        <v>4.7112115256636306E-2</v>
      </c>
      <c r="P92" s="7">
        <v>4.0101334726178169E-2</v>
      </c>
      <c r="R92" s="7">
        <v>3.352342406600485E-2</v>
      </c>
      <c r="T92" s="7">
        <v>2.7424935899220626E-2</v>
      </c>
      <c r="V92" s="7">
        <v>2.1853510885217121E-2</v>
      </c>
      <c r="X92" s="7">
        <v>1.6856418668299934E-2</v>
      </c>
      <c r="Z92" s="7">
        <v>1.2478302348531749E-2</v>
      </c>
      <c r="AB92" s="7">
        <v>8.7578040176284951E-3</v>
      </c>
      <c r="AD92" s="7">
        <v>5.7226635749311385E-3</v>
      </c>
      <c r="AF92" s="7">
        <v>3.3828368311447591E-3</v>
      </c>
      <c r="AH92" s="7">
        <v>1.7212913257480806E-3</v>
      </c>
      <c r="AJ92" s="7">
        <v>6.8271467359503637E-4</v>
      </c>
      <c r="AL92" s="7">
        <v>1.6213782574253302E-4</v>
      </c>
      <c r="AN92" s="7">
        <v>1.0728070261901055E-17</v>
      </c>
      <c r="AP92" s="7">
        <v>0</v>
      </c>
      <c r="AR92" s="7">
        <v>0</v>
      </c>
      <c r="AT92" s="7">
        <v>0</v>
      </c>
      <c r="AV92" s="7">
        <v>0</v>
      </c>
      <c r="AX92" s="7">
        <v>0</v>
      </c>
    </row>
    <row r="93" spans="10:51">
      <c r="K93" s="14">
        <v>29.836493952825403</v>
      </c>
      <c r="L93" s="8">
        <v>5.661984821515479E-2</v>
      </c>
      <c r="M93" s="14">
        <v>29.8364939528254</v>
      </c>
      <c r="N93" s="8">
        <v>4.888620639148495E-2</v>
      </c>
      <c r="O93" s="14">
        <v>29.8364939528254</v>
      </c>
      <c r="P93" s="8">
        <v>4.1572573905583797E-2</v>
      </c>
      <c r="Q93" s="14">
        <v>29.8364939528254</v>
      </c>
      <c r="R93" s="8">
        <v>3.4722989979294433E-2</v>
      </c>
      <c r="S93" s="14">
        <v>29.8364939528254</v>
      </c>
      <c r="T93" s="8">
        <v>2.8383408569812606E-2</v>
      </c>
      <c r="U93" s="14">
        <v>29.836493952825393</v>
      </c>
      <c r="V93" s="8">
        <v>2.2600801942551384E-2</v>
      </c>
      <c r="W93" s="14">
        <v>29.836493952825389</v>
      </c>
      <c r="X93" s="8">
        <v>1.7421678156877372E-2</v>
      </c>
      <c r="Y93" s="14">
        <v>29.836493952825393</v>
      </c>
      <c r="Z93" s="8">
        <v>1.2889778766655284E-2</v>
      </c>
      <c r="AA93" s="14">
        <v>29.836493952825389</v>
      </c>
      <c r="AB93" s="8">
        <v>9.0426755746160995E-3</v>
      </c>
      <c r="AC93" s="14">
        <v>29.836493952825389</v>
      </c>
      <c r="AD93" s="8">
        <v>5.906899198716971E-3</v>
      </c>
      <c r="AE93" s="14">
        <v>29.836493952825389</v>
      </c>
      <c r="AF93" s="8">
        <v>3.490991904793119E-3</v>
      </c>
      <c r="AG93" s="14">
        <v>29.836493952825382</v>
      </c>
      <c r="AH93" s="8">
        <v>1.7760905002534525E-3</v>
      </c>
      <c r="AI93" s="14">
        <v>29.836493952825382</v>
      </c>
      <c r="AJ93" s="8">
        <v>7.0435392812156833E-4</v>
      </c>
      <c r="AK93" s="14">
        <v>29.836493952825379</v>
      </c>
      <c r="AL93" s="8">
        <v>1.6725337816472555E-4</v>
      </c>
      <c r="AM93" s="14">
        <v>29.836493952825382</v>
      </c>
      <c r="AN93" s="8">
        <v>1.0728070261901055E-17</v>
      </c>
      <c r="AO93" s="14">
        <v>29.836493952825382</v>
      </c>
      <c r="AP93" s="8">
        <v>0</v>
      </c>
      <c r="AQ93" s="14">
        <v>29.836493952825382</v>
      </c>
      <c r="AR93" s="8">
        <v>0</v>
      </c>
      <c r="AS93" s="14">
        <v>29.836493952825375</v>
      </c>
      <c r="AT93" s="8">
        <v>0</v>
      </c>
      <c r="AU93" s="14">
        <v>29.836493952825375</v>
      </c>
      <c r="AV93" s="8">
        <v>0</v>
      </c>
      <c r="AW93" s="14">
        <v>29.836493952825371</v>
      </c>
      <c r="AX93" s="8">
        <v>0</v>
      </c>
      <c r="AY93" s="14">
        <v>29.836493952825375</v>
      </c>
    </row>
    <row r="94" spans="10:51">
      <c r="K94" s="7">
        <v>8.6857318699595149E-2</v>
      </c>
      <c r="M94" s="7">
        <v>7.6907376509795511E-2</v>
      </c>
      <c r="O94" s="7">
        <v>6.7283807129100745E-2</v>
      </c>
      <c r="Q94" s="7">
        <v>5.8040592506758165E-2</v>
      </c>
      <c r="S94" s="7">
        <v>4.9237267901983003E-2</v>
      </c>
      <c r="U94" s="7">
        <v>4.0938988773524157E-2</v>
      </c>
      <c r="W94" s="7">
        <v>3.3216266878805356E-2</v>
      </c>
      <c r="Y94" s="7">
        <v>2.614415177335034E-2</v>
      </c>
      <c r="AA94" s="7">
        <v>1.9800509271291258E-2</v>
      </c>
      <c r="AC94" s="7">
        <v>1.4262860888394912E-2</v>
      </c>
      <c r="AE94" s="7">
        <v>9.602975736026139E-3</v>
      </c>
      <c r="AG94" s="7">
        <v>5.8780393029774346E-3</v>
      </c>
      <c r="AI94" s="7">
        <v>3.1168197979562422E-3</v>
      </c>
      <c r="AK94" s="7">
        <v>1.2991128636584074E-3</v>
      </c>
      <c r="AM94" s="7">
        <v>3.2794865756794101E-4</v>
      </c>
      <c r="AO94" s="7">
        <v>2.1699169978212723E-17</v>
      </c>
      <c r="AQ94" s="7">
        <v>0</v>
      </c>
      <c r="AS94" s="7">
        <v>0</v>
      </c>
      <c r="AU94" s="7">
        <v>0</v>
      </c>
      <c r="AW94" s="7">
        <v>0</v>
      </c>
      <c r="AY94" s="7">
        <v>0</v>
      </c>
    </row>
    <row r="95" spans="10:51">
      <c r="J95" s="14">
        <v>28.666588291206804</v>
      </c>
      <c r="K95" s="8">
        <v>9.0376076026470992E-2</v>
      </c>
      <c r="L95" s="14">
        <v>28.6665882912068</v>
      </c>
      <c r="M95" s="8">
        <v>7.9933944962479547E-2</v>
      </c>
      <c r="N95" s="14">
        <v>28.6665882912068</v>
      </c>
      <c r="O95" s="8">
        <v>6.9857168270233708E-2</v>
      </c>
      <c r="P95" s="14">
        <v>28.6665882912068</v>
      </c>
      <c r="Q95" s="8">
        <v>6.0199545092875478E-2</v>
      </c>
      <c r="R95" s="14">
        <v>28.666588291206796</v>
      </c>
      <c r="S95" s="8">
        <v>5.1020298927662522E-2</v>
      </c>
      <c r="T95" s="14">
        <v>28.666588291206796</v>
      </c>
      <c r="U95" s="8">
        <v>4.2384200725984283E-2</v>
      </c>
      <c r="V95" s="14">
        <v>28.666588291206789</v>
      </c>
      <c r="W95" s="8">
        <v>3.436133927175257E-2</v>
      </c>
      <c r="X95" s="14">
        <v>28.666588291206786</v>
      </c>
      <c r="Y95" s="8">
        <v>2.7026285407881132E-2</v>
      </c>
      <c r="Z95" s="14">
        <v>28.666588291206789</v>
      </c>
      <c r="AA95" s="8">
        <v>2.0456296038970066E-2</v>
      </c>
      <c r="AB95" s="14">
        <v>28.666588291206789</v>
      </c>
      <c r="AC95" s="8">
        <v>1.4728100562506653E-2</v>
      </c>
      <c r="AD95" s="14">
        <v>28.666588291206789</v>
      </c>
      <c r="AE95" s="8">
        <v>9.9126165308356679E-3</v>
      </c>
      <c r="AF95" s="14">
        <v>28.666588291206786</v>
      </c>
      <c r="AG95" s="8">
        <v>6.0661159840242037E-3</v>
      </c>
      <c r="AH95" s="14">
        <v>28.666588291206782</v>
      </c>
      <c r="AI95" s="8">
        <v>3.2161012296147273E-3</v>
      </c>
      <c r="AJ95" s="14">
        <v>28.666588291206779</v>
      </c>
      <c r="AK95" s="8">
        <v>1.3403012916361674E-3</v>
      </c>
      <c r="AL95" s="14">
        <v>28.666588291206782</v>
      </c>
      <c r="AM95" s="8">
        <v>3.3829564811066915E-4</v>
      </c>
      <c r="AN95" s="14">
        <v>28.666588291206782</v>
      </c>
      <c r="AO95" s="8">
        <v>2.1699169978212723E-17</v>
      </c>
      <c r="AP95" s="14">
        <v>28.666588291206782</v>
      </c>
      <c r="AQ95" s="8">
        <v>0</v>
      </c>
      <c r="AR95" s="14">
        <v>28.666588291206779</v>
      </c>
      <c r="AS95" s="8">
        <v>0</v>
      </c>
      <c r="AT95" s="14">
        <v>28.666588291206775</v>
      </c>
      <c r="AU95" s="8">
        <v>0</v>
      </c>
      <c r="AV95" s="14">
        <v>28.666588291206775</v>
      </c>
      <c r="AW95" s="8">
        <v>0</v>
      </c>
      <c r="AX95" s="14">
        <v>28.666588291206772</v>
      </c>
      <c r="AY95" s="8">
        <v>0</v>
      </c>
    </row>
    <row r="96" spans="10:51">
      <c r="J96" s="7">
        <v>0.13285335437334195</v>
      </c>
      <c r="L96" s="7">
        <v>0.12006841877059546</v>
      </c>
      <c r="N96" s="7">
        <v>0.10749188901493704</v>
      </c>
      <c r="P96" s="7">
        <v>9.5179335449480942E-2</v>
      </c>
      <c r="R96" s="7">
        <v>8.3194481898722375E-2</v>
      </c>
      <c r="T96" s="7">
        <v>7.1610253285512793E-2</v>
      </c>
      <c r="V96" s="7">
        <v>6.0509832204595326E-2</v>
      </c>
      <c r="X96" s="7">
        <v>4.9987613707464379E-2</v>
      </c>
      <c r="Z96" s="7">
        <v>4.0149850912947448E-2</v>
      </c>
      <c r="AB96" s="7">
        <v>3.1114615651491217E-2</v>
      </c>
      <c r="AD96" s="7">
        <v>2.3010406077775849E-2</v>
      </c>
      <c r="AF96" s="7">
        <v>1.5972229047950037E-2</v>
      </c>
      <c r="AH96" s="7">
        <v>1.0133127988020123E-2</v>
      </c>
      <c r="AJ96" s="7">
        <v>5.6077222561821821E-3</v>
      </c>
      <c r="AL96" s="7">
        <v>2.4622377860970134E-3</v>
      </c>
      <c r="AN96" s="7">
        <v>6.6332653412658508E-4</v>
      </c>
      <c r="AP96" s="7">
        <v>4.388990435824488E-17</v>
      </c>
      <c r="AR96" s="7">
        <v>0</v>
      </c>
      <c r="AT96" s="7">
        <v>0</v>
      </c>
      <c r="AV96" s="7">
        <v>0</v>
      </c>
      <c r="AX96" s="7">
        <v>0</v>
      </c>
    </row>
    <row r="97" spans="2:51">
      <c r="I97" s="14">
        <v>27.542555286719139</v>
      </c>
      <c r="J97" s="8">
        <v>0.1385196594934496</v>
      </c>
      <c r="K97" s="14">
        <v>27.542555286719139</v>
      </c>
      <c r="L97" s="8">
        <v>0.12503434843699579</v>
      </c>
      <c r="M97" s="14">
        <v>27.542555286719139</v>
      </c>
      <c r="N97" s="8">
        <v>0.111803611374117</v>
      </c>
      <c r="O97" s="14">
        <v>27.542555286719136</v>
      </c>
      <c r="P97" s="8">
        <v>9.8883354413670257E-2</v>
      </c>
      <c r="Q97" s="14">
        <v>27.542555286719132</v>
      </c>
      <c r="R97" s="8">
        <v>8.6337464544687492E-2</v>
      </c>
      <c r="S97" s="14">
        <v>27.542555286719132</v>
      </c>
      <c r="T97" s="8">
        <v>7.4238846879221013E-2</v>
      </c>
      <c r="U97" s="14">
        <v>27.542555286719132</v>
      </c>
      <c r="V97" s="8">
        <v>6.2670588200986282E-2</v>
      </c>
      <c r="W97" s="14">
        <v>27.542555286719125</v>
      </c>
      <c r="X97" s="8">
        <v>5.1727005022763575E-2</v>
      </c>
      <c r="Y97" s="14">
        <v>27.542555286719125</v>
      </c>
      <c r="Z97" s="8">
        <v>4.1514301976156652E-2</v>
      </c>
      <c r="AA97" s="14">
        <v>27.542555286719125</v>
      </c>
      <c r="AB97" s="8">
        <v>3.2150411217209796E-2</v>
      </c>
      <c r="AC97" s="14">
        <v>27.542555286719129</v>
      </c>
      <c r="AD97" s="8">
        <v>2.3763462462287235E-2</v>
      </c>
      <c r="AE97" s="14">
        <v>27.542555286719121</v>
      </c>
      <c r="AF97" s="8">
        <v>1.6488182296496044E-2</v>
      </c>
      <c r="AG97" s="14">
        <v>27.542555286719125</v>
      </c>
      <c r="AH97" s="8">
        <v>1.0457634319375984E-2</v>
      </c>
      <c r="AI97" s="14">
        <v>27.542555286719118</v>
      </c>
      <c r="AJ97" s="8">
        <v>5.7864572310584355E-3</v>
      </c>
      <c r="AK97" s="14">
        <v>27.542555286719118</v>
      </c>
      <c r="AL97" s="8">
        <v>2.5403286792067973E-3</v>
      </c>
      <c r="AM97" s="14">
        <v>27.542555286719118</v>
      </c>
      <c r="AN97" s="8">
        <v>6.8425491183743642E-4</v>
      </c>
      <c r="AO97" s="14">
        <v>27.542555286719118</v>
      </c>
      <c r="AP97" s="8">
        <v>4.388990435824488E-17</v>
      </c>
      <c r="AQ97" s="14">
        <v>27.542555286719118</v>
      </c>
      <c r="AR97" s="8">
        <v>0</v>
      </c>
      <c r="AS97" s="14">
        <v>27.542555286719114</v>
      </c>
      <c r="AT97" s="8">
        <v>0</v>
      </c>
      <c r="AU97" s="14">
        <v>27.542555286719114</v>
      </c>
      <c r="AV97" s="8">
        <v>0</v>
      </c>
      <c r="AW97" s="14">
        <v>27.542555286719111</v>
      </c>
      <c r="AX97" s="8">
        <v>0</v>
      </c>
      <c r="AY97" s="14">
        <v>27.542555286719107</v>
      </c>
    </row>
    <row r="98" spans="2:51">
      <c r="I98" s="7">
        <v>0.19585067663098812</v>
      </c>
      <c r="K98" s="7">
        <v>0.18010205830236145</v>
      </c>
      <c r="M98" s="7">
        <v>0.16439377060950658</v>
      </c>
      <c r="O98" s="7">
        <v>0.14877404111674739</v>
      </c>
      <c r="Q98" s="7">
        <v>0.1333001954894685</v>
      </c>
      <c r="S98" s="7">
        <v>0.11804038541992469</v>
      </c>
      <c r="U98" s="7">
        <v>0.10307563935089185</v>
      </c>
      <c r="W98" s="7">
        <v>8.8502268796948697E-2</v>
      </c>
      <c r="Y98" s="7">
        <v>7.4434634600616403E-2</v>
      </c>
      <c r="AA98" s="7">
        <v>6.1008209141506411E-2</v>
      </c>
      <c r="AC98" s="7">
        <v>4.8382721221670033E-2</v>
      </c>
      <c r="AE98" s="7">
        <v>3.6744857248765882E-2</v>
      </c>
      <c r="AG98" s="7">
        <v>2.6309347097205994E-2</v>
      </c>
      <c r="AI98" s="7">
        <v>1.7315941403632237E-2</v>
      </c>
      <c r="AK98" s="7">
        <v>1.0017088474501988E-2</v>
      </c>
      <c r="AM98" s="7">
        <v>4.645671769605824E-3</v>
      </c>
      <c r="AO98" s="7">
        <v>1.3416798048189373E-3</v>
      </c>
      <c r="AQ98" s="7">
        <v>8.8774073225382715E-17</v>
      </c>
      <c r="AS98" s="7">
        <v>0</v>
      </c>
      <c r="AU98" s="7">
        <v>0</v>
      </c>
      <c r="AW98" s="7">
        <v>0</v>
      </c>
      <c r="AY98" s="7">
        <v>0</v>
      </c>
    </row>
    <row r="99" spans="2:51">
      <c r="H99" s="14">
        <v>26.462596246748738</v>
      </c>
      <c r="I99" s="8">
        <v>0.20468890228374531</v>
      </c>
      <c r="J99" s="14">
        <v>26.462596246748735</v>
      </c>
      <c r="K99" s="8">
        <v>0.1879730964630541</v>
      </c>
      <c r="L99" s="14">
        <v>26.462596246748735</v>
      </c>
      <c r="M99" s="8">
        <v>0.17135033664403815</v>
      </c>
      <c r="N99" s="14">
        <v>26.462596246748735</v>
      </c>
      <c r="O99" s="8">
        <v>0.15486974711616608</v>
      </c>
      <c r="P99" s="14">
        <v>26.462596246748731</v>
      </c>
      <c r="Q99" s="8">
        <v>0.13858951918649676</v>
      </c>
      <c r="R99" s="14">
        <v>26.462596246748728</v>
      </c>
      <c r="S99" s="8">
        <v>0.12257845264086277</v>
      </c>
      <c r="T99" s="14">
        <v>26.462596246748728</v>
      </c>
      <c r="U99" s="8">
        <v>0.10691792813678207</v>
      </c>
      <c r="V99" s="14">
        <v>26.462596246748728</v>
      </c>
      <c r="W99" s="8">
        <v>9.1704494925680266E-2</v>
      </c>
      <c r="X99" s="14">
        <v>26.462596246748724</v>
      </c>
      <c r="Y99" s="8">
        <v>7.7052843389414413E-2</v>
      </c>
      <c r="Z99" s="14">
        <v>26.462596246748721</v>
      </c>
      <c r="AA99" s="8">
        <v>6.3098969061216245E-2</v>
      </c>
      <c r="AB99" s="14">
        <v>26.462596246748724</v>
      </c>
      <c r="AC99" s="8">
        <v>5.0003126371353006E-2</v>
      </c>
      <c r="AD99" s="14">
        <v>26.462596246748721</v>
      </c>
      <c r="AE99" s="8">
        <v>3.7952125288645479E-2</v>
      </c>
      <c r="AF99" s="14">
        <v>26.462596246748721</v>
      </c>
      <c r="AG99" s="8">
        <v>2.7161060722125624E-2</v>
      </c>
      <c r="AH99" s="14">
        <v>26.462596246748721</v>
      </c>
      <c r="AI99" s="8">
        <v>1.7871015620161315E-2</v>
      </c>
      <c r="AJ99" s="14">
        <v>26.462596246748717</v>
      </c>
      <c r="AK99" s="8">
        <v>1.0336585833216679E-2</v>
      </c>
      <c r="AL99" s="14">
        <v>26.462596246748713</v>
      </c>
      <c r="AM99" s="8">
        <v>4.7930663078094484E-3</v>
      </c>
      <c r="AN99" s="14">
        <v>26.462596246748717</v>
      </c>
      <c r="AO99" s="8">
        <v>1.3840106634197395E-3</v>
      </c>
      <c r="AP99" s="14">
        <v>26.462596246748713</v>
      </c>
      <c r="AQ99" s="8">
        <v>8.8774073225382715E-17</v>
      </c>
      <c r="AR99" s="14">
        <v>26.462596246748713</v>
      </c>
      <c r="AS99" s="8">
        <v>0</v>
      </c>
      <c r="AT99" s="14">
        <v>26.462596246748713</v>
      </c>
      <c r="AU99" s="8">
        <v>0</v>
      </c>
      <c r="AV99" s="14">
        <v>26.46259624674871</v>
      </c>
      <c r="AW99" s="8">
        <v>0</v>
      </c>
      <c r="AX99" s="14">
        <v>26.46259624674871</v>
      </c>
      <c r="AY99" s="8">
        <v>0</v>
      </c>
    </row>
    <row r="100" spans="2:51">
      <c r="H100" s="7">
        <v>0.27924409346009449</v>
      </c>
      <c r="J100" s="7">
        <v>0.26059738145516242</v>
      </c>
      <c r="L100" s="7">
        <v>0.24178692952217914</v>
      </c>
      <c r="N100" s="7">
        <v>0.22284543104041046</v>
      </c>
      <c r="P100" s="7">
        <v>0.20381373925355789</v>
      </c>
      <c r="R100" s="7">
        <v>0.1847427913032367</v>
      </c>
      <c r="T100" s="7">
        <v>0.16569603441630029</v>
      </c>
      <c r="V100" s="7">
        <v>0.14675249586265085</v>
      </c>
      <c r="X100" s="7">
        <v>0.12801067601152277</v>
      </c>
      <c r="Z100" s="7">
        <v>0.10959348483952079</v>
      </c>
      <c r="AB100" s="7">
        <v>9.1654475870785249E-2</v>
      </c>
      <c r="AD100" s="7">
        <v>7.4385627743102339E-2</v>
      </c>
      <c r="AF100" s="7">
        <v>5.8026804633722333E-2</v>
      </c>
      <c r="AH100" s="7">
        <v>4.2876596085152818E-2</v>
      </c>
      <c r="AJ100" s="7">
        <v>2.9302996722354764E-2</v>
      </c>
      <c r="AL100" s="7">
        <v>1.7749056478595371E-2</v>
      </c>
      <c r="AN100" s="7">
        <v>8.7198405268172473E-3</v>
      </c>
      <c r="AP100" s="7">
        <v>2.7137534925076E-3</v>
      </c>
      <c r="AR100" s="7">
        <v>1.7955919914291562E-16</v>
      </c>
      <c r="AT100" s="7">
        <v>0</v>
      </c>
      <c r="AV100" s="7">
        <v>0</v>
      </c>
      <c r="AX100" s="7">
        <v>0</v>
      </c>
    </row>
    <row r="101" spans="2:51">
      <c r="G101" s="14">
        <v>25.424983006428089</v>
      </c>
      <c r="H101" s="8">
        <v>0.29263986422656851</v>
      </c>
      <c r="I101" s="14">
        <v>25.424983006428093</v>
      </c>
      <c r="J101" s="8">
        <v>0.27269312799030959</v>
      </c>
      <c r="K101" s="14">
        <v>25.424983006428089</v>
      </c>
      <c r="L101" s="8">
        <v>0.25264093335190335</v>
      </c>
      <c r="M101" s="14">
        <v>25.424983006428093</v>
      </c>
      <c r="N101" s="8">
        <v>0.23251721505954023</v>
      </c>
      <c r="O101" s="14">
        <v>25.424983006428089</v>
      </c>
      <c r="P101" s="8">
        <v>0.21236429756369721</v>
      </c>
      <c r="Q101" s="14">
        <v>25.424983006428086</v>
      </c>
      <c r="R101" s="8">
        <v>0.1922347024342328</v>
      </c>
      <c r="S101" s="14">
        <v>25.424983006428086</v>
      </c>
      <c r="T101" s="8">
        <v>0.17219320797834103</v>
      </c>
      <c r="U101" s="14">
        <v>25.424983006428082</v>
      </c>
      <c r="V101" s="8">
        <v>0.1523196516234224</v>
      </c>
      <c r="W101" s="14">
        <v>25.424983006428082</v>
      </c>
      <c r="X101" s="8">
        <v>0.132713094725387</v>
      </c>
      <c r="Y101" s="14">
        <v>25.424983006428075</v>
      </c>
      <c r="Z101" s="8">
        <v>0.11349716327278221</v>
      </c>
      <c r="AA101" s="14">
        <v>25.424983006428079</v>
      </c>
      <c r="AB101" s="8">
        <v>9.4826611448022555E-2</v>
      </c>
      <c r="AC101" s="14">
        <v>25.424983006428079</v>
      </c>
      <c r="AD101" s="8">
        <v>7.6894856943739848E-2</v>
      </c>
      <c r="AE101" s="14">
        <v>25.424983006428079</v>
      </c>
      <c r="AF101" s="8">
        <v>5.9942299798943582E-2</v>
      </c>
      <c r="AG101" s="14">
        <v>25.424983006428075</v>
      </c>
      <c r="AH101" s="8">
        <v>4.4268247313129741E-2</v>
      </c>
      <c r="AI101" s="14">
        <v>25.424983006428079</v>
      </c>
      <c r="AJ101" s="8">
        <v>3.0243369183191857E-2</v>
      </c>
      <c r="AK101" s="14">
        <v>25.424983006428072</v>
      </c>
      <c r="AL101" s="8">
        <v>1.8315618456680158E-2</v>
      </c>
      <c r="AM101" s="14">
        <v>25.424983006428072</v>
      </c>
      <c r="AN101" s="8">
        <v>8.996616906385509E-3</v>
      </c>
      <c r="AO101" s="14">
        <v>25.424983006428068</v>
      </c>
      <c r="AP101" s="8">
        <v>2.7993741562130337E-3</v>
      </c>
      <c r="AQ101" s="14">
        <v>25.424983006428068</v>
      </c>
      <c r="AR101" s="8">
        <v>1.7955919914291562E-16</v>
      </c>
      <c r="AS101" s="14">
        <v>25.424983006428072</v>
      </c>
      <c r="AT101" s="8">
        <v>0</v>
      </c>
      <c r="AU101" s="14">
        <v>25.424983006428068</v>
      </c>
      <c r="AV101" s="8">
        <v>0</v>
      </c>
      <c r="AW101" s="14">
        <v>25.424983006428064</v>
      </c>
      <c r="AX101" s="8">
        <v>0</v>
      </c>
      <c r="AY101" s="14">
        <v>25.424983006428061</v>
      </c>
    </row>
    <row r="102" spans="2:51">
      <c r="G102" s="7">
        <v>0.38626675213729655</v>
      </c>
      <c r="I102" s="7">
        <v>0.36500175230952131</v>
      </c>
      <c r="K102" s="7">
        <v>0.34335309248821827</v>
      </c>
      <c r="M102" s="7">
        <v>0.32133209707249533</v>
      </c>
      <c r="O102" s="7">
        <v>0.29895569033826686</v>
      </c>
      <c r="Q102" s="7">
        <v>0.27624801900434082</v>
      </c>
      <c r="S102" s="7">
        <v>0.25324258100759028</v>
      </c>
      <c r="U102" s="7">
        <v>0.22998504063405509</v>
      </c>
      <c r="W102" s="7">
        <v>0.20653698298412318</v>
      </c>
      <c r="Y102" s="7">
        <v>0.18298096606522857</v>
      </c>
      <c r="AA102" s="7">
        <v>0.15942738148649277</v>
      </c>
      <c r="AC102" s="7">
        <v>0.13602385506056816</v>
      </c>
      <c r="AE102" s="7">
        <v>0.11296823039401112</v>
      </c>
      <c r="AG102" s="7">
        <v>9.0526596225848119E-2</v>
      </c>
      <c r="AI102" s="7">
        <v>6.9058295487695626E-2</v>
      </c>
      <c r="AK102" s="7">
        <v>4.9050099034626697E-2</v>
      </c>
      <c r="AM102" s="7">
        <v>3.1160549213498118E-2</v>
      </c>
      <c r="AO102" s="7">
        <v>1.6268397730451304E-2</v>
      </c>
      <c r="AQ102" s="7">
        <v>5.4889832817384071E-3</v>
      </c>
      <c r="AS102" s="7">
        <v>3.6318606126125779E-16</v>
      </c>
      <c r="AU102" s="7">
        <v>0</v>
      </c>
      <c r="AW102" s="7">
        <v>0</v>
      </c>
      <c r="AY102" s="7">
        <v>0</v>
      </c>
    </row>
    <row r="103" spans="2:51">
      <c r="F103" s="14">
        <v>24.428055163203393</v>
      </c>
      <c r="G103" s="8">
        <v>0.40605027315546749</v>
      </c>
      <c r="H103" s="14">
        <v>24.428055163203393</v>
      </c>
      <c r="I103" s="8">
        <v>0.38307975214821899</v>
      </c>
      <c r="J103" s="14">
        <v>24.428055163203396</v>
      </c>
      <c r="K103" s="8">
        <v>0.35978834527031184</v>
      </c>
      <c r="L103" s="14">
        <v>24.428055163203393</v>
      </c>
      <c r="M103" s="8">
        <v>0.33618870445064358</v>
      </c>
      <c r="N103" s="14">
        <v>24.428055163203393</v>
      </c>
      <c r="O103" s="8">
        <v>0.31229934996046876</v>
      </c>
      <c r="P103" s="14">
        <v>24.428055163203389</v>
      </c>
      <c r="Q103" s="8">
        <v>0.28814652110851546</v>
      </c>
      <c r="R103" s="14">
        <v>24.428055163203389</v>
      </c>
      <c r="S103" s="8">
        <v>0.26376625937801934</v>
      </c>
      <c r="T103" s="14">
        <v>24.428055163203386</v>
      </c>
      <c r="U103" s="8">
        <v>0.23920656203017038</v>
      </c>
      <c r="V103" s="14">
        <v>24.428055163203386</v>
      </c>
      <c r="W103" s="8">
        <v>0.21453041028758205</v>
      </c>
      <c r="X103" s="14">
        <v>24.428055163203386</v>
      </c>
      <c r="Y103" s="8">
        <v>0.1898211606341931</v>
      </c>
      <c r="Z103" s="14">
        <v>24.428055163203382</v>
      </c>
      <c r="AA103" s="8">
        <v>0.16519011918735488</v>
      </c>
      <c r="AB103" s="14">
        <v>24.428055163203378</v>
      </c>
      <c r="AC103" s="8">
        <v>0.14078680401494703</v>
      </c>
      <c r="AD103" s="14">
        <v>24.428055163203382</v>
      </c>
      <c r="AE103" s="8">
        <v>0.11681184337245389</v>
      </c>
      <c r="AF103" s="14">
        <v>24.428055163203378</v>
      </c>
      <c r="AG103" s="8">
        <v>9.3532037443125604E-2</v>
      </c>
      <c r="AH103" s="14">
        <v>24.428055163203382</v>
      </c>
      <c r="AI103" s="8">
        <v>7.1306821670776482E-2</v>
      </c>
      <c r="AJ103" s="14">
        <v>24.428055163203378</v>
      </c>
      <c r="AK103" s="8">
        <v>5.0626186670105551E-2</v>
      </c>
      <c r="AL103" s="14">
        <v>24.428055163203378</v>
      </c>
      <c r="AM103" s="8">
        <v>3.2156131823764554E-2</v>
      </c>
      <c r="AN103" s="14">
        <v>24.428055163203371</v>
      </c>
      <c r="AO103" s="8">
        <v>1.6785033350131255E-2</v>
      </c>
      <c r="AP103" s="14">
        <v>24.428055163203371</v>
      </c>
      <c r="AQ103" s="8">
        <v>5.6621642257512006E-3</v>
      </c>
      <c r="AR103" s="14">
        <v>24.428055163203375</v>
      </c>
      <c r="AS103" s="8">
        <v>3.6318606126125779E-16</v>
      </c>
      <c r="AT103" s="14">
        <v>24.428055163203371</v>
      </c>
      <c r="AU103" s="8">
        <v>0</v>
      </c>
      <c r="AV103" s="14">
        <v>24.428055163203371</v>
      </c>
      <c r="AW103" s="8">
        <v>0</v>
      </c>
      <c r="AX103" s="14">
        <v>24.428055163203368</v>
      </c>
      <c r="AY103" s="8">
        <v>0</v>
      </c>
    </row>
    <row r="104" spans="2:51">
      <c r="F104" s="7">
        <v>0.51978259833862583</v>
      </c>
      <c r="H104" s="7">
        <v>0.49639123011625041</v>
      </c>
      <c r="J104" s="7">
        <v>0.47240339694783623</v>
      </c>
      <c r="L104" s="7">
        <v>0.44780660454973681</v>
      </c>
      <c r="N104" s="7">
        <v>0.42259040356175498</v>
      </c>
      <c r="P104" s="7">
        <v>0.39674734631354147</v>
      </c>
      <c r="R104" s="7">
        <v>0.370274305761151</v>
      </c>
      <c r="T104" s="7">
        <v>0.34317430599787624</v>
      </c>
      <c r="V104" s="7">
        <v>0.31545908423278163</v>
      </c>
      <c r="X104" s="7">
        <v>0.28715271296869249</v>
      </c>
      <c r="Z104" s="7">
        <v>0.25829678227259067</v>
      </c>
      <c r="AB104" s="7">
        <v>0.22895791654482661</v>
      </c>
      <c r="AD104" s="7">
        <v>0.19923884970965783</v>
      </c>
      <c r="AF104" s="7">
        <v>0.16929503473097615</v>
      </c>
      <c r="AH104" s="7">
        <v>0.13936004758119022</v>
      </c>
      <c r="AJ104" s="7">
        <v>0.10978527616162281</v>
      </c>
      <c r="AL104" s="7">
        <v>8.1103277404490748E-2</v>
      </c>
      <c r="AN104" s="7">
        <v>5.4130772792704861E-2</v>
      </c>
      <c r="AP104" s="7">
        <v>3.0136686339526111E-2</v>
      </c>
      <c r="AR104" s="7">
        <v>1.1102311816598926E-2</v>
      </c>
      <c r="AT104" s="7">
        <v>7.3459959569924534E-16</v>
      </c>
      <c r="AV104" s="7">
        <v>0</v>
      </c>
      <c r="AX104" s="7">
        <v>0</v>
      </c>
    </row>
    <row r="105" spans="2:51">
      <c r="E105" s="14">
        <v>23.470217419836203</v>
      </c>
      <c r="F105" s="8">
        <v>0.54832038436590069</v>
      </c>
      <c r="G105" s="14">
        <v>23.470217419836199</v>
      </c>
      <c r="H105" s="8">
        <v>0.5227397014544034</v>
      </c>
      <c r="I105" s="14">
        <v>23.470217419836199</v>
      </c>
      <c r="J105" s="8">
        <v>0.49662851068516611</v>
      </c>
      <c r="K105" s="14">
        <v>23.470217419836203</v>
      </c>
      <c r="L105" s="8">
        <v>0.46997587055475448</v>
      </c>
      <c r="M105" s="14">
        <v>23.470217419836199</v>
      </c>
      <c r="N105" s="8">
        <v>0.44277275035670388</v>
      </c>
      <c r="O105" s="14">
        <v>23.470217419836199</v>
      </c>
      <c r="P105" s="8">
        <v>0.41501342960022902</v>
      </c>
      <c r="Q105" s="14">
        <v>23.470217419836196</v>
      </c>
      <c r="R105" s="8">
        <v>0.38669739734806768</v>
      </c>
      <c r="S105" s="14">
        <v>23.470217419836192</v>
      </c>
      <c r="T105" s="8">
        <v>0.35783146440146207</v>
      </c>
      <c r="U105" s="14">
        <v>23.470217419836192</v>
      </c>
      <c r="V105" s="8">
        <v>0.32843126022480862</v>
      </c>
      <c r="W105" s="14">
        <v>23.470217419836192</v>
      </c>
      <c r="X105" s="8">
        <v>0.29852310885833927</v>
      </c>
      <c r="Y105" s="14">
        <v>23.470217419836196</v>
      </c>
      <c r="Z105" s="8">
        <v>0.26814948491507296</v>
      </c>
      <c r="AA105" s="14">
        <v>23.470217419836185</v>
      </c>
      <c r="AB105" s="8">
        <v>0.23737763758368696</v>
      </c>
      <c r="AC105" s="14">
        <v>23.470217419836189</v>
      </c>
      <c r="AD105" s="8">
        <v>0.20631266000142603</v>
      </c>
      <c r="AE105" s="14">
        <v>23.470217419836189</v>
      </c>
      <c r="AF105" s="8">
        <v>0.17511509081126783</v>
      </c>
      <c r="AG105" s="14">
        <v>23.470217419836189</v>
      </c>
      <c r="AH105" s="8">
        <v>0.14401921271515661</v>
      </c>
      <c r="AI105" s="14">
        <v>23.470217419836189</v>
      </c>
      <c r="AJ105" s="8">
        <v>0.11337387155159151</v>
      </c>
      <c r="AK105" s="14">
        <v>23.470217419836189</v>
      </c>
      <c r="AL105" s="8">
        <v>8.3713134417333177E-2</v>
      </c>
      <c r="AM105" s="14">
        <v>23.470217419836182</v>
      </c>
      <c r="AN105" s="8">
        <v>5.5862116569685073E-2</v>
      </c>
      <c r="AO105" s="14">
        <v>23.470217419836178</v>
      </c>
      <c r="AP105" s="8">
        <v>3.1094308649764056E-2</v>
      </c>
      <c r="AQ105" s="14">
        <v>23.470217419836182</v>
      </c>
      <c r="AR105" s="8">
        <v>1.1452596877134598E-2</v>
      </c>
      <c r="AS105" s="14">
        <v>23.470217419836182</v>
      </c>
      <c r="AT105" s="8">
        <v>7.3459959569924534E-16</v>
      </c>
      <c r="AU105" s="14">
        <v>23.470217419836182</v>
      </c>
      <c r="AV105" s="8">
        <v>0</v>
      </c>
      <c r="AW105" s="14">
        <v>23.470217419836178</v>
      </c>
      <c r="AX105" s="8">
        <v>0</v>
      </c>
      <c r="AY105" s="14">
        <v>23.470217419836175</v>
      </c>
    </row>
    <row r="106" spans="2:51">
      <c r="E106" s="7">
        <v>0.68209761441998162</v>
      </c>
      <c r="G106" s="7">
        <v>0.65726003794176058</v>
      </c>
      <c r="I106" s="7">
        <v>0.63164254829922539</v>
      </c>
      <c r="K106" s="7">
        <v>0.60521003730401912</v>
      </c>
      <c r="M106" s="7">
        <v>0.57792567988065491</v>
      </c>
      <c r="O106" s="7">
        <v>0.5497510739750141</v>
      </c>
      <c r="Q106" s="7">
        <v>0.52064652037419856</v>
      </c>
      <c r="S106" s="7">
        <v>0.49057151862253984</v>
      </c>
      <c r="U106" s="7">
        <v>0.45948559743571066</v>
      </c>
      <c r="W106" s="7">
        <v>0.4273496662858054</v>
      </c>
      <c r="Y106" s="7">
        <v>0.39412818752690443</v>
      </c>
      <c r="AA106" s="7">
        <v>0.35979265886104911</v>
      </c>
      <c r="AC106" s="7">
        <v>0.32432722640253292</v>
      </c>
      <c r="AE106" s="7">
        <v>0.28773783973113803</v>
      </c>
      <c r="AG106" s="7">
        <v>0.25006745519565715</v>
      </c>
      <c r="AI106" s="7">
        <v>0.21142190440283751</v>
      </c>
      <c r="AK106" s="7">
        <v>0.17201530616242461</v>
      </c>
      <c r="AM106" s="7">
        <v>0.13225297541331657</v>
      </c>
      <c r="AO106" s="7">
        <v>9.2890329820229031E-2</v>
      </c>
      <c r="AQ106" s="7">
        <v>5.5356063483339574E-2</v>
      </c>
      <c r="AS106" s="7">
        <v>2.2456131007554142E-2</v>
      </c>
      <c r="AU106" s="7">
        <v>1.4858405196704597E-15</v>
      </c>
      <c r="AW106" s="7">
        <v>0</v>
      </c>
      <c r="AY106" s="7">
        <v>0</v>
      </c>
    </row>
    <row r="107" spans="2:51">
      <c r="D107" s="14">
        <v>22.549937031587511</v>
      </c>
      <c r="E107" s="8">
        <v>0.72239098711854088</v>
      </c>
      <c r="F107" s="14">
        <v>22.549937031587511</v>
      </c>
      <c r="G107" s="8">
        <v>0.69479839408283339</v>
      </c>
      <c r="H107" s="14">
        <v>22.549937031587508</v>
      </c>
      <c r="I107" s="8">
        <v>0.66649269944349032</v>
      </c>
      <c r="J107" s="14">
        <v>22.549937031587508</v>
      </c>
      <c r="K107" s="8">
        <v>0.63744134788382723</v>
      </c>
      <c r="L107" s="14">
        <v>22.549937031587511</v>
      </c>
      <c r="M107" s="8">
        <v>0.60760930068195307</v>
      </c>
      <c r="N107" s="14">
        <v>22.549937031587508</v>
      </c>
      <c r="O107" s="8">
        <v>0.57695939694989917</v>
      </c>
      <c r="P107" s="14">
        <v>22.549937031587508</v>
      </c>
      <c r="Q107" s="8">
        <v>0.54545329604216897</v>
      </c>
      <c r="R107" s="14">
        <v>22.549937031587504</v>
      </c>
      <c r="S107" s="8">
        <v>0.51305319398380322</v>
      </c>
      <c r="T107" s="14">
        <v>22.549937031587504</v>
      </c>
      <c r="U107" s="8">
        <v>0.47972389852267538</v>
      </c>
      <c r="V107" s="14">
        <v>22.549937031587501</v>
      </c>
      <c r="W107" s="8">
        <v>0.44543276745234245</v>
      </c>
      <c r="X107" s="14">
        <v>22.549937031587504</v>
      </c>
      <c r="Y107" s="8">
        <v>0.41014800257914691</v>
      </c>
      <c r="Z107" s="14">
        <v>22.549937031587501</v>
      </c>
      <c r="AA107" s="8">
        <v>0.37384195772857148</v>
      </c>
      <c r="AB107" s="14">
        <v>22.549937031587497</v>
      </c>
      <c r="AC107" s="8">
        <v>0.33649811221374054</v>
      </c>
      <c r="AD107" s="14">
        <v>22.549937031587493</v>
      </c>
      <c r="AE107" s="8">
        <v>0.29812434650862796</v>
      </c>
      <c r="AF107" s="14">
        <v>22.549937031587501</v>
      </c>
      <c r="AG107" s="8">
        <v>0.25877317769392905</v>
      </c>
      <c r="AH107" s="14">
        <v>22.549937031587497</v>
      </c>
      <c r="AI107" s="8">
        <v>0.21855177246191021</v>
      </c>
      <c r="AJ107" s="14">
        <v>22.549937031587497</v>
      </c>
      <c r="AK107" s="8">
        <v>0.17766582302126308</v>
      </c>
      <c r="AL107" s="14">
        <v>22.549937031587497</v>
      </c>
      <c r="AM107" s="8">
        <v>0.13651609097485767</v>
      </c>
      <c r="AN107" s="14">
        <v>22.54993703158749</v>
      </c>
      <c r="AO107" s="8">
        <v>9.5865152489765446E-2</v>
      </c>
      <c r="AP107" s="14">
        <v>22.54993703158749</v>
      </c>
      <c r="AQ107" s="8">
        <v>5.7116317673770456E-2</v>
      </c>
      <c r="AR107" s="14">
        <v>22.54993703158749</v>
      </c>
      <c r="AS107" s="8">
        <v>2.3164636347641761E-2</v>
      </c>
      <c r="AT107" s="14">
        <v>22.54993703158749</v>
      </c>
      <c r="AU107" s="8">
        <v>1.4858405196704597E-15</v>
      </c>
      <c r="AV107" s="14">
        <v>22.54993703158749</v>
      </c>
      <c r="AW107" s="8">
        <v>0</v>
      </c>
      <c r="AX107" s="14">
        <v>22.549937031587486</v>
      </c>
      <c r="AY107" s="8">
        <v>0</v>
      </c>
    </row>
    <row r="108" spans="2:51">
      <c r="D108" s="7">
        <v>0.87480814284661845</v>
      </c>
      <c r="F108" s="7">
        <v>0.84935050209669383</v>
      </c>
      <c r="H108" s="7">
        <v>0.8229772144228239</v>
      </c>
      <c r="J108" s="7">
        <v>0.79563496274101353</v>
      </c>
      <c r="L108" s="7">
        <v>0.76726548236401404</v>
      </c>
      <c r="N108" s="7">
        <v>0.73780494964873022</v>
      </c>
      <c r="P108" s="7">
        <v>0.70718328886289783</v>
      </c>
      <c r="R108" s="7">
        <v>0.67532339254787654</v>
      </c>
      <c r="T108" s="7">
        <v>0.64214025704677413</v>
      </c>
      <c r="V108" s="7">
        <v>0.60754004834262498</v>
      </c>
      <c r="X108" s="7">
        <v>0.57141914039987129</v>
      </c>
      <c r="Z108" s="7">
        <v>0.53366322152524848</v>
      </c>
      <c r="AB108" s="7">
        <v>0.49414666937265744</v>
      </c>
      <c r="AD108" s="7">
        <v>0.45273260500977019</v>
      </c>
      <c r="AF108" s="7">
        <v>0.40927446492851244</v>
      </c>
      <c r="AH108" s="7">
        <v>0.36362083422452646</v>
      </c>
      <c r="AJ108" s="7">
        <v>0.31562727784663008</v>
      </c>
      <c r="AL108" s="7">
        <v>0.26518355454958153</v>
      </c>
      <c r="AN108" s="7">
        <v>0.21227623403202928</v>
      </c>
      <c r="AP108" s="7">
        <v>0.15713867290598532</v>
      </c>
      <c r="AR108" s="7">
        <v>0.10063925330704301</v>
      </c>
      <c r="AT108" s="7">
        <v>4.5420974312259478E-2</v>
      </c>
      <c r="AV108" s="7">
        <v>3.005340681944034E-15</v>
      </c>
      <c r="AX108" s="7">
        <v>0</v>
      </c>
    </row>
    <row r="109" spans="2:51">
      <c r="C109" s="14">
        <v>21.665741353499168</v>
      </c>
      <c r="D109" s="8">
        <v>0.93059463118893671</v>
      </c>
      <c r="E109" s="14">
        <v>21.665741353499168</v>
      </c>
      <c r="F109" s="8">
        <v>0.90173499279434088</v>
      </c>
      <c r="G109" s="14">
        <v>21.665741353499168</v>
      </c>
      <c r="H109" s="8">
        <v>0.87202286082531577</v>
      </c>
      <c r="I109" s="14">
        <v>21.665741353499168</v>
      </c>
      <c r="J109" s="8">
        <v>0.84140961023228289</v>
      </c>
      <c r="K109" s="14">
        <v>21.665741353499165</v>
      </c>
      <c r="L109" s="8">
        <v>0.80984055571342528</v>
      </c>
      <c r="M109" s="14">
        <v>21.665741353499168</v>
      </c>
      <c r="N109" s="8">
        <v>0.77725403945010285</v>
      </c>
      <c r="O109" s="14">
        <v>21.665741353499165</v>
      </c>
      <c r="P109" s="8">
        <v>0.74358073404250102</v>
      </c>
      <c r="Q109" s="14">
        <v>21.665741353499165</v>
      </c>
      <c r="R109" s="8">
        <v>0.70874361091826721</v>
      </c>
      <c r="S109" s="14">
        <v>21.665741353499161</v>
      </c>
      <c r="T109" s="8">
        <v>0.67265925716192787</v>
      </c>
      <c r="U109" s="14">
        <v>21.665741353499161</v>
      </c>
      <c r="V109" s="8">
        <v>0.6352405454226363</v>
      </c>
      <c r="W109" s="14">
        <v>21.665741353499161</v>
      </c>
      <c r="X109" s="8">
        <v>0.59639459530425509</v>
      </c>
      <c r="Y109" s="14">
        <v>21.665741353499158</v>
      </c>
      <c r="Z109" s="8">
        <v>0.55601375629159044</v>
      </c>
      <c r="AA109" s="14">
        <v>21.665741353499161</v>
      </c>
      <c r="AB109" s="8">
        <v>0.51397350025323985</v>
      </c>
      <c r="AC109" s="14">
        <v>21.665741353499154</v>
      </c>
      <c r="AD109" s="8">
        <v>0.47013319261423436</v>
      </c>
      <c r="AE109" s="14">
        <v>21.665741353499154</v>
      </c>
      <c r="AF109" s="8">
        <v>0.42434498684502731</v>
      </c>
      <c r="AG109" s="14">
        <v>21.665741353499158</v>
      </c>
      <c r="AH109" s="8">
        <v>0.37647608506492702</v>
      </c>
      <c r="AI109" s="14">
        <v>21.665741353499158</v>
      </c>
      <c r="AJ109" s="8">
        <v>0.3263873461216415</v>
      </c>
      <c r="AK109" s="14">
        <v>21.665741353499154</v>
      </c>
      <c r="AL109" s="8">
        <v>0.2739499439629749</v>
      </c>
      <c r="AM109" s="14">
        <v>21.665741353499154</v>
      </c>
      <c r="AN109" s="8">
        <v>0.21913267490343435</v>
      </c>
      <c r="AO109" s="14">
        <v>21.665741353499151</v>
      </c>
      <c r="AP109" s="8">
        <v>0.16217871572458542</v>
      </c>
      <c r="AQ109" s="14">
        <v>21.665741353499147</v>
      </c>
      <c r="AR109" s="8">
        <v>0.10384226720604856</v>
      </c>
      <c r="AS109" s="14">
        <v>21.665741353499147</v>
      </c>
      <c r="AT109" s="8">
        <v>4.6854035191775785E-2</v>
      </c>
      <c r="AU109" s="14">
        <v>21.665741353499147</v>
      </c>
      <c r="AV109" s="8">
        <v>3.005340681944034E-15</v>
      </c>
      <c r="AW109" s="14">
        <v>21.665741353499147</v>
      </c>
      <c r="AX109" s="8">
        <v>0</v>
      </c>
      <c r="AY109" s="14">
        <v>21.665741353499147</v>
      </c>
    </row>
    <row r="110" spans="2:51">
      <c r="C110" s="7">
        <v>1.0986994011867623</v>
      </c>
      <c r="E110" s="7">
        <v>1.0735388429420043</v>
      </c>
      <c r="G110" s="7">
        <v>1.0473868420104375</v>
      </c>
      <c r="I110" s="7">
        <v>1.0201784936788019</v>
      </c>
      <c r="K110" s="7">
        <v>0.99184177430741693</v>
      </c>
      <c r="M110" s="7">
        <v>0.96229640458516175</v>
      </c>
      <c r="O110" s="7">
        <v>0.93145247023639555</v>
      </c>
      <c r="Q110" s="7">
        <v>0.89920873457233486</v>
      </c>
      <c r="S110" s="7">
        <v>0.86545055560770789</v>
      </c>
      <c r="U110" s="7">
        <v>0.83004729032197666</v>
      </c>
      <c r="W110" s="7">
        <v>0.79284902624878684</v>
      </c>
      <c r="Y110" s="7">
        <v>0.7536824203108482</v>
      </c>
      <c r="AA110" s="7">
        <v>0.71234533838869873</v>
      </c>
      <c r="AC110" s="7">
        <v>0.66859986456739939</v>
      </c>
      <c r="AE110" s="7">
        <v>0.62216307025403761</v>
      </c>
      <c r="AG110" s="7">
        <v>0.57269468297634574</v>
      </c>
      <c r="AI110" s="7">
        <v>0.51978047047704645</v>
      </c>
      <c r="AK110" s="7">
        <v>0.46290984070100488</v>
      </c>
      <c r="AM110" s="7">
        <v>0.40144630019728933</v>
      </c>
      <c r="AO110" s="7">
        <v>0.33459198595942363</v>
      </c>
      <c r="AQ110" s="7">
        <v>0.26136130403339541</v>
      </c>
      <c r="AS110" s="7">
        <v>0.18064797757054804</v>
      </c>
      <c r="AU110" s="7">
        <v>9.1870897385704128E-2</v>
      </c>
      <c r="AW110" s="7">
        <v>6.0787631613055139E-15</v>
      </c>
      <c r="AY110" s="7">
        <v>0</v>
      </c>
    </row>
    <row r="111" spans="2:51">
      <c r="B111" s="14">
        <v>20.816215483847763</v>
      </c>
      <c r="C111" s="8">
        <v>1.1745499743088805</v>
      </c>
      <c r="D111" s="14">
        <v>20.81621548384776</v>
      </c>
      <c r="E111" s="8">
        <v>1.1452671626195787</v>
      </c>
      <c r="F111" s="14">
        <v>20.816215483847763</v>
      </c>
      <c r="G111" s="8">
        <v>1.1150448435804239</v>
      </c>
      <c r="H111" s="14">
        <v>20.816215483847763</v>
      </c>
      <c r="I111" s="8">
        <v>1.0838257514745999</v>
      </c>
      <c r="J111" s="14">
        <v>20.81621548384776</v>
      </c>
      <c r="K111" s="8">
        <v>1.0515447485119072</v>
      </c>
      <c r="L111" s="14">
        <v>20.816215483847756</v>
      </c>
      <c r="M111" s="8">
        <v>1.0181269727503339</v>
      </c>
      <c r="N111" s="14">
        <v>20.81621548384776</v>
      </c>
      <c r="O111" s="8">
        <v>0.98348562435457498</v>
      </c>
      <c r="P111" s="14">
        <v>20.816215483847756</v>
      </c>
      <c r="Q111" s="8">
        <v>0.94751959420483967</v>
      </c>
      <c r="R111" s="14">
        <v>20.816215483847756</v>
      </c>
      <c r="S111" s="8">
        <v>0.91011164885070517</v>
      </c>
      <c r="T111" s="14">
        <v>20.816215483847756</v>
      </c>
      <c r="U111" s="8">
        <v>0.87112897697469149</v>
      </c>
      <c r="V111" s="14">
        <v>20.816215483847756</v>
      </c>
      <c r="W111" s="8">
        <v>0.83042865261553489</v>
      </c>
      <c r="X111" s="14">
        <v>20.816215483847753</v>
      </c>
      <c r="Y111" s="8">
        <v>0.78785525230880871</v>
      </c>
      <c r="Z111" s="14">
        <v>20.816215483847753</v>
      </c>
      <c r="AA111" s="8">
        <v>0.74321924174988208</v>
      </c>
      <c r="AB111" s="14">
        <v>20.816215483847753</v>
      </c>
      <c r="AC111" s="8">
        <v>0.69628559853025629</v>
      </c>
      <c r="AD111" s="14">
        <v>20.816215483847749</v>
      </c>
      <c r="AE111" s="8">
        <v>0.64676182774081648</v>
      </c>
      <c r="AF111" s="14">
        <v>20.816215483847746</v>
      </c>
      <c r="AG111" s="8">
        <v>0.59429530767609529</v>
      </c>
      <c r="AH111" s="14">
        <v>20.816215483847753</v>
      </c>
      <c r="AI111" s="8">
        <v>0.5385080997773648</v>
      </c>
      <c r="AJ111" s="14">
        <v>20.816215483847749</v>
      </c>
      <c r="AK111" s="8">
        <v>0.4789089167664482</v>
      </c>
      <c r="AL111" s="14">
        <v>20.816215483847746</v>
      </c>
      <c r="AM111" s="8">
        <v>0.41482832000599168</v>
      </c>
      <c r="AN111" s="14">
        <v>20.816215483847746</v>
      </c>
      <c r="AO111" s="8">
        <v>0.34542519378638353</v>
      </c>
      <c r="AP111" s="14">
        <v>20.816215483847742</v>
      </c>
      <c r="AQ111" s="8">
        <v>0.2697597044115761</v>
      </c>
      <c r="AR111" s="14">
        <v>20.816215483847738</v>
      </c>
      <c r="AS111" s="8">
        <v>0.18640372827897461</v>
      </c>
      <c r="AT111" s="14">
        <v>20.816215483847738</v>
      </c>
      <c r="AU111" s="8">
        <v>9.4769483138277405E-2</v>
      </c>
      <c r="AV111" s="14">
        <v>20.816215483847742</v>
      </c>
      <c r="AW111" s="8">
        <v>6.0787631613055139E-15</v>
      </c>
      <c r="AX111" s="14">
        <v>20.816215483847742</v>
      </c>
      <c r="AY111" s="8">
        <v>0</v>
      </c>
    </row>
    <row r="112" spans="2:51">
      <c r="B112" s="7">
        <v>1.3537008673732538</v>
      </c>
      <c r="D112" s="7">
        <v>1.3297846505403192</v>
      </c>
      <c r="F112" s="7">
        <v>1.3048661514629629</v>
      </c>
      <c r="H112" s="7">
        <v>1.2788764757778168</v>
      </c>
      <c r="J112" s="7">
        <v>1.2517387393080166</v>
      </c>
      <c r="L112" s="7">
        <v>1.2233667064372746</v>
      </c>
      <c r="N112" s="7">
        <v>1.1936631145874215</v>
      </c>
      <c r="P112" s="7">
        <v>1.1625175915402288</v>
      </c>
      <c r="R112" s="7">
        <v>1.1298040377209801</v>
      </c>
      <c r="T112" s="7">
        <v>1.0953772952052712</v>
      </c>
      <c r="V112" s="7">
        <v>1.0590688504965464</v>
      </c>
      <c r="X112" s="7">
        <v>1.0206812047745473</v>
      </c>
      <c r="Z112" s="7">
        <v>0.97998036901522323</v>
      </c>
      <c r="AB112" s="7">
        <v>0.9366856593326236</v>
      </c>
      <c r="AD112" s="7">
        <v>0.89045550194627354</v>
      </c>
      <c r="AF112" s="7">
        <v>0.84086715849451155</v>
      </c>
      <c r="AH112" s="7">
        <v>0.78738685334115732</v>
      </c>
      <c r="AJ112" s="7">
        <v>0.7293240947835623</v>
      </c>
      <c r="AL112" s="7">
        <v>0.66575860315268576</v>
      </c>
      <c r="AN112" s="7">
        <v>0.59541667464394987</v>
      </c>
      <c r="AP112" s="7">
        <v>0.51644643185141736</v>
      </c>
      <c r="AR112" s="7">
        <v>0.42596841195086044</v>
      </c>
      <c r="AT112" s="7">
        <v>0.31904853875458727</v>
      </c>
      <c r="AV112" s="7">
        <v>0.18582300169145613</v>
      </c>
      <c r="AX112" s="7">
        <v>1.2295232215517963E-14</v>
      </c>
    </row>
    <row r="113" spans="1:51">
      <c r="A113" s="14">
        <v>20</v>
      </c>
      <c r="B113" s="8">
        <v>1.4551073323072603</v>
      </c>
      <c r="C113" s="14">
        <v>19.999999999999996</v>
      </c>
      <c r="D113" s="8">
        <v>1.4262891551516834</v>
      </c>
      <c r="E113" s="14">
        <v>19.999999999999996</v>
      </c>
      <c r="F113" s="8">
        <v>1.3965035781173363</v>
      </c>
      <c r="G113" s="14">
        <v>19.999999999999996</v>
      </c>
      <c r="H113" s="8">
        <v>1.3656874408640669</v>
      </c>
      <c r="I113" s="14">
        <v>19.999999999999996</v>
      </c>
      <c r="J113" s="8">
        <v>1.3337745233143972</v>
      </c>
      <c r="K113" s="14">
        <v>19.999999999999993</v>
      </c>
      <c r="L113" s="8">
        <v>1.3006888657515099</v>
      </c>
      <c r="M113" s="14">
        <v>19.999999999999993</v>
      </c>
      <c r="N113" s="8">
        <v>1.2663419534239093</v>
      </c>
      <c r="O113" s="14">
        <v>19.999999999999993</v>
      </c>
      <c r="P113" s="8">
        <v>1.2306289500777097</v>
      </c>
      <c r="Q113" s="14">
        <v>19.999999999999993</v>
      </c>
      <c r="R113" s="8">
        <v>1.1934239336840879</v>
      </c>
      <c r="S113" s="14">
        <v>19.999999999999993</v>
      </c>
      <c r="T113" s="8">
        <v>1.154574881763575</v>
      </c>
      <c r="U113" s="14">
        <v>19.999999999999993</v>
      </c>
      <c r="V113" s="8">
        <v>1.1139020527782657</v>
      </c>
      <c r="W113" s="14">
        <v>19.999999999999989</v>
      </c>
      <c r="X113" s="8">
        <v>1.0712111161867279</v>
      </c>
      <c r="Y113" s="14">
        <v>19.999999999999989</v>
      </c>
      <c r="Z113" s="8">
        <v>1.0262975322148988</v>
      </c>
      <c r="AA113" s="14">
        <v>19.999999999999986</v>
      </c>
      <c r="AB113" s="8">
        <v>0.97890498568937045</v>
      </c>
      <c r="AC113" s="14">
        <v>19.999999999999989</v>
      </c>
      <c r="AD113" s="8">
        <v>0.92870158700220962</v>
      </c>
      <c r="AE113" s="14">
        <v>19.999999999999982</v>
      </c>
      <c r="AF113" s="8">
        <v>0.87524655742208157</v>
      </c>
      <c r="AG113" s="14">
        <v>19.999999999999982</v>
      </c>
      <c r="AH113" s="8">
        <v>0.81796214948527113</v>
      </c>
      <c r="AI113" s="14">
        <v>19.999999999999986</v>
      </c>
      <c r="AJ113" s="8">
        <v>0.75622588008608238</v>
      </c>
      <c r="AK113" s="14">
        <v>19.999999999999982</v>
      </c>
      <c r="AL113" s="8">
        <v>0.68917547717027317</v>
      </c>
      <c r="AM113" s="14">
        <v>19.999999999999982</v>
      </c>
      <c r="AN113" s="8">
        <v>0.61548873313515706</v>
      </c>
      <c r="AO113" s="14">
        <v>19.999999999999982</v>
      </c>
      <c r="AP113" s="8">
        <v>0.53321626652820275</v>
      </c>
      <c r="AQ113" s="14">
        <v>19.999999999999979</v>
      </c>
      <c r="AR113" s="8">
        <v>0.4396876626780743</v>
      </c>
      <c r="AS113" s="14">
        <v>19.999999999999975</v>
      </c>
      <c r="AT113" s="8">
        <v>0.32922838001188132</v>
      </c>
      <c r="AU113" s="14">
        <v>19.999999999999975</v>
      </c>
      <c r="AV113" s="8">
        <v>0.19168583661013494</v>
      </c>
      <c r="AW113" s="14">
        <v>19.999999999999979</v>
      </c>
      <c r="AX113" s="8">
        <v>1.2295232215517963E-14</v>
      </c>
      <c r="AY113" s="14">
        <v>19.999999999999975</v>
      </c>
    </row>
    <row r="114" spans="1:51">
      <c r="A114" s="7">
        <v>1.6388986590815611</v>
      </c>
      <c r="C114" s="7">
        <v>1.6171441823270556</v>
      </c>
      <c r="E114" s="7">
        <v>1.5944394630377774</v>
      </c>
      <c r="G114" s="7">
        <v>1.5707189714205432</v>
      </c>
      <c r="I114" s="7">
        <v>1.5459095756407037</v>
      </c>
      <c r="K114" s="7">
        <v>1.5199292461657241</v>
      </c>
      <c r="M114" s="7">
        <v>1.4926854614065528</v>
      </c>
      <c r="O114" s="7">
        <v>1.4640732259093256</v>
      </c>
      <c r="Q114" s="7">
        <v>1.4339725794009741</v>
      </c>
      <c r="S114" s="7">
        <v>1.4022454270713005</v>
      </c>
      <c r="U114" s="7">
        <v>1.3687314503726424</v>
      </c>
      <c r="W114" s="7">
        <v>1.3332427497509143</v>
      </c>
      <c r="Y114" s="7">
        <v>1.2955567029449979</v>
      </c>
      <c r="AA114" s="7">
        <v>1.2554062540753477</v>
      </c>
      <c r="AC114" s="7">
        <v>1.2124664053168883</v>
      </c>
      <c r="AE114" s="7">
        <v>1.1663349228687541</v>
      </c>
      <c r="AG114" s="7">
        <v>1.1165039089216287</v>
      </c>
      <c r="AI114" s="7">
        <v>1.0623163315570416</v>
      </c>
      <c r="AK114" s="7">
        <v>1.0028964854917231</v>
      </c>
      <c r="AM114" s="7">
        <v>0.93703233209757808</v>
      </c>
      <c r="AO114" s="7">
        <v>0.86296161186385323</v>
      </c>
      <c r="AQ114" s="7">
        <v>0.77794414870705553</v>
      </c>
      <c r="AS114" s="7">
        <v>0.67728444124725284</v>
      </c>
      <c r="AU114" s="7">
        <v>0.55159542629077096</v>
      </c>
      <c r="AW114" s="7">
        <v>0.3758555640602253</v>
      </c>
      <c r="AY114" s="7">
        <v>2.4868995751603507E-14</v>
      </c>
    </row>
    <row r="115" spans="1:51">
      <c r="A115" s="8">
        <v>1.772362236177381</v>
      </c>
      <c r="B115" s="14">
        <v>19.215788783046463</v>
      </c>
      <c r="C115" s="8">
        <v>1.7448694650278527</v>
      </c>
      <c r="D115" s="14">
        <v>19.215788783046463</v>
      </c>
      <c r="E115" s="8">
        <v>1.7164554158989904</v>
      </c>
      <c r="F115" s="14">
        <v>19.21578878304646</v>
      </c>
      <c r="G115" s="8">
        <v>1.6870431635062935</v>
      </c>
      <c r="H115" s="14">
        <v>19.21578878304646</v>
      </c>
      <c r="I115" s="8">
        <v>1.6565633804407252</v>
      </c>
      <c r="J115" s="14">
        <v>19.21578878304646</v>
      </c>
      <c r="K115" s="8">
        <v>1.6249485818132214</v>
      </c>
      <c r="L115" s="14">
        <v>19.215788783046456</v>
      </c>
      <c r="M115" s="8">
        <v>1.5921215036688492</v>
      </c>
      <c r="N115" s="14">
        <v>19.215788783046456</v>
      </c>
      <c r="O115" s="8">
        <v>1.5579916669380485</v>
      </c>
      <c r="P115" s="14">
        <v>19.21578878304646</v>
      </c>
      <c r="Q115" s="8">
        <v>1.522450178536535</v>
      </c>
      <c r="R115" s="14">
        <v>19.215788783046456</v>
      </c>
      <c r="S115" s="8">
        <v>1.4853619466529389</v>
      </c>
      <c r="T115" s="14">
        <v>19.215788783046456</v>
      </c>
      <c r="U115" s="8">
        <v>1.4465549802795379</v>
      </c>
      <c r="V115" s="14">
        <v>19.215788783046452</v>
      </c>
      <c r="W115" s="8">
        <v>1.4058115415967014</v>
      </c>
      <c r="X115" s="14">
        <v>19.215788783046452</v>
      </c>
      <c r="Y115" s="8">
        <v>1.3628971345853393</v>
      </c>
      <c r="Z115" s="14">
        <v>19.215788783046452</v>
      </c>
      <c r="AA115" s="8">
        <v>1.3175914143152121</v>
      </c>
      <c r="AB115" s="14">
        <v>19.215788783046452</v>
      </c>
      <c r="AC115" s="8">
        <v>1.2696157203895644</v>
      </c>
      <c r="AD115" s="14">
        <v>19.215788783046452</v>
      </c>
      <c r="AE115" s="8">
        <v>1.2185971665564748</v>
      </c>
      <c r="AF115" s="14">
        <v>19.215788783046449</v>
      </c>
      <c r="AG115" s="8">
        <v>1.1640039646198419</v>
      </c>
      <c r="AH115" s="14">
        <v>19.215788783046445</v>
      </c>
      <c r="AI115" s="8">
        <v>1.105053115042802</v>
      </c>
      <c r="AJ115" s="14">
        <v>19.215788783046449</v>
      </c>
      <c r="AK115" s="8">
        <v>1.0409867751042297</v>
      </c>
      <c r="AL115" s="14">
        <v>19.215788783046449</v>
      </c>
      <c r="AM115" s="8">
        <v>0.97074384708470174</v>
      </c>
      <c r="AN115" s="14">
        <v>19.215788783046445</v>
      </c>
      <c r="AO115" s="8">
        <v>0.89250809270483822</v>
      </c>
      <c r="AP115" s="14">
        <v>19.215788783046445</v>
      </c>
      <c r="AQ115" s="8">
        <v>0.80329543307915019</v>
      </c>
      <c r="AR115" s="14">
        <v>19.215788783046442</v>
      </c>
      <c r="AS115" s="8">
        <v>0.69916155585748851</v>
      </c>
      <c r="AT115" s="14">
        <v>19.215788783046438</v>
      </c>
      <c r="AU115" s="8">
        <v>0.56922850091329191</v>
      </c>
      <c r="AV115" s="14">
        <v>19.215788783046442</v>
      </c>
      <c r="AW115" s="8">
        <v>0.3877140482376088</v>
      </c>
      <c r="AX115" s="14">
        <v>19.215788783046442</v>
      </c>
      <c r="AY115" s="8">
        <v>2.4868995751603507E-14</v>
      </c>
    </row>
    <row r="116" spans="1:51">
      <c r="B116" s="7">
        <v>1.9338409195036914</v>
      </c>
      <c r="D116" s="7">
        <v>1.9142391397800136</v>
      </c>
      <c r="F116" s="7">
        <v>1.8937379048534801</v>
      </c>
      <c r="H116" s="7">
        <v>1.8722749586017045</v>
      </c>
      <c r="J116" s="7">
        <v>1.849780820036182</v>
      </c>
      <c r="L116" s="7">
        <v>1.8261775518068841</v>
      </c>
      <c r="N116" s="7">
        <v>1.8013772447817491</v>
      </c>
      <c r="P116" s="7">
        <v>1.7752801343413231</v>
      </c>
      <c r="R116" s="7">
        <v>1.7477722327081473</v>
      </c>
      <c r="T116" s="7">
        <v>1.7187223160774945</v>
      </c>
      <c r="V116" s="7">
        <v>1.6879780377277152</v>
      </c>
      <c r="X116" s="7">
        <v>1.6553608357503324</v>
      </c>
      <c r="Z116" s="7">
        <v>1.6206591445514398</v>
      </c>
      <c r="AB116" s="7">
        <v>1.5836191641184276</v>
      </c>
      <c r="AD116" s="7">
        <v>1.5439320195214596</v>
      </c>
      <c r="AF116" s="7">
        <v>1.501215420574133</v>
      </c>
      <c r="AH116" s="7">
        <v>1.4549866387252104</v>
      </c>
      <c r="AJ116" s="7">
        <v>1.4046211848796284</v>
      </c>
      <c r="AL116" s="7">
        <v>1.3492867055616566</v>
      </c>
      <c r="AN116" s="7">
        <v>1.2878311345984255</v>
      </c>
      <c r="AP116" s="7">
        <v>1.2185793683906836</v>
      </c>
      <c r="AR116" s="7">
        <v>1.1389266881470133</v>
      </c>
      <c r="AT116" s="7">
        <v>1.0444096031447334</v>
      </c>
      <c r="AV116" s="7">
        <v>0.92610467068651814</v>
      </c>
      <c r="AX116" s="7">
        <v>0.76022561119528731</v>
      </c>
    </row>
    <row r="117" spans="1:51">
      <c r="B117" s="8">
        <v>2.1003338024445286</v>
      </c>
      <c r="C117" s="14">
        <v>18.462326927732715</v>
      </c>
      <c r="D117" s="8">
        <v>2.0741265574473031</v>
      </c>
      <c r="E117" s="14">
        <v>18.462326927732715</v>
      </c>
      <c r="F117" s="8">
        <v>2.0470428545478723</v>
      </c>
      <c r="G117" s="14">
        <v>18.462326927732711</v>
      </c>
      <c r="H117" s="8">
        <v>2.0189915384819441</v>
      </c>
      <c r="I117" s="14">
        <v>18.462326927732711</v>
      </c>
      <c r="J117" s="8">
        <v>1.9898999434847311</v>
      </c>
      <c r="K117" s="14">
        <v>18.462326927732711</v>
      </c>
      <c r="L117" s="8">
        <v>1.9597090672226549</v>
      </c>
      <c r="M117" s="14">
        <v>18.462326927732708</v>
      </c>
      <c r="N117" s="8">
        <v>1.9283529366956711</v>
      </c>
      <c r="O117" s="14">
        <v>18.462326927732708</v>
      </c>
      <c r="P117" s="8">
        <v>1.8957555009562135</v>
      </c>
      <c r="Q117" s="14">
        <v>18.462326927732708</v>
      </c>
      <c r="R117" s="8">
        <v>1.8618249761788346</v>
      </c>
      <c r="S117" s="14">
        <v>18.462326927732708</v>
      </c>
      <c r="T117" s="8">
        <v>1.8264432159956361</v>
      </c>
      <c r="U117" s="14">
        <v>18.462326927732708</v>
      </c>
      <c r="V117" s="8">
        <v>1.7894457195023326</v>
      </c>
      <c r="W117" s="14">
        <v>18.462326927732708</v>
      </c>
      <c r="X117" s="8">
        <v>1.7505903399487337</v>
      </c>
      <c r="Y117" s="14">
        <v>18.462326927732704</v>
      </c>
      <c r="Z117" s="8">
        <v>1.7096114502958337</v>
      </c>
      <c r="AA117" s="14">
        <v>18.462326927732704</v>
      </c>
      <c r="AB117" s="8">
        <v>1.6663248689611574</v>
      </c>
      <c r="AC117" s="14">
        <v>18.462326927732704</v>
      </c>
      <c r="AD117" s="8">
        <v>1.6205055655184799</v>
      </c>
      <c r="AE117" s="14">
        <v>18.462326927732704</v>
      </c>
      <c r="AF117" s="8">
        <v>1.5718490149950572</v>
      </c>
      <c r="AG117" s="14">
        <v>18.4623269277327</v>
      </c>
      <c r="AH117" s="8">
        <v>1.5198690281469025</v>
      </c>
      <c r="AI117" s="14">
        <v>18.462326927732697</v>
      </c>
      <c r="AJ117" s="8">
        <v>1.4636169427552601</v>
      </c>
      <c r="AK117" s="14">
        <v>18.4623269277327</v>
      </c>
      <c r="AL117" s="8">
        <v>1.4024396194948916</v>
      </c>
      <c r="AM117" s="14">
        <v>18.4623269277327</v>
      </c>
      <c r="AN117" s="8">
        <v>1.3355397782927163</v>
      </c>
      <c r="AO117" s="14">
        <v>18.462326927732697</v>
      </c>
      <c r="AP117" s="8">
        <v>1.2612326115448782</v>
      </c>
      <c r="AQ117" s="14">
        <v>18.462326927732697</v>
      </c>
      <c r="AR117" s="8">
        <v>1.1762067928256354</v>
      </c>
      <c r="AS117" s="14">
        <v>18.462326927732693</v>
      </c>
      <c r="AT117" s="8">
        <v>1.0782736700372975</v>
      </c>
      <c r="AU117" s="14">
        <v>18.462326927732693</v>
      </c>
      <c r="AV117" s="8">
        <v>0.95578884500735328</v>
      </c>
      <c r="AW117" s="14">
        <v>18.462326927732693</v>
      </c>
      <c r="AX117" s="8">
        <v>0.78421121695355822</v>
      </c>
      <c r="AY117" s="14">
        <v>18.462326927732693</v>
      </c>
    </row>
    <row r="118" spans="1:51">
      <c r="C118" s="7">
        <v>2.2616347320109362</v>
      </c>
      <c r="E118" s="7">
        <v>2.2451511091298744</v>
      </c>
      <c r="G118" s="7">
        <v>2.2278845191851531</v>
      </c>
      <c r="I118" s="7">
        <v>2.2097836507427449</v>
      </c>
      <c r="K118" s="7">
        <v>2.1907916566465375</v>
      </c>
      <c r="M118" s="7">
        <v>2.1708452897388359</v>
      </c>
      <c r="O118" s="7">
        <v>2.149873859585671</v>
      </c>
      <c r="Q118" s="7">
        <v>2.1277979637344786</v>
      </c>
      <c r="S118" s="7">
        <v>2.1045279325711781</v>
      </c>
      <c r="U118" s="7">
        <v>2.0799619072454743</v>
      </c>
      <c r="W118" s="7">
        <v>2.0539834434746163</v>
      </c>
      <c r="Y118" s="7">
        <v>2.0264584978073596</v>
      </c>
      <c r="AA118" s="7">
        <v>1.997231604185306</v>
      </c>
      <c r="AC118" s="7">
        <v>1.9661209849388344</v>
      </c>
      <c r="AE118" s="7">
        <v>1.9329122632139919</v>
      </c>
      <c r="AG118" s="7">
        <v>1.8973503698903857</v>
      </c>
      <c r="AI118" s="7">
        <v>1.8591292346023389</v>
      </c>
      <c r="AK118" s="7">
        <v>1.8178791511716703</v>
      </c>
      <c r="AM118" s="7">
        <v>1.7731531124353055</v>
      </c>
      <c r="AO118" s="7">
        <v>1.7244187938731521</v>
      </c>
      <c r="AQ118" s="7">
        <v>1.6710836451769073</v>
      </c>
      <c r="AS118" s="7">
        <v>1.6126697038923137</v>
      </c>
      <c r="AU118" s="7">
        <v>1.5497258179606279</v>
      </c>
      <c r="AW118" s="7">
        <v>1.4897306262149435</v>
      </c>
      <c r="AY118" s="7">
        <v>1.5376730722673067</v>
      </c>
    </row>
    <row r="119" spans="1:51">
      <c r="C119" s="8">
        <v>2.4680832679228524</v>
      </c>
      <c r="D119" s="14">
        <v>17.73840873434315</v>
      </c>
      <c r="E119" s="8">
        <v>2.444063894352452</v>
      </c>
      <c r="F119" s="14">
        <v>17.738408734343146</v>
      </c>
      <c r="G119" s="8">
        <v>2.4192901448424728</v>
      </c>
      <c r="H119" s="14">
        <v>17.738408734343146</v>
      </c>
      <c r="I119" s="8">
        <v>2.3936483736243024</v>
      </c>
      <c r="J119" s="14">
        <v>17.738408734343146</v>
      </c>
      <c r="K119" s="8">
        <v>2.3670604529918986</v>
      </c>
      <c r="L119" s="14">
        <v>17.738408734343142</v>
      </c>
      <c r="M119" s="8">
        <v>2.3394858685031896</v>
      </c>
      <c r="N119" s="14">
        <v>17.738408734343142</v>
      </c>
      <c r="O119" s="8">
        <v>2.310883488900771</v>
      </c>
      <c r="P119" s="14">
        <v>17.738408734343142</v>
      </c>
      <c r="Q119" s="8">
        <v>2.2812105852214843</v>
      </c>
      <c r="R119" s="14">
        <v>17.738408734343146</v>
      </c>
      <c r="S119" s="8">
        <v>2.2504193350116926</v>
      </c>
      <c r="T119" s="14">
        <v>17.738408734343142</v>
      </c>
      <c r="U119" s="8">
        <v>2.21844623911496</v>
      </c>
      <c r="V119" s="14">
        <v>17.738408734343142</v>
      </c>
      <c r="W119" s="8">
        <v>2.185180711377483</v>
      </c>
      <c r="X119" s="14">
        <v>17.738408734343139</v>
      </c>
      <c r="Y119" s="8">
        <v>2.1503722121776403</v>
      </c>
      <c r="Z119" s="14">
        <v>17.738408734343139</v>
      </c>
      <c r="AA119" s="8">
        <v>2.1137082720677056</v>
      </c>
      <c r="AB119" s="14">
        <v>17.738408734343139</v>
      </c>
      <c r="AC119" s="8">
        <v>2.0751006526106268</v>
      </c>
      <c r="AD119" s="14">
        <v>17.738408734343139</v>
      </c>
      <c r="AE119" s="8">
        <v>2.0344746241523426</v>
      </c>
      <c r="AF119" s="14">
        <v>17.738408734343139</v>
      </c>
      <c r="AG119" s="8">
        <v>1.9917567833006757</v>
      </c>
      <c r="AH119" s="14">
        <v>17.738408734343135</v>
      </c>
      <c r="AI119" s="8">
        <v>1.9467625755829601</v>
      </c>
      <c r="AJ119" s="14">
        <v>17.738408734343132</v>
      </c>
      <c r="AK119" s="8">
        <v>1.8983463582127316</v>
      </c>
      <c r="AL119" s="14">
        <v>17.738408734343135</v>
      </c>
      <c r="AM119" s="8">
        <v>1.846269618051728</v>
      </c>
      <c r="AN119" s="14">
        <v>17.738408734343135</v>
      </c>
      <c r="AO119" s="8">
        <v>1.7907727106076405</v>
      </c>
      <c r="AP119" s="14">
        <v>17.738408734343132</v>
      </c>
      <c r="AQ119" s="8">
        <v>1.7314922941697424</v>
      </c>
      <c r="AR119" s="14">
        <v>17.738408734343132</v>
      </c>
      <c r="AS119" s="8">
        <v>1.6657547998178488</v>
      </c>
      <c r="AT119" s="14">
        <v>17.738408734343132</v>
      </c>
      <c r="AU119" s="8">
        <v>1.6002313406465105</v>
      </c>
      <c r="AV119" s="14">
        <v>17.738408734343125</v>
      </c>
      <c r="AW119" s="8">
        <v>1.5376730722673067</v>
      </c>
      <c r="AX119" s="14">
        <v>17.738408734343128</v>
      </c>
      <c r="AY119" s="8">
        <v>1.5376730722673067</v>
      </c>
    </row>
    <row r="120" spans="1:51">
      <c r="D120" s="7">
        <v>2.6215435110094507</v>
      </c>
      <c r="F120" s="7">
        <v>2.6091187831339711</v>
      </c>
      <c r="H120" s="7">
        <v>2.5960915488074545</v>
      </c>
      <c r="J120" s="7">
        <v>2.5824289092142192</v>
      </c>
      <c r="L120" s="7">
        <v>2.5680953961061124</v>
      </c>
      <c r="N120" s="7">
        <v>2.5530527697387053</v>
      </c>
      <c r="P120" s="7">
        <v>2.5372598304967089</v>
      </c>
      <c r="R120" s="7">
        <v>2.5206722682312916</v>
      </c>
      <c r="T120" s="7">
        <v>2.5032425905578588</v>
      </c>
      <c r="V120" s="7">
        <v>2.4849202006779114</v>
      </c>
      <c r="X120" s="7">
        <v>2.4656517459797844</v>
      </c>
      <c r="Z120" s="7">
        <v>2.4453819481101009</v>
      </c>
      <c r="AB120" s="7">
        <v>2.424055286933172</v>
      </c>
      <c r="AD120" s="7">
        <v>2.4016192120038338</v>
      </c>
      <c r="AF120" s="7">
        <v>2.3780301363104708</v>
      </c>
      <c r="AH120" s="7">
        <v>2.3532646365016547</v>
      </c>
      <c r="AJ120" s="7">
        <v>2.327340759431813</v>
      </c>
      <c r="AL120" s="7">
        <v>2.3003599077853112</v>
      </c>
      <c r="AN120" s="7">
        <v>2.2725933109365499</v>
      </c>
      <c r="AP120" s="7">
        <v>2.244673248162508</v>
      </c>
      <c r="AR120" s="7">
        <v>2.2180586021649504</v>
      </c>
      <c r="AT120" s="7">
        <v>2.196336398119715</v>
      </c>
      <c r="AV120" s="7">
        <v>2.1897207102767413</v>
      </c>
      <c r="AX120" s="7">
        <v>2.2376056598986014</v>
      </c>
    </row>
    <row r="121" spans="1:51">
      <c r="D121" s="8">
        <v>2.8759957857774689</v>
      </c>
      <c r="E121" s="14">
        <v>17.042875779324223</v>
      </c>
      <c r="F121" s="8">
        <v>2.8550444619263429</v>
      </c>
      <c r="G121" s="14">
        <v>17.042875779324223</v>
      </c>
      <c r="H121" s="8">
        <v>2.8335544827873034</v>
      </c>
      <c r="I121" s="14">
        <v>17.04287577932422</v>
      </c>
      <c r="J121" s="8">
        <v>2.8113701179757178</v>
      </c>
      <c r="K121" s="14">
        <v>17.04287577932422</v>
      </c>
      <c r="L121" s="8">
        <v>2.7883935380308187</v>
      </c>
      <c r="M121" s="14">
        <v>17.04287577932422</v>
      </c>
      <c r="N121" s="8">
        <v>2.7646101037640021</v>
      </c>
      <c r="O121" s="14">
        <v>17.042875779324216</v>
      </c>
      <c r="P121" s="8">
        <v>2.7400142101858975</v>
      </c>
      <c r="Q121" s="14">
        <v>17.04287577932422</v>
      </c>
      <c r="R121" s="8">
        <v>2.7146130718224049</v>
      </c>
      <c r="S121" s="14">
        <v>17.04287577932422</v>
      </c>
      <c r="T121" s="8">
        <v>2.6884304966332242</v>
      </c>
      <c r="U121" s="14">
        <v>17.04287577932422</v>
      </c>
      <c r="V121" s="8">
        <v>2.6615058762288126</v>
      </c>
      <c r="W121" s="14">
        <v>17.042875779324216</v>
      </c>
      <c r="X121" s="8">
        <v>2.633862577991096</v>
      </c>
      <c r="Y121" s="14">
        <v>17.042875779324216</v>
      </c>
      <c r="Z121" s="8">
        <v>2.6052648471611097</v>
      </c>
      <c r="AA121" s="14">
        <v>17.042875779324216</v>
      </c>
      <c r="AB121" s="8">
        <v>2.5752685734688603</v>
      </c>
      <c r="AC121" s="14">
        <v>17.042875779324216</v>
      </c>
      <c r="AD121" s="8">
        <v>2.54392486343527</v>
      </c>
      <c r="AE121" s="14">
        <v>17.042875779324213</v>
      </c>
      <c r="AF121" s="8">
        <v>2.5113932497221545</v>
      </c>
      <c r="AG121" s="14">
        <v>17.042875779324213</v>
      </c>
      <c r="AH121" s="8">
        <v>2.4780212865131781</v>
      </c>
      <c r="AI121" s="14">
        <v>17.042875779324213</v>
      </c>
      <c r="AJ121" s="8">
        <v>2.4444035356789144</v>
      </c>
      <c r="AK121" s="14">
        <v>17.042875779324209</v>
      </c>
      <c r="AL121" s="8">
        <v>2.408889109654603</v>
      </c>
      <c r="AM121" s="14">
        <v>17.042875779324213</v>
      </c>
      <c r="AN121" s="8">
        <v>2.371808986336545</v>
      </c>
      <c r="AO121" s="14">
        <v>17.042875779324209</v>
      </c>
      <c r="AP121" s="8">
        <v>2.3353682093405821</v>
      </c>
      <c r="AQ121" s="14">
        <v>17.042875779324209</v>
      </c>
      <c r="AR121" s="8">
        <v>2.3022101717698593</v>
      </c>
      <c r="AS121" s="14">
        <v>17.042875779324209</v>
      </c>
      <c r="AT121" s="8">
        <v>2.2691600936920926</v>
      </c>
      <c r="AU121" s="14">
        <v>17.042875779324206</v>
      </c>
      <c r="AV121" s="8">
        <v>2.2615912656568753</v>
      </c>
      <c r="AW121" s="14">
        <v>17.042875779324202</v>
      </c>
      <c r="AX121" s="8">
        <v>2.2615912656568717</v>
      </c>
      <c r="AY121" s="14">
        <v>17.042875779324202</v>
      </c>
    </row>
    <row r="122" spans="1:51">
      <c r="E122" s="7">
        <v>3.0119086845239531</v>
      </c>
      <c r="G122" s="7">
        <v>3.0043936202822175</v>
      </c>
      <c r="I122" s="7">
        <v>2.9965110483750275</v>
      </c>
      <c r="K122" s="7">
        <v>2.9882524229475771</v>
      </c>
      <c r="M122" s="7">
        <v>2.9796105305332317</v>
      </c>
      <c r="O122" s="7">
        <v>2.9705801457263634</v>
      </c>
      <c r="Q122" s="7">
        <v>2.9611589445720989</v>
      </c>
      <c r="S122" s="7">
        <v>2.9513487864280727</v>
      </c>
      <c r="U122" s="7">
        <v>2.9411575298898427</v>
      </c>
      <c r="W122" s="7">
        <v>2.93060163486376</v>
      </c>
      <c r="Y122" s="7">
        <v>2.9197099423630277</v>
      </c>
      <c r="AA122" s="7">
        <v>2.9085292542334096</v>
      </c>
      <c r="AC122" s="7">
        <v>2.8971327271180245</v>
      </c>
      <c r="AE122" s="7">
        <v>2.8856327829117978</v>
      </c>
      <c r="AG122" s="7">
        <v>2.8742014888153578</v>
      </c>
      <c r="AI122" s="7">
        <v>2.8631037290213932</v>
      </c>
      <c r="AK122" s="7">
        <v>2.8527531906137051</v>
      </c>
      <c r="AM122" s="7">
        <v>2.8438110252655058</v>
      </c>
      <c r="AO122" s="7">
        <v>2.8373689283625221</v>
      </c>
      <c r="AQ122" s="7">
        <v>2.8353103182050643</v>
      </c>
      <c r="AS122" s="7">
        <v>2.8410736397667251</v>
      </c>
      <c r="AU122" s="7">
        <v>2.8613542524777413</v>
      </c>
      <c r="AW122" s="7">
        <v>2.9091817746234323</v>
      </c>
      <c r="AY122" s="7">
        <v>2.9571242206757979</v>
      </c>
    </row>
    <row r="123" spans="1:51">
      <c r="E123" s="8">
        <v>3.3236411268661419</v>
      </c>
      <c r="F123" s="14">
        <v>16.374615061559634</v>
      </c>
      <c r="G123" s="8">
        <v>3.3065387259980854</v>
      </c>
      <c r="H123" s="14">
        <v>16.374615061559634</v>
      </c>
      <c r="I123" s="8">
        <v>3.2892323920137385</v>
      </c>
      <c r="J123" s="14">
        <v>16.374615061559631</v>
      </c>
      <c r="K123" s="8">
        <v>3.2714868443529244</v>
      </c>
      <c r="L123" s="14">
        <v>16.374615061559631</v>
      </c>
      <c r="M123" s="8">
        <v>3.2531455418674082</v>
      </c>
      <c r="N123" s="14">
        <v>16.374615061559631</v>
      </c>
      <c r="O123" s="8">
        <v>3.2342208378049531</v>
      </c>
      <c r="P123" s="14">
        <v>16.374615061559631</v>
      </c>
      <c r="Q123" s="8">
        <v>3.2147449884929062</v>
      </c>
      <c r="R123" s="14">
        <v>16.374615061559627</v>
      </c>
      <c r="S123" s="8">
        <v>3.1947813762183448</v>
      </c>
      <c r="T123" s="14">
        <v>16.374615061559631</v>
      </c>
      <c r="U123" s="8">
        <v>3.1744429398462124</v>
      </c>
      <c r="V123" s="14">
        <v>16.374615061559627</v>
      </c>
      <c r="W123" s="8">
        <v>3.1539221780360975</v>
      </c>
      <c r="X123" s="14">
        <v>16.374615061559631</v>
      </c>
      <c r="Y123" s="8">
        <v>3.1335219624131159</v>
      </c>
      <c r="Z123" s="14">
        <v>16.374615061559627</v>
      </c>
      <c r="AA123" s="8">
        <v>3.1130842328051629</v>
      </c>
      <c r="AB123" s="14">
        <v>16.374615061559627</v>
      </c>
      <c r="AC123" s="8">
        <v>3.0918007312872566</v>
      </c>
      <c r="AD123" s="14">
        <v>16.374615061559624</v>
      </c>
      <c r="AE123" s="8">
        <v>3.0698510699243098</v>
      </c>
      <c r="AF123" s="14">
        <v>16.374615061559624</v>
      </c>
      <c r="AG123" s="8">
        <v>3.0476328162165278</v>
      </c>
      <c r="AH123" s="14">
        <v>16.374615061559627</v>
      </c>
      <c r="AI123" s="8">
        <v>3.0260372395035784</v>
      </c>
      <c r="AJ123" s="14">
        <v>16.37461506155962</v>
      </c>
      <c r="AK123" s="8">
        <v>3.0074357492016248</v>
      </c>
      <c r="AL123" s="14">
        <v>16.37461506155962</v>
      </c>
      <c r="AM123" s="8">
        <v>2.9887325093804415</v>
      </c>
      <c r="AN123" s="14">
        <v>16.37461506155962</v>
      </c>
      <c r="AO123" s="8">
        <v>2.9703517562858619</v>
      </c>
      <c r="AP123" s="14">
        <v>16.37461506155962</v>
      </c>
      <c r="AQ123" s="8">
        <v>2.9571242206757908</v>
      </c>
      <c r="AR123" s="14">
        <v>16.37461506155962</v>
      </c>
      <c r="AS123" s="8">
        <v>2.9571242206757908</v>
      </c>
      <c r="AT123" s="14">
        <v>16.37461506155962</v>
      </c>
      <c r="AU123" s="8">
        <v>2.9571242206757944</v>
      </c>
      <c r="AV123" s="14">
        <v>16.374615061559616</v>
      </c>
      <c r="AW123" s="8">
        <v>2.9571242206757979</v>
      </c>
      <c r="AX123" s="14">
        <v>16.374615061559613</v>
      </c>
      <c r="AY123" s="8">
        <v>2.9571242206757979</v>
      </c>
    </row>
    <row r="124" spans="1:51">
      <c r="F124" s="7">
        <v>3.4301522428419458</v>
      </c>
      <c r="H124" s="7">
        <v>3.4282426186679271</v>
      </c>
      <c r="J124" s="7">
        <v>3.4262379119551394</v>
      </c>
      <c r="L124" s="7">
        <v>3.4241570230950149</v>
      </c>
      <c r="N124" s="7">
        <v>3.4220243749964796</v>
      </c>
      <c r="P124" s="7">
        <v>3.4198714314699776</v>
      </c>
      <c r="R124" s="7">
        <v>3.4177386984088081</v>
      </c>
      <c r="T124" s="7">
        <v>3.4156783897040182</v>
      </c>
      <c r="V124" s="7">
        <v>3.4137580208364651</v>
      </c>
      <c r="X124" s="7">
        <v>3.4120653163166907</v>
      </c>
      <c r="Z124" s="7">
        <v>3.4107150080410098</v>
      </c>
      <c r="AB124" s="7">
        <v>3.4098584031214934</v>
      </c>
      <c r="AD124" s="7">
        <v>3.4096970855350159</v>
      </c>
      <c r="AF124" s="7">
        <v>3.4105029145167527</v>
      </c>
      <c r="AH124" s="7">
        <v>3.4126478195662338</v>
      </c>
      <c r="AJ124" s="7">
        <v>3.4166491577464693</v>
      </c>
      <c r="AL124" s="7">
        <v>3.4232402208831783</v>
      </c>
      <c r="AN124" s="7">
        <v>3.4334815740225468</v>
      </c>
      <c r="AP124" s="7">
        <v>3.4489362698275285</v>
      </c>
      <c r="AR124" s="7">
        <v>3.4719254183117636</v>
      </c>
      <c r="AT124" s="7">
        <v>3.5057442195190927</v>
      </c>
      <c r="AV124" s="7">
        <v>3.553514383060254</v>
      </c>
      <c r="AX124" s="7">
        <v>3.6013993326821145</v>
      </c>
    </row>
    <row r="125" spans="1:51">
      <c r="F125" s="8">
        <v>3.8097787580415248</v>
      </c>
      <c r="G125" s="14">
        <v>15.732557221331065</v>
      </c>
      <c r="H125" s="8">
        <v>3.7971112010477843</v>
      </c>
      <c r="I125" s="14">
        <v>15.732557221331062</v>
      </c>
      <c r="J125" s="8">
        <v>3.7847395896207696</v>
      </c>
      <c r="K125" s="14">
        <v>15.732557221331062</v>
      </c>
      <c r="L125" s="8">
        <v>3.7722878410304137</v>
      </c>
      <c r="M125" s="14">
        <v>15.73255722133106</v>
      </c>
      <c r="N125" s="8">
        <v>3.7594542620673628</v>
      </c>
      <c r="O125" s="14">
        <v>15.732557221331062</v>
      </c>
      <c r="P125" s="8">
        <v>3.7462695574391254</v>
      </c>
      <c r="Q125" s="14">
        <v>15.732557221331058</v>
      </c>
      <c r="R125" s="8">
        <v>3.732791610062026</v>
      </c>
      <c r="S125" s="14">
        <v>15.73255722133106</v>
      </c>
      <c r="T125" s="8">
        <v>3.7191243308033055</v>
      </c>
      <c r="U125" s="14">
        <v>15.73255722133106</v>
      </c>
      <c r="V125" s="8">
        <v>3.7054559674461212</v>
      </c>
      <c r="W125" s="14">
        <v>15.73255722133106</v>
      </c>
      <c r="X125" s="8">
        <v>3.6921520380436244</v>
      </c>
      <c r="Y125" s="14">
        <v>15.73255722133106</v>
      </c>
      <c r="Z125" s="8">
        <v>3.6800656705567092</v>
      </c>
      <c r="AA125" s="14">
        <v>15.73255722133106</v>
      </c>
      <c r="AB125" s="8">
        <v>3.6693302576857927</v>
      </c>
      <c r="AC125" s="14">
        <v>15.732557221331056</v>
      </c>
      <c r="AD125" s="8">
        <v>3.6582588333287704</v>
      </c>
      <c r="AE125" s="14">
        <v>15.732557221331055</v>
      </c>
      <c r="AF125" s="8">
        <v>3.6470519308074345</v>
      </c>
      <c r="AG125" s="14">
        <v>15.732557221331056</v>
      </c>
      <c r="AH125" s="8">
        <v>3.6361591069925163</v>
      </c>
      <c r="AI125" s="14">
        <v>15.732557221331055</v>
      </c>
      <c r="AJ125" s="8">
        <v>3.6267765024319916</v>
      </c>
      <c r="AK125" s="14">
        <v>15.732557221331053</v>
      </c>
      <c r="AL125" s="8">
        <v>3.62538493844038</v>
      </c>
      <c r="AM125" s="14">
        <v>15.732557221331049</v>
      </c>
      <c r="AN125" s="8">
        <v>3.62538493844038</v>
      </c>
      <c r="AO125" s="14">
        <v>15.732557221331053</v>
      </c>
      <c r="AP125" s="8">
        <v>3.62538493844038</v>
      </c>
      <c r="AQ125" s="14">
        <v>15.732557221331053</v>
      </c>
      <c r="AR125" s="8">
        <v>3.62538493844038</v>
      </c>
      <c r="AS125" s="14">
        <v>15.732557221331051</v>
      </c>
      <c r="AT125" s="8">
        <v>3.62538493844038</v>
      </c>
      <c r="AU125" s="14">
        <v>15.732557221331049</v>
      </c>
      <c r="AV125" s="8">
        <v>3.6253849384403836</v>
      </c>
      <c r="AW125" s="14">
        <v>15.732557221331048</v>
      </c>
      <c r="AX125" s="8">
        <v>3.6253849384403871</v>
      </c>
      <c r="AY125" s="14">
        <v>15.732557221331046</v>
      </c>
    </row>
    <row r="126" spans="1:51">
      <c r="G126" s="7">
        <v>3.872843676117264</v>
      </c>
      <c r="I126" s="7">
        <v>3.877023187488438</v>
      </c>
      <c r="K126" s="7">
        <v>3.8813940401038813</v>
      </c>
      <c r="M126" s="7">
        <v>3.8860018222881783</v>
      </c>
      <c r="O126" s="7">
        <v>3.8909012642305645</v>
      </c>
      <c r="Q126" s="7">
        <v>3.8961583772841726</v>
      </c>
      <c r="S126" s="7">
        <v>3.9018531938715757</v>
      </c>
      <c r="U126" s="7">
        <v>3.9080833070494227</v>
      </c>
      <c r="W126" s="7">
        <v>3.9149684843931056</v>
      </c>
      <c r="Y126" s="7">
        <v>3.9226567377944024</v>
      </c>
      <c r="AA126" s="7">
        <v>3.9313323815892107</v>
      </c>
      <c r="AC126" s="7">
        <v>3.9412268212064858</v>
      </c>
      <c r="AE126" s="7">
        <v>3.9526330952525437</v>
      </c>
      <c r="AG126" s="7">
        <v>3.9659255330346599</v>
      </c>
      <c r="AI126" s="7">
        <v>3.9815861768583476</v>
      </c>
      <c r="AK126" s="7">
        <v>4.000239405757064</v>
      </c>
      <c r="AM126" s="7">
        <v>4.0226938897179911</v>
      </c>
      <c r="AO126" s="7">
        <v>4.0499810063901123</v>
      </c>
      <c r="AQ126" s="7">
        <v>4.0833407540243982</v>
      </c>
      <c r="AS126" s="7">
        <v>4.1239599367452229</v>
      </c>
      <c r="AU126" s="7">
        <v>4.1716728104708993</v>
      </c>
      <c r="AW126" s="7">
        <v>4.2195003326165903</v>
      </c>
      <c r="AY126" s="7">
        <v>4.2674427786689542</v>
      </c>
    </row>
    <row r="127" spans="1:51">
      <c r="G127" s="8">
        <v>4.3324397559844448</v>
      </c>
      <c r="H127" s="14">
        <v>15.115674829114505</v>
      </c>
      <c r="I127" s="8">
        <v>4.3244740805286277</v>
      </c>
      <c r="J127" s="14">
        <v>15.115674829114504</v>
      </c>
      <c r="K127" s="8">
        <v>4.3175550984758599</v>
      </c>
      <c r="L127" s="14">
        <v>15.115674829114502</v>
      </c>
      <c r="M127" s="8">
        <v>4.3110818323798652</v>
      </c>
      <c r="N127" s="14">
        <v>15.115674829114504</v>
      </c>
      <c r="O127" s="8">
        <v>4.3044314582557508</v>
      </c>
      <c r="P127" s="14">
        <v>15.115674829114502</v>
      </c>
      <c r="Q127" s="8">
        <v>4.2976331722865018</v>
      </c>
      <c r="R127" s="14">
        <v>15.115674829114502</v>
      </c>
      <c r="S127" s="8">
        <v>4.290739387185349</v>
      </c>
      <c r="T127" s="14">
        <v>15.1156748291145</v>
      </c>
      <c r="U127" s="8">
        <v>4.2838450552641811</v>
      </c>
      <c r="V127" s="14">
        <v>15.115674829114504</v>
      </c>
      <c r="W127" s="8">
        <v>4.277134544081556</v>
      </c>
      <c r="X127" s="14">
        <v>15.1156748291145</v>
      </c>
      <c r="Y127" s="8">
        <v>4.2710381719703907</v>
      </c>
      <c r="Z127" s="14">
        <v>15.115674829114502</v>
      </c>
      <c r="AA127" s="8">
        <v>4.26744277866894</v>
      </c>
      <c r="AB127" s="14">
        <v>15.1156748291145</v>
      </c>
      <c r="AC127" s="8">
        <v>4.2674427786689435</v>
      </c>
      <c r="AD127" s="14">
        <v>15.115674829114498</v>
      </c>
      <c r="AE127" s="8">
        <v>4.2674427786689453</v>
      </c>
      <c r="AF127" s="14">
        <v>15.115674829114498</v>
      </c>
      <c r="AG127" s="8">
        <v>4.2674427786689435</v>
      </c>
      <c r="AH127" s="14">
        <v>15.115674829114496</v>
      </c>
      <c r="AI127" s="8">
        <v>4.2674427786689453</v>
      </c>
      <c r="AJ127" s="14">
        <v>15.115674829114496</v>
      </c>
      <c r="AK127" s="8">
        <v>4.2674427786689471</v>
      </c>
      <c r="AL127" s="14">
        <v>15.115674829114493</v>
      </c>
      <c r="AM127" s="8">
        <v>4.2674427786689506</v>
      </c>
      <c r="AN127" s="14">
        <v>15.115674829114493</v>
      </c>
      <c r="AO127" s="8">
        <v>4.2674427786689471</v>
      </c>
      <c r="AP127" s="14">
        <v>15.115674829114495</v>
      </c>
      <c r="AQ127" s="8">
        <v>4.2674427786689471</v>
      </c>
      <c r="AR127" s="14">
        <v>15.115674829114493</v>
      </c>
      <c r="AS127" s="8">
        <v>4.2674427786689488</v>
      </c>
      <c r="AT127" s="14">
        <v>15.115674829114491</v>
      </c>
      <c r="AU127" s="8">
        <v>4.2674427786689506</v>
      </c>
      <c r="AV127" s="14">
        <v>15.115674829114491</v>
      </c>
      <c r="AW127" s="8">
        <v>4.2674427786689524</v>
      </c>
      <c r="AX127" s="14">
        <v>15.115674829114491</v>
      </c>
      <c r="AY127" s="8">
        <v>4.2674427786689542</v>
      </c>
    </row>
    <row r="128" spans="1:51">
      <c r="H128" s="7">
        <v>4.3358325359748005</v>
      </c>
      <c r="J128" s="7">
        <v>4.3463314973824918</v>
      </c>
      <c r="L128" s="7">
        <v>4.3572951989977922</v>
      </c>
      <c r="N128" s="7">
        <v>4.3687909332772401</v>
      </c>
      <c r="P128" s="7">
        <v>4.3808973001788551</v>
      </c>
      <c r="R128" s="7">
        <v>4.3937064925624911</v>
      </c>
      <c r="T128" s="7">
        <v>4.4073271182289702</v>
      </c>
      <c r="V128" s="7">
        <v>4.421887692950456</v>
      </c>
      <c r="X128" s="7">
        <v>4.437540966053942</v>
      </c>
      <c r="Z128" s="7">
        <v>4.4544692616469463</v>
      </c>
      <c r="AB128" s="7">
        <v>4.4728910160517588</v>
      </c>
      <c r="AD128" s="7">
        <v>4.4930686207007922</v>
      </c>
      <c r="AF128" s="7">
        <v>4.5153174328173122</v>
      </c>
      <c r="AH128" s="7">
        <v>4.5400151380806548</v>
      </c>
      <c r="AJ128" s="7">
        <v>4.5676089190001319</v>
      </c>
      <c r="AL128" s="7">
        <v>4.5986135533166328</v>
      </c>
      <c r="AN128" s="7">
        <v>4.6335826822704034</v>
      </c>
      <c r="AP128" s="7">
        <v>4.6730077556828267</v>
      </c>
      <c r="AR128" s="7">
        <v>4.7170287993474815</v>
      </c>
      <c r="AT128" s="7">
        <v>4.7646844519642189</v>
      </c>
      <c r="AV128" s="7">
        <v>4.8124546155053807</v>
      </c>
      <c r="AX128" s="7">
        <v>4.8603395651272399</v>
      </c>
    </row>
    <row r="129" spans="8:51">
      <c r="H129" s="8">
        <v>4.8891061931895585</v>
      </c>
      <c r="I129" s="14">
        <v>14.522980741473814</v>
      </c>
      <c r="J129" s="8">
        <v>4.8856162538616523</v>
      </c>
      <c r="K129" s="14">
        <v>14.522980741473813</v>
      </c>
      <c r="L129" s="8">
        <v>4.8843251708854982</v>
      </c>
      <c r="M129" s="14">
        <v>14.522980741473813</v>
      </c>
      <c r="N129" s="8">
        <v>4.8843251708854964</v>
      </c>
      <c r="O129" s="14">
        <v>14.522980741473811</v>
      </c>
      <c r="P129" s="8">
        <v>4.8843251708854982</v>
      </c>
      <c r="Q129" s="14">
        <v>14.522980741473813</v>
      </c>
      <c r="R129" s="8">
        <v>4.8843251708854982</v>
      </c>
      <c r="S129" s="14">
        <v>14.522980741473809</v>
      </c>
      <c r="T129" s="8">
        <v>4.8843251708855</v>
      </c>
      <c r="U129" s="14">
        <v>14.522980741473809</v>
      </c>
      <c r="V129" s="8">
        <v>4.8843251708854964</v>
      </c>
      <c r="W129" s="14">
        <v>14.522980741473811</v>
      </c>
      <c r="X129" s="8">
        <v>4.8843251708855</v>
      </c>
      <c r="Y129" s="14">
        <v>14.522980741473811</v>
      </c>
      <c r="Z129" s="8">
        <v>4.8843251708854982</v>
      </c>
      <c r="AA129" s="14">
        <v>14.522980741473809</v>
      </c>
      <c r="AB129" s="8">
        <v>4.8843251708855</v>
      </c>
      <c r="AC129" s="14">
        <v>14.522980741473807</v>
      </c>
      <c r="AD129" s="8">
        <v>4.8843251708855018</v>
      </c>
      <c r="AE129" s="14">
        <v>14.522980741473807</v>
      </c>
      <c r="AF129" s="8">
        <v>4.8843251708855018</v>
      </c>
      <c r="AG129" s="14">
        <v>14.522980741473805</v>
      </c>
      <c r="AH129" s="8">
        <v>4.8843251708855036</v>
      </c>
      <c r="AI129" s="14">
        <v>14.522980741473805</v>
      </c>
      <c r="AJ129" s="8">
        <v>4.8843251708855036</v>
      </c>
      <c r="AK129" s="14">
        <v>14.522980741473805</v>
      </c>
      <c r="AL129" s="8">
        <v>4.8843251708855071</v>
      </c>
      <c r="AM129" s="14">
        <v>14.522980741473802</v>
      </c>
      <c r="AN129" s="8">
        <v>4.8843251708855071</v>
      </c>
      <c r="AO129" s="14">
        <v>14.522980741473802</v>
      </c>
      <c r="AP129" s="8">
        <v>4.8843251708855053</v>
      </c>
      <c r="AQ129" s="14">
        <v>14.522980741473802</v>
      </c>
      <c r="AR129" s="8">
        <v>4.8843251708855071</v>
      </c>
      <c r="AS129" s="14">
        <v>14.522980741473802</v>
      </c>
      <c r="AT129" s="8">
        <v>4.8843251708855089</v>
      </c>
      <c r="AU129" s="14">
        <v>14.522980741473802</v>
      </c>
      <c r="AV129" s="8">
        <v>4.8843251708855089</v>
      </c>
      <c r="AW129" s="14">
        <v>14.522980741473802</v>
      </c>
      <c r="AX129" s="8">
        <v>4.8843251708855089</v>
      </c>
      <c r="AY129" s="14">
        <v>14.522980741473798</v>
      </c>
    </row>
    <row r="130" spans="8:51">
      <c r="I130" s="7">
        <v>4.814440175726042</v>
      </c>
      <c r="K130" s="7">
        <v>4.8312166721774465</v>
      </c>
      <c r="M130" s="7">
        <v>4.8486914549340225</v>
      </c>
      <c r="O130" s="7">
        <v>4.8669447960608236</v>
      </c>
      <c r="Q130" s="7">
        <v>4.8860683294236518</v>
      </c>
      <c r="S130" s="7">
        <v>4.9061668779343108</v>
      </c>
      <c r="U130" s="7">
        <v>4.9273605503957114</v>
      </c>
      <c r="W130" s="7">
        <v>4.9497870994786064</v>
      </c>
      <c r="Y130" s="7">
        <v>4.9736044783018674</v>
      </c>
      <c r="AA130" s="7">
        <v>4.9989934227553405</v>
      </c>
      <c r="AC130" s="7">
        <v>5.0261596675844107</v>
      </c>
      <c r="AE130" s="7">
        <v>5.0553349736107789</v>
      </c>
      <c r="AG130" s="7">
        <v>5.0867752980647714</v>
      </c>
      <c r="AI130" s="7">
        <v>5.1207527752496764</v>
      </c>
      <c r="AK130" s="7">
        <v>5.1575348915848691</v>
      </c>
      <c r="AM130" s="7">
        <v>5.1973378364603153</v>
      </c>
      <c r="AO130" s="7">
        <v>5.2402291940984069</v>
      </c>
      <c r="AQ130" s="7">
        <v>5.2859379164705231</v>
      </c>
      <c r="AS130" s="7">
        <v>5.3335364166024704</v>
      </c>
      <c r="AU130" s="7">
        <v>5.3812492903281468</v>
      </c>
      <c r="AW130" s="7">
        <v>5.4290768124738369</v>
      </c>
      <c r="AY130" s="7">
        <v>5.4770192585262016</v>
      </c>
    </row>
    <row r="131" spans="8:51">
      <c r="I131" s="8">
        <v>5.4770192585261857</v>
      </c>
      <c r="J131" s="14">
        <v>13.953526521420617</v>
      </c>
      <c r="K131" s="8">
        <v>5.4770192585261874</v>
      </c>
      <c r="L131" s="14">
        <v>13.953526521420617</v>
      </c>
      <c r="M131" s="8">
        <v>5.4770192585261874</v>
      </c>
      <c r="N131" s="14">
        <v>13.953526521420613</v>
      </c>
      <c r="O131" s="8">
        <v>5.4770192585261892</v>
      </c>
      <c r="P131" s="14">
        <v>13.953526521420615</v>
      </c>
      <c r="Q131" s="8">
        <v>5.4770192585261874</v>
      </c>
      <c r="R131" s="14">
        <v>13.953526521420613</v>
      </c>
      <c r="S131" s="8">
        <v>5.477019258526191</v>
      </c>
      <c r="T131" s="14">
        <v>13.953526521420613</v>
      </c>
      <c r="U131" s="8">
        <v>5.477019258526191</v>
      </c>
      <c r="V131" s="14">
        <v>13.953526521420612</v>
      </c>
      <c r="W131" s="8">
        <v>5.4770192585261892</v>
      </c>
      <c r="X131" s="14">
        <v>13.953526521420615</v>
      </c>
      <c r="Y131" s="8">
        <v>5.4770192585261892</v>
      </c>
      <c r="Z131" s="14">
        <v>13.953526521420612</v>
      </c>
      <c r="AA131" s="8">
        <v>5.477019258526191</v>
      </c>
      <c r="AB131" s="14">
        <v>13.953526521420612</v>
      </c>
      <c r="AC131" s="8">
        <v>5.4770192585261928</v>
      </c>
      <c r="AD131" s="14">
        <v>13.953526521420612</v>
      </c>
      <c r="AE131" s="8">
        <v>5.4770192585261928</v>
      </c>
      <c r="AF131" s="14">
        <v>13.95352652142061</v>
      </c>
      <c r="AG131" s="8">
        <v>5.4770192585261945</v>
      </c>
      <c r="AH131" s="14">
        <v>13.95352652142061</v>
      </c>
      <c r="AI131" s="8">
        <v>5.4770192585261945</v>
      </c>
      <c r="AJ131" s="14">
        <v>13.953526521420608</v>
      </c>
      <c r="AK131" s="8">
        <v>5.4770192585261945</v>
      </c>
      <c r="AL131" s="14">
        <v>13.953526521420608</v>
      </c>
      <c r="AM131" s="8">
        <v>5.4770192585261981</v>
      </c>
      <c r="AN131" s="14">
        <v>13.953526521420606</v>
      </c>
      <c r="AO131" s="8">
        <v>5.4770192585261981</v>
      </c>
      <c r="AP131" s="14">
        <v>13.953526521420605</v>
      </c>
      <c r="AQ131" s="8">
        <v>5.4770192585261981</v>
      </c>
      <c r="AR131" s="14">
        <v>13.953526521420606</v>
      </c>
      <c r="AS131" s="8">
        <v>5.4770192585261981</v>
      </c>
      <c r="AT131" s="14">
        <v>13.953526521420605</v>
      </c>
      <c r="AU131" s="8">
        <v>5.4770192585261981</v>
      </c>
      <c r="AV131" s="14">
        <v>13.953526521420605</v>
      </c>
      <c r="AW131" s="8">
        <v>5.4770192585261981</v>
      </c>
      <c r="AX131" s="14">
        <v>13.953526521420605</v>
      </c>
      <c r="AY131" s="8">
        <v>5.4770192585262016</v>
      </c>
    </row>
    <row r="132" spans="8:51">
      <c r="J132" s="7">
        <v>5.3036962232575249</v>
      </c>
      <c r="L132" s="7">
        <v>5.3264437902613802</v>
      </c>
      <c r="N132" s="7">
        <v>5.3500609540224104</v>
      </c>
      <c r="P132" s="7">
        <v>5.3746298872541214</v>
      </c>
      <c r="R132" s="7">
        <v>5.4002418757998853</v>
      </c>
      <c r="T132" s="7">
        <v>5.4269981353941663</v>
      </c>
      <c r="V132" s="7">
        <v>5.4550104891668463</v>
      </c>
      <c r="X132" s="7">
        <v>5.4844017239325433</v>
      </c>
      <c r="Z132" s="7">
        <v>5.5153053119995565</v>
      </c>
      <c r="AB132" s="7">
        <v>5.547863964641861</v>
      </c>
      <c r="AD132" s="7">
        <v>5.5822261129300692</v>
      </c>
      <c r="AF132" s="7">
        <v>5.6185387924955776</v>
      </c>
      <c r="AH132" s="7">
        <v>5.6569343906945919</v>
      </c>
      <c r="AJ132" s="7">
        <v>5.6975071128950514</v>
      </c>
      <c r="AL132" s="7">
        <v>5.7402728008662551</v>
      </c>
      <c r="AN132" s="7">
        <v>5.7851038906307277</v>
      </c>
      <c r="AP132" s="7">
        <v>5.8316356908523632</v>
      </c>
      <c r="AR132" s="7">
        <v>5.8791771070413672</v>
      </c>
      <c r="AT132" s="7">
        <v>5.9268327596581045</v>
      </c>
      <c r="AV132" s="7">
        <v>5.9746029231992663</v>
      </c>
      <c r="AX132" s="7">
        <v>6.0224878728211255</v>
      </c>
    </row>
    <row r="133" spans="8:51">
      <c r="J133" s="8">
        <v>6.046473478579383</v>
      </c>
      <c r="K133" s="14">
        <v>13.406400920712782</v>
      </c>
      <c r="L133" s="8">
        <v>6.046473478579383</v>
      </c>
      <c r="M133" s="14">
        <v>13.406400920712779</v>
      </c>
      <c r="N133" s="8">
        <v>6.0464734785793866</v>
      </c>
      <c r="O133" s="14">
        <v>13.406400920712779</v>
      </c>
      <c r="P133" s="8">
        <v>6.0464734785793848</v>
      </c>
      <c r="Q133" s="14">
        <v>13.406400920712779</v>
      </c>
      <c r="R133" s="8">
        <v>6.0464734785793866</v>
      </c>
      <c r="S133" s="14">
        <v>13.40640092071278</v>
      </c>
      <c r="T133" s="8">
        <v>6.0464734785793866</v>
      </c>
      <c r="U133" s="14">
        <v>13.406400920712777</v>
      </c>
      <c r="V133" s="8">
        <v>6.0464734785793883</v>
      </c>
      <c r="W133" s="14">
        <v>13.406400920712779</v>
      </c>
      <c r="X133" s="8">
        <v>6.0464734785793848</v>
      </c>
      <c r="Y133" s="14">
        <v>13.406400920712779</v>
      </c>
      <c r="Z133" s="8">
        <v>6.0464734785793883</v>
      </c>
      <c r="AA133" s="14">
        <v>13.406400920712777</v>
      </c>
      <c r="AB133" s="8">
        <v>6.0464734785793883</v>
      </c>
      <c r="AC133" s="14">
        <v>13.406400920712777</v>
      </c>
      <c r="AD133" s="8">
        <v>6.0464734785793883</v>
      </c>
      <c r="AE133" s="14">
        <v>13.406400920712775</v>
      </c>
      <c r="AF133" s="8">
        <v>6.0464734785793901</v>
      </c>
      <c r="AG133" s="14">
        <v>13.406400920712775</v>
      </c>
      <c r="AH133" s="8">
        <v>6.0464734785793901</v>
      </c>
      <c r="AI133" s="14">
        <v>13.406400920712773</v>
      </c>
      <c r="AJ133" s="8">
        <v>6.0464734785793919</v>
      </c>
      <c r="AK133" s="14">
        <v>13.406400920712773</v>
      </c>
      <c r="AL133" s="8">
        <v>6.0464734785793919</v>
      </c>
      <c r="AM133" s="14">
        <v>13.406400920712773</v>
      </c>
      <c r="AN133" s="8">
        <v>6.0464734785793937</v>
      </c>
      <c r="AO133" s="14">
        <v>13.40640092071277</v>
      </c>
      <c r="AP133" s="8">
        <v>6.0464734785793954</v>
      </c>
      <c r="AQ133" s="14">
        <v>13.40640092071277</v>
      </c>
      <c r="AR133" s="8">
        <v>6.0464734785793937</v>
      </c>
      <c r="AS133" s="14">
        <v>13.406400920712771</v>
      </c>
      <c r="AT133" s="8">
        <v>6.0464734785793954</v>
      </c>
      <c r="AU133" s="14">
        <v>13.406400920712771</v>
      </c>
      <c r="AV133" s="8">
        <v>6.0464734785793954</v>
      </c>
      <c r="AW133" s="14">
        <v>13.40640092071277</v>
      </c>
      <c r="AX133" s="8">
        <v>6.0464734785793954</v>
      </c>
      <c r="AY133" s="14">
        <v>13.40640092071277</v>
      </c>
    </row>
    <row r="134" spans="8:51">
      <c r="K134" s="7">
        <v>5.7985983593797341</v>
      </c>
      <c r="M134" s="7">
        <v>5.8267805472769485</v>
      </c>
      <c r="O134" s="7">
        <v>5.8559273212371501</v>
      </c>
      <c r="Q134" s="7">
        <v>5.8861114007712354</v>
      </c>
      <c r="S134" s="7">
        <v>5.9174104822626994</v>
      </c>
      <c r="U134" s="7">
        <v>5.9499067517328275</v>
      </c>
      <c r="W134" s="7">
        <v>5.9836858495236713</v>
      </c>
      <c r="Y134" s="7">
        <v>6.0188349826534697</v>
      </c>
      <c r="AA134" s="7">
        <v>6.0554397275747327</v>
      </c>
      <c r="AC134" s="7">
        <v>6.0935788434379239</v>
      </c>
      <c r="AE134" s="7">
        <v>6.1333161060322414</v>
      </c>
      <c r="AG134" s="7">
        <v>6.1746877828061706</v>
      </c>
      <c r="AI134" s="7">
        <v>6.2176840085208074</v>
      </c>
      <c r="AK134" s="7">
        <v>6.2622224309018106</v>
      </c>
      <c r="AM134" s="7">
        <v>6.3081145299189494</v>
      </c>
      <c r="AO134" s="7">
        <v>6.3550333365258451</v>
      </c>
      <c r="AQ134" s="7">
        <v>6.4025177372315545</v>
      </c>
      <c r="AS134" s="7">
        <v>6.4501162373635008</v>
      </c>
      <c r="AU134" s="7">
        <v>6.4978291110891764</v>
      </c>
      <c r="AW134" s="7">
        <v>6.5456566332348665</v>
      </c>
      <c r="AY134" s="7">
        <v>6.5935990792872303</v>
      </c>
    </row>
    <row r="135" spans="8:51">
      <c r="K135" s="8">
        <v>6.5935990792872179</v>
      </c>
      <c r="L135" s="14">
        <v>12.880728421662822</v>
      </c>
      <c r="M135" s="8">
        <v>6.5935990792872214</v>
      </c>
      <c r="N135" s="14">
        <v>12.880728421662822</v>
      </c>
      <c r="O135" s="8">
        <v>6.5935990792872214</v>
      </c>
      <c r="P135" s="14">
        <v>12.88072842166282</v>
      </c>
      <c r="Q135" s="8">
        <v>6.5935990792872214</v>
      </c>
      <c r="R135" s="14">
        <v>12.88072842166282</v>
      </c>
      <c r="S135" s="8">
        <v>6.5935990792872197</v>
      </c>
      <c r="T135" s="14">
        <v>12.88072842166282</v>
      </c>
      <c r="U135" s="8">
        <v>6.5935990792872232</v>
      </c>
      <c r="V135" s="14">
        <v>12.88072842166282</v>
      </c>
      <c r="W135" s="8">
        <v>6.5935990792872214</v>
      </c>
      <c r="X135" s="14">
        <v>12.880728421662818</v>
      </c>
      <c r="Y135" s="8">
        <v>6.5935990792872214</v>
      </c>
      <c r="Z135" s="14">
        <v>12.88072842166282</v>
      </c>
      <c r="AA135" s="8">
        <v>6.5935990792872232</v>
      </c>
      <c r="AB135" s="14">
        <v>12.880728421662818</v>
      </c>
      <c r="AC135" s="8">
        <v>6.5935990792872232</v>
      </c>
      <c r="AD135" s="14">
        <v>12.880728421662818</v>
      </c>
      <c r="AE135" s="8">
        <v>6.593599079287225</v>
      </c>
      <c r="AF135" s="14">
        <v>12.880728421662816</v>
      </c>
      <c r="AG135" s="8">
        <v>6.593599079287225</v>
      </c>
      <c r="AH135" s="14">
        <v>12.880728421662814</v>
      </c>
      <c r="AI135" s="8">
        <v>6.5935990792872268</v>
      </c>
      <c r="AJ135" s="14">
        <v>12.880728421662814</v>
      </c>
      <c r="AK135" s="8">
        <v>6.5935990792872268</v>
      </c>
      <c r="AL135" s="14">
        <v>12.880728421662814</v>
      </c>
      <c r="AM135" s="8">
        <v>6.5935990792872268</v>
      </c>
      <c r="AN135" s="14">
        <v>12.880728421662814</v>
      </c>
      <c r="AO135" s="8">
        <v>6.5935990792872303</v>
      </c>
      <c r="AP135" s="14">
        <v>12.880728421662811</v>
      </c>
      <c r="AQ135" s="8">
        <v>6.5935990792872303</v>
      </c>
      <c r="AR135" s="14">
        <v>12.880728421662811</v>
      </c>
      <c r="AS135" s="8">
        <v>6.5935990792872285</v>
      </c>
      <c r="AT135" s="14">
        <v>12.880728421662813</v>
      </c>
      <c r="AU135" s="8">
        <v>6.5935990792872285</v>
      </c>
      <c r="AV135" s="14">
        <v>12.880728421662811</v>
      </c>
      <c r="AW135" s="8">
        <v>6.5935990792872303</v>
      </c>
      <c r="AX135" s="14">
        <v>12.880728421662811</v>
      </c>
      <c r="AY135" s="8">
        <v>6.5935990792872303</v>
      </c>
    </row>
    <row r="136" spans="8:51">
      <c r="L136" s="7">
        <v>6.2943694381096513</v>
      </c>
      <c r="N136" s="7">
        <v>6.3272773532211648</v>
      </c>
      <c r="P136" s="7">
        <v>6.3611652700643981</v>
      </c>
      <c r="R136" s="7">
        <v>6.3960871426581143</v>
      </c>
      <c r="T136" s="7">
        <v>6.4320968607586746</v>
      </c>
      <c r="V136" s="7">
        <v>6.4692465731440194</v>
      </c>
      <c r="X136" s="7">
        <v>6.5075842300296394</v>
      </c>
      <c r="Z136" s="7">
        <v>6.5471500488357561</v>
      </c>
      <c r="AB136" s="7">
        <v>6.5879715230626168</v>
      </c>
      <c r="AD136" s="7">
        <v>6.6300565216739455</v>
      </c>
      <c r="AF136" s="7">
        <v>6.6733840311497925</v>
      </c>
      <c r="AH136" s="7">
        <v>6.7178923427044017</v>
      </c>
      <c r="AJ136" s="7">
        <v>6.763465391434373</v>
      </c>
      <c r="AL136" s="7">
        <v>6.8099204450005875</v>
      </c>
      <c r="AN136" s="7">
        <v>6.8570063370101959</v>
      </c>
      <c r="AP136" s="7">
        <v>6.9044337906101552</v>
      </c>
      <c r="AR136" s="7">
        <v>6.9519752067991591</v>
      </c>
      <c r="AT136" s="7">
        <v>6.9996308594158965</v>
      </c>
      <c r="AV136" s="7">
        <v>7.0474010229570565</v>
      </c>
      <c r="AX136" s="7">
        <v>7.0952859725789166</v>
      </c>
    </row>
    <row r="137" spans="8:51">
      <c r="L137" s="8">
        <v>7.1192715783371785</v>
      </c>
      <c r="M137" s="14">
        <v>12.375667836122812</v>
      </c>
      <c r="N137" s="8">
        <v>7.1192715783371785</v>
      </c>
      <c r="O137" s="14">
        <v>12.37566783612281</v>
      </c>
      <c r="P137" s="8">
        <v>7.1192715783371803</v>
      </c>
      <c r="Q137" s="14">
        <v>12.37566783612281</v>
      </c>
      <c r="R137" s="8">
        <v>7.1192715783371803</v>
      </c>
      <c r="S137" s="14">
        <v>12.37566783612281</v>
      </c>
      <c r="T137" s="8">
        <v>7.1192715783371803</v>
      </c>
      <c r="U137" s="14">
        <v>12.37566783612281</v>
      </c>
      <c r="V137" s="8">
        <v>7.1192715783371803</v>
      </c>
      <c r="W137" s="14">
        <v>12.375667836122808</v>
      </c>
      <c r="X137" s="8">
        <v>7.119271578337182</v>
      </c>
      <c r="Y137" s="14">
        <v>12.375667836122807</v>
      </c>
      <c r="Z137" s="8">
        <v>7.1192715783371803</v>
      </c>
      <c r="AA137" s="14">
        <v>12.37566783612281</v>
      </c>
      <c r="AB137" s="8">
        <v>7.119271578337182</v>
      </c>
      <c r="AC137" s="14">
        <v>12.375667836122808</v>
      </c>
      <c r="AD137" s="8">
        <v>7.119271578337182</v>
      </c>
      <c r="AE137" s="14">
        <v>12.375667836122808</v>
      </c>
      <c r="AF137" s="8">
        <v>7.1192715783371838</v>
      </c>
      <c r="AG137" s="14">
        <v>12.375667836122807</v>
      </c>
      <c r="AH137" s="8">
        <v>7.1192715783371856</v>
      </c>
      <c r="AI137" s="14">
        <v>12.375667836122805</v>
      </c>
      <c r="AJ137" s="8">
        <v>7.1192715783371856</v>
      </c>
      <c r="AK137" s="14">
        <v>12.375667836122805</v>
      </c>
      <c r="AL137" s="8">
        <v>7.1192715783371856</v>
      </c>
      <c r="AM137" s="14">
        <v>12.375667836122805</v>
      </c>
      <c r="AN137" s="8">
        <v>7.1192715783371856</v>
      </c>
      <c r="AO137" s="14">
        <v>12.375667836122805</v>
      </c>
      <c r="AP137" s="8">
        <v>7.1192715783371892</v>
      </c>
      <c r="AQ137" s="14">
        <v>12.375667836122801</v>
      </c>
      <c r="AR137" s="8">
        <v>7.1192715783371892</v>
      </c>
      <c r="AS137" s="14">
        <v>12.375667836122801</v>
      </c>
      <c r="AT137" s="8">
        <v>7.1192715783371874</v>
      </c>
      <c r="AU137" s="14">
        <v>12.375667836122803</v>
      </c>
      <c r="AV137" s="8">
        <v>7.1192715783371892</v>
      </c>
      <c r="AW137" s="14">
        <v>12.375667836122803</v>
      </c>
      <c r="AX137" s="8">
        <v>7.1192715783371892</v>
      </c>
      <c r="AY137" s="14">
        <v>12.375667836122801</v>
      </c>
    </row>
    <row r="138" spans="8:51">
      <c r="M138" s="7">
        <v>6.7866850906658058</v>
      </c>
      <c r="O138" s="7">
        <v>6.8235100524936065</v>
      </c>
      <c r="Q138" s="7">
        <v>6.8612589302942109</v>
      </c>
      <c r="S138" s="7">
        <v>6.8999615863418695</v>
      </c>
      <c r="U138" s="7">
        <v>6.9396431724766181</v>
      </c>
      <c r="W138" s="7">
        <v>6.980321794947888</v>
      </c>
      <c r="Y138" s="7">
        <v>7.0220054694009164</v>
      </c>
      <c r="AA138" s="7">
        <v>7.0646882342633397</v>
      </c>
      <c r="AC138" s="7">
        <v>7.1083453470817721</v>
      </c>
      <c r="AE138" s="7">
        <v>7.1529276582061421</v>
      </c>
      <c r="AG138" s="7">
        <v>7.1983556635026797</v>
      </c>
      <c r="AI138" s="7">
        <v>7.2445146122652098</v>
      </c>
      <c r="AK138" s="7">
        <v>7.2912537634844616</v>
      </c>
      <c r="AM138" s="7">
        <v>7.3383958463260628</v>
      </c>
      <c r="AO138" s="7">
        <v>7.3857664211158127</v>
      </c>
      <c r="AQ138" s="7">
        <v>7.4332508218215212</v>
      </c>
      <c r="AS138" s="7">
        <v>7.4808493219534666</v>
      </c>
      <c r="AU138" s="7">
        <v>7.528562195679144</v>
      </c>
      <c r="AW138" s="7">
        <v>7.5763897178248332</v>
      </c>
      <c r="AY138" s="7">
        <v>7.6243321638771988</v>
      </c>
    </row>
    <row r="139" spans="8:51">
      <c r="M139" s="8">
        <v>7.6243321638771882</v>
      </c>
      <c r="N139" s="14">
        <v>11.89041095940388</v>
      </c>
      <c r="O139" s="8">
        <v>7.6243321638771899</v>
      </c>
      <c r="P139" s="14">
        <v>11.890410959403882</v>
      </c>
      <c r="Q139" s="8">
        <v>7.6243321638771899</v>
      </c>
      <c r="R139" s="14">
        <v>11.89041095940388</v>
      </c>
      <c r="S139" s="8">
        <v>7.6243321638771899</v>
      </c>
      <c r="T139" s="14">
        <v>11.89041095940388</v>
      </c>
      <c r="U139" s="8">
        <v>7.6243321638771899</v>
      </c>
      <c r="V139" s="14">
        <v>11.89041095940388</v>
      </c>
      <c r="W139" s="8">
        <v>7.6243321638771917</v>
      </c>
      <c r="X139" s="14">
        <v>11.890410959403878</v>
      </c>
      <c r="Y139" s="8">
        <v>7.6243321638771935</v>
      </c>
      <c r="Z139" s="14">
        <v>11.890410959403878</v>
      </c>
      <c r="AA139" s="8">
        <v>7.6243321638771899</v>
      </c>
      <c r="AB139" s="14">
        <v>11.890410959403878</v>
      </c>
      <c r="AC139" s="8">
        <v>7.6243321638771917</v>
      </c>
      <c r="AD139" s="14">
        <v>11.890410959403878</v>
      </c>
      <c r="AE139" s="8">
        <v>7.6243321638771917</v>
      </c>
      <c r="AF139" s="14">
        <v>11.890410959403876</v>
      </c>
      <c r="AG139" s="8">
        <v>7.6243321638771935</v>
      </c>
      <c r="AH139" s="14">
        <v>11.890410959403876</v>
      </c>
      <c r="AI139" s="8">
        <v>7.6243321638771953</v>
      </c>
      <c r="AJ139" s="14">
        <v>11.890410959403876</v>
      </c>
      <c r="AK139" s="8">
        <v>7.6243321638771953</v>
      </c>
      <c r="AL139" s="14">
        <v>11.890410959403875</v>
      </c>
      <c r="AM139" s="8">
        <v>7.6243321638771953</v>
      </c>
      <c r="AN139" s="14">
        <v>11.890410959403875</v>
      </c>
      <c r="AO139" s="8">
        <v>7.6243321638771953</v>
      </c>
      <c r="AP139" s="14">
        <v>11.890410959403875</v>
      </c>
      <c r="AQ139" s="8">
        <v>7.6243321638771988</v>
      </c>
      <c r="AR139" s="14">
        <v>11.890410959403873</v>
      </c>
      <c r="AS139" s="8">
        <v>7.6243321638771988</v>
      </c>
      <c r="AT139" s="14">
        <v>11.890410959403871</v>
      </c>
      <c r="AU139" s="8">
        <v>7.624332163877197</v>
      </c>
      <c r="AV139" s="14">
        <v>11.890410959403873</v>
      </c>
      <c r="AW139" s="8">
        <v>7.624332163877197</v>
      </c>
      <c r="AX139" s="14">
        <v>11.890410959403871</v>
      </c>
      <c r="AY139" s="8">
        <v>7.6243321638771988</v>
      </c>
    </row>
    <row r="140" spans="8:51">
      <c r="N140" s="7">
        <v>7.2718483266401437</v>
      </c>
      <c r="P140" s="7">
        <v>7.3117590709952136</v>
      </c>
      <c r="R140" s="7">
        <v>7.3524837068439011</v>
      </c>
      <c r="T140" s="7">
        <v>7.3940276553912057</v>
      </c>
      <c r="V140" s="7">
        <v>7.4363885864601045</v>
      </c>
      <c r="X140" s="7">
        <v>7.4795542025747936</v>
      </c>
      <c r="Z140" s="7">
        <v>7.5234996856758141</v>
      </c>
      <c r="AB140" s="7">
        <v>7.5681849279319939</v>
      </c>
      <c r="AD140" s="7">
        <v>7.6135518557946895</v>
      </c>
      <c r="AF140" s="7">
        <v>7.6595224951258603</v>
      </c>
      <c r="AH140" s="7">
        <v>7.7059989936261903</v>
      </c>
      <c r="AJ140" s="7">
        <v>7.7528676630160795</v>
      </c>
      <c r="AL140" s="7">
        <v>7.8000100350759567</v>
      </c>
      <c r="AN140" s="7">
        <v>7.8473237992691356</v>
      </c>
      <c r="AP140" s="7">
        <v>7.8947512528690948</v>
      </c>
      <c r="AR140" s="7">
        <v>7.9422926690580979</v>
      </c>
      <c r="AT140" s="7">
        <v>7.9899483216748344</v>
      </c>
      <c r="AV140" s="7">
        <v>8.0377184852159971</v>
      </c>
      <c r="AX140" s="7">
        <v>8.0856034348378554</v>
      </c>
    </row>
    <row r="141" spans="8:51">
      <c r="N141" s="8">
        <v>8.10958904059612</v>
      </c>
      <c r="O141" s="14">
        <v>11.424181276976293</v>
      </c>
      <c r="P141" s="8">
        <v>8.1095890405961182</v>
      </c>
      <c r="Q141" s="14">
        <v>11.424181276976292</v>
      </c>
      <c r="R141" s="8">
        <v>8.10958904059612</v>
      </c>
      <c r="S141" s="14">
        <v>11.424181276976292</v>
      </c>
      <c r="T141" s="8">
        <v>8.10958904059612</v>
      </c>
      <c r="U141" s="14">
        <v>11.42418127697629</v>
      </c>
      <c r="V141" s="8">
        <v>8.10958904059612</v>
      </c>
      <c r="W141" s="14">
        <v>11.42418127697629</v>
      </c>
      <c r="X141" s="8">
        <v>8.1095890405961217</v>
      </c>
      <c r="Y141" s="14">
        <v>11.42418127697629</v>
      </c>
      <c r="Z141" s="8">
        <v>8.1095890405961217</v>
      </c>
      <c r="AA141" s="14">
        <v>11.424181276976288</v>
      </c>
      <c r="AB141" s="8">
        <v>8.1095890405961217</v>
      </c>
      <c r="AC141" s="14">
        <v>11.42418127697629</v>
      </c>
      <c r="AD141" s="8">
        <v>8.1095890405961217</v>
      </c>
      <c r="AE141" s="14">
        <v>11.424181276976288</v>
      </c>
      <c r="AF141" s="8">
        <v>8.1095890405961235</v>
      </c>
      <c r="AG141" s="14">
        <v>11.424181276976288</v>
      </c>
      <c r="AH141" s="8">
        <v>8.1095890405961235</v>
      </c>
      <c r="AI141" s="14">
        <v>11.424181276976288</v>
      </c>
      <c r="AJ141" s="8">
        <v>8.1095890405961235</v>
      </c>
      <c r="AK141" s="14">
        <v>11.424181276976286</v>
      </c>
      <c r="AL141" s="8">
        <v>8.1095890405961253</v>
      </c>
      <c r="AM141" s="14">
        <v>11.424181276976284</v>
      </c>
      <c r="AN141" s="8">
        <v>8.1095890405961253</v>
      </c>
      <c r="AO141" s="14">
        <v>11.424181276976284</v>
      </c>
      <c r="AP141" s="8">
        <v>8.1095890405961253</v>
      </c>
      <c r="AQ141" s="14">
        <v>11.424181276976286</v>
      </c>
      <c r="AR141" s="8">
        <v>8.1095890405961271</v>
      </c>
      <c r="AS141" s="14">
        <v>11.424181276976283</v>
      </c>
      <c r="AT141" s="8">
        <v>8.1095890405961288</v>
      </c>
      <c r="AU141" s="14">
        <v>11.424181276976283</v>
      </c>
      <c r="AV141" s="8">
        <v>8.1095890405961271</v>
      </c>
      <c r="AW141" s="14">
        <v>11.424181276976283</v>
      </c>
      <c r="AX141" s="8">
        <v>8.1095890405961288</v>
      </c>
      <c r="AY141" s="14">
        <v>11.424181276976284</v>
      </c>
    </row>
    <row r="142" spans="8:51">
      <c r="O142" s="7">
        <v>7.7468950619284644</v>
      </c>
      <c r="Q142" s="7">
        <v>7.7891082154389908</v>
      </c>
      <c r="S142" s="7">
        <v>7.8319945183577619</v>
      </c>
      <c r="U142" s="7">
        <v>7.8755392752962923</v>
      </c>
      <c r="W142" s="7">
        <v>7.9197193006132327</v>
      </c>
      <c r="Y142" s="7">
        <v>7.9645015429901278</v>
      </c>
      <c r="AA142" s="7">
        <v>8.0098418862518717</v>
      </c>
      <c r="AC142" s="7">
        <v>8.0556844490898492</v>
      </c>
      <c r="AE142" s="7">
        <v>8.1019619126746711</v>
      </c>
      <c r="AG142" s="7">
        <v>8.1485976746684887</v>
      </c>
      <c r="AI142" s="7">
        <v>8.1955108856345937</v>
      </c>
      <c r="AK142" s="7">
        <v>8.2426253837441461</v>
      </c>
      <c r="AM142" s="7">
        <v>8.2898824054725804</v>
      </c>
      <c r="AO142" s="7">
        <v>8.3372529802623294</v>
      </c>
      <c r="AQ142" s="7">
        <v>8.3847373809680406</v>
      </c>
      <c r="AS142" s="7">
        <v>8.432335881099986</v>
      </c>
      <c r="AU142" s="7">
        <v>8.4800487548256616</v>
      </c>
      <c r="AW142" s="7">
        <v>8.5278762769713516</v>
      </c>
      <c r="AY142" s="7">
        <v>8.5758187230237155</v>
      </c>
    </row>
    <row r="143" spans="8:51">
      <c r="O143" s="8">
        <v>8.5758187230237066</v>
      </c>
      <c r="P143" s="14">
        <v>10.976232721880523</v>
      </c>
      <c r="Q143" s="8">
        <v>8.5758187230237084</v>
      </c>
      <c r="R143" s="14">
        <v>10.976232721880523</v>
      </c>
      <c r="S143" s="8">
        <v>8.5758187230237084</v>
      </c>
      <c r="T143" s="14">
        <v>10.976232721880521</v>
      </c>
      <c r="U143" s="8">
        <v>8.5758187230237102</v>
      </c>
      <c r="V143" s="14">
        <v>10.976232721880521</v>
      </c>
      <c r="W143" s="8">
        <v>8.5758187230237102</v>
      </c>
      <c r="X143" s="14">
        <v>10.976232721880521</v>
      </c>
      <c r="Y143" s="8">
        <v>8.5758187230237102</v>
      </c>
      <c r="Z143" s="14">
        <v>10.976232721880519</v>
      </c>
      <c r="AA143" s="8">
        <v>8.575818723023712</v>
      </c>
      <c r="AB143" s="14">
        <v>10.976232721880519</v>
      </c>
      <c r="AC143" s="8">
        <v>8.5758187230237102</v>
      </c>
      <c r="AD143" s="14">
        <v>10.976232721880519</v>
      </c>
      <c r="AE143" s="8">
        <v>8.575818723023712</v>
      </c>
      <c r="AF143" s="14">
        <v>10.976232721880519</v>
      </c>
      <c r="AG143" s="8">
        <v>8.575818723023712</v>
      </c>
      <c r="AH143" s="14">
        <v>10.976232721880519</v>
      </c>
      <c r="AI143" s="8">
        <v>8.575818723023712</v>
      </c>
      <c r="AJ143" s="14">
        <v>10.976232721880518</v>
      </c>
      <c r="AK143" s="8">
        <v>8.5758187230237137</v>
      </c>
      <c r="AL143" s="14">
        <v>10.976232721880518</v>
      </c>
      <c r="AM143" s="8">
        <v>8.5758187230237155</v>
      </c>
      <c r="AN143" s="14">
        <v>10.976232721880516</v>
      </c>
      <c r="AO143" s="8">
        <v>8.5758187230237155</v>
      </c>
      <c r="AP143" s="14">
        <v>10.976232721880518</v>
      </c>
      <c r="AQ143" s="8">
        <v>8.5758187230237137</v>
      </c>
      <c r="AR143" s="14">
        <v>10.976232721880516</v>
      </c>
      <c r="AS143" s="8">
        <v>8.5758187230237173</v>
      </c>
      <c r="AT143" s="14">
        <v>10.976232721880514</v>
      </c>
      <c r="AU143" s="8">
        <v>8.5758187230237173</v>
      </c>
      <c r="AV143" s="14">
        <v>10.976232721880514</v>
      </c>
      <c r="AW143" s="8">
        <v>8.5758187230237173</v>
      </c>
      <c r="AX143" s="14">
        <v>10.976232721880516</v>
      </c>
      <c r="AY143" s="8">
        <v>8.5758187230237155</v>
      </c>
    </row>
    <row r="144" spans="8:51">
      <c r="P144" s="7">
        <v>8.2096247943152694</v>
      </c>
      <c r="R144" s="7">
        <v>8.2534589726909147</v>
      </c>
      <c r="T144" s="7">
        <v>8.2978188134893873</v>
      </c>
      <c r="V144" s="7">
        <v>8.3426769703417616</v>
      </c>
      <c r="X144" s="7">
        <v>8.3879990929546153</v>
      </c>
      <c r="Z144" s="7">
        <v>8.4337436500356286</v>
      </c>
      <c r="AB144" s="7">
        <v>8.4798623289716151</v>
      </c>
      <c r="AD144" s="7">
        <v>8.5263013494854558</v>
      </c>
      <c r="AF144" s="7">
        <v>8.5730041002934669</v>
      </c>
      <c r="AH144" s="7">
        <v>8.6199154730443439</v>
      </c>
      <c r="AJ144" s="7">
        <v>8.6669879252855058</v>
      </c>
      <c r="AL144" s="7">
        <v>8.7141882725993156</v>
      </c>
      <c r="AN144" s="7">
        <v>8.7615020367924927</v>
      </c>
      <c r="AP144" s="7">
        <v>8.8089294903924511</v>
      </c>
      <c r="AR144" s="7">
        <v>8.8564709065814569</v>
      </c>
      <c r="AT144" s="7">
        <v>8.9041265591981933</v>
      </c>
      <c r="AV144" s="7">
        <v>8.9518967227393524</v>
      </c>
      <c r="AX144" s="7">
        <v>8.9997816723612125</v>
      </c>
    </row>
    <row r="145" spans="16:51">
      <c r="P145" s="8">
        <v>9.0237672781194771</v>
      </c>
      <c r="Q145" s="14">
        <v>10.545848480860966</v>
      </c>
      <c r="R145" s="8">
        <v>9.0237672781194771</v>
      </c>
      <c r="S145" s="14">
        <v>10.545848480860965</v>
      </c>
      <c r="T145" s="8">
        <v>9.0237672781194789</v>
      </c>
      <c r="U145" s="14">
        <v>10.545848480860963</v>
      </c>
      <c r="V145" s="8">
        <v>9.0237672781194789</v>
      </c>
      <c r="W145" s="14">
        <v>10.545848480860965</v>
      </c>
      <c r="X145" s="8">
        <v>9.0237672781194789</v>
      </c>
      <c r="Y145" s="14">
        <v>10.545848480860963</v>
      </c>
      <c r="Z145" s="8">
        <v>9.0237672781194807</v>
      </c>
      <c r="AA145" s="14">
        <v>10.545848480860963</v>
      </c>
      <c r="AB145" s="8">
        <v>9.0237672781194807</v>
      </c>
      <c r="AC145" s="14">
        <v>10.545848480860961</v>
      </c>
      <c r="AD145" s="8">
        <v>9.0237672781194807</v>
      </c>
      <c r="AE145" s="14">
        <v>10.545848480860963</v>
      </c>
      <c r="AF145" s="8">
        <v>9.0237672781194807</v>
      </c>
      <c r="AG145" s="14">
        <v>10.545848480860963</v>
      </c>
      <c r="AH145" s="8">
        <v>9.0237672781194807</v>
      </c>
      <c r="AI145" s="14">
        <v>10.545848480860961</v>
      </c>
      <c r="AJ145" s="8">
        <v>9.0237672781194824</v>
      </c>
      <c r="AK145" s="14">
        <v>10.545848480860961</v>
      </c>
      <c r="AL145" s="8">
        <v>9.0237672781194824</v>
      </c>
      <c r="AM145" s="14">
        <v>10.545848480860959</v>
      </c>
      <c r="AN145" s="8">
        <v>9.0237672781194842</v>
      </c>
      <c r="AO145" s="14">
        <v>10.545848480860959</v>
      </c>
      <c r="AP145" s="8">
        <v>9.0237672781194824</v>
      </c>
      <c r="AQ145" s="14">
        <v>10.545848480860959</v>
      </c>
      <c r="AR145" s="8">
        <v>9.0237672781194842</v>
      </c>
      <c r="AS145" s="14">
        <v>10.545848480860959</v>
      </c>
      <c r="AT145" s="8">
        <v>9.023767278119486</v>
      </c>
      <c r="AU145" s="14">
        <v>10.545848480860958</v>
      </c>
      <c r="AV145" s="8">
        <v>9.023767278119486</v>
      </c>
      <c r="AW145" s="14">
        <v>10.545848480860958</v>
      </c>
      <c r="AX145" s="8">
        <v>9.0237672781194842</v>
      </c>
      <c r="AY145" s="14">
        <v>10.545848480860956</v>
      </c>
    </row>
    <row r="146" spans="16:51">
      <c r="Q146" s="7">
        <v>8.6585618517451621</v>
      </c>
      <c r="S146" s="7">
        <v>8.7034694089042191</v>
      </c>
      <c r="U146" s="7">
        <v>8.7487684259116794</v>
      </c>
      <c r="W146" s="7">
        <v>8.7944272451734928</v>
      </c>
      <c r="Y146" s="7">
        <v>8.840410107821274</v>
      </c>
      <c r="AA146" s="7">
        <v>8.8866780189885386</v>
      </c>
      <c r="AC146" s="7">
        <v>8.933190270662859</v>
      </c>
      <c r="AE146" s="7">
        <v>8.9799067645191855</v>
      </c>
      <c r="AG146" s="7">
        <v>9.0267911473809406</v>
      </c>
      <c r="AI146" s="7">
        <v>9.0738144389917803</v>
      </c>
      <c r="AK146" s="7">
        <v>9.1209581798594712</v>
      </c>
      <c r="AM146" s="7">
        <v>9.1682152015879055</v>
      </c>
      <c r="AO146" s="7">
        <v>9.2155857763776563</v>
      </c>
      <c r="AQ146" s="7">
        <v>9.2630701770833657</v>
      </c>
      <c r="AS146" s="7">
        <v>9.3106686772153111</v>
      </c>
      <c r="AU146" s="7">
        <v>9.3583815509409867</v>
      </c>
      <c r="AW146" s="7">
        <v>9.4062090730866785</v>
      </c>
      <c r="AY146" s="7">
        <v>9.4541515191390442</v>
      </c>
    </row>
    <row r="147" spans="16:51">
      <c r="Q147" s="8">
        <v>9.4541515191390335</v>
      </c>
      <c r="R147" s="14">
        <v>10.132339847311787</v>
      </c>
      <c r="S147" s="8">
        <v>9.4541515191390353</v>
      </c>
      <c r="T147" s="14">
        <v>10.132339847311785</v>
      </c>
      <c r="U147" s="8">
        <v>9.4541515191390371</v>
      </c>
      <c r="V147" s="14">
        <v>10.132339847311785</v>
      </c>
      <c r="W147" s="8">
        <v>9.4541515191390353</v>
      </c>
      <c r="X147" s="14">
        <v>10.132339847311785</v>
      </c>
      <c r="Y147" s="8">
        <v>9.4541515191390371</v>
      </c>
      <c r="Z147" s="14">
        <v>10.132339847311785</v>
      </c>
      <c r="AA147" s="8">
        <v>9.4541515191390371</v>
      </c>
      <c r="AB147" s="14">
        <v>10.132339847311783</v>
      </c>
      <c r="AC147" s="8">
        <v>9.4541515191390388</v>
      </c>
      <c r="AD147" s="14">
        <v>10.132339847311782</v>
      </c>
      <c r="AE147" s="8">
        <v>9.4541515191390371</v>
      </c>
      <c r="AF147" s="14">
        <v>10.132339847311785</v>
      </c>
      <c r="AG147" s="8">
        <v>9.4541515191390371</v>
      </c>
      <c r="AH147" s="14">
        <v>10.132339847311782</v>
      </c>
      <c r="AI147" s="8">
        <v>9.4541515191390388</v>
      </c>
      <c r="AJ147" s="14">
        <v>10.132339847311782</v>
      </c>
      <c r="AK147" s="8">
        <v>9.4541515191390388</v>
      </c>
      <c r="AL147" s="14">
        <v>10.132339847311782</v>
      </c>
      <c r="AM147" s="8">
        <v>9.4541515191390406</v>
      </c>
      <c r="AN147" s="14">
        <v>10.132339847311782</v>
      </c>
      <c r="AO147" s="8">
        <v>9.4541515191390406</v>
      </c>
      <c r="AP147" s="14">
        <v>10.13233984731178</v>
      </c>
      <c r="AQ147" s="8">
        <v>9.4541515191390406</v>
      </c>
      <c r="AR147" s="14">
        <v>10.13233984731178</v>
      </c>
      <c r="AS147" s="8">
        <v>9.4541515191390406</v>
      </c>
      <c r="AT147" s="14">
        <v>10.13233984731178</v>
      </c>
      <c r="AU147" s="8">
        <v>9.4541515191390424</v>
      </c>
      <c r="AV147" s="14">
        <v>10.13233984731178</v>
      </c>
      <c r="AW147" s="8">
        <v>9.4541515191390424</v>
      </c>
      <c r="AX147" s="14">
        <v>10.132339847311776</v>
      </c>
      <c r="AY147" s="8">
        <v>9.4541515191390442</v>
      </c>
    </row>
    <row r="148" spans="16:51">
      <c r="R148" s="7">
        <v>9.0928624224131429</v>
      </c>
      <c r="T148" s="7">
        <v>9.1384377086166317</v>
      </c>
      <c r="V148" s="7">
        <v>9.1842963865643714</v>
      </c>
      <c r="X148" s="7">
        <v>9.2304094690365339</v>
      </c>
      <c r="Z148" s="7">
        <v>9.2767469996112464</v>
      </c>
      <c r="AB148" s="7">
        <v>9.3232793950559767</v>
      </c>
      <c r="AD148" s="7">
        <v>9.3699791853005312</v>
      </c>
      <c r="AF148" s="7">
        <v>9.4168230217329096</v>
      </c>
      <c r="AH148" s="7">
        <v>9.4637935975456688</v>
      </c>
      <c r="AJ148" s="7">
        <v>9.5108807998542417</v>
      </c>
      <c r="AL148" s="7">
        <v>9.5580811471680498</v>
      </c>
      <c r="AN148" s="7">
        <v>9.6053949113612269</v>
      </c>
      <c r="AP148" s="7">
        <v>9.6528223649611871</v>
      </c>
      <c r="AR148" s="7">
        <v>9.7003637811501893</v>
      </c>
      <c r="AT148" s="7">
        <v>9.7480194337669275</v>
      </c>
      <c r="AV148" s="7">
        <v>9.7957895973080902</v>
      </c>
      <c r="AX148" s="7">
        <v>9.8436745469299503</v>
      </c>
    </row>
    <row r="149" spans="16:51">
      <c r="R149" s="8">
        <v>9.8676601526882131</v>
      </c>
      <c r="S149" s="14">
        <v>9.7350451191994267</v>
      </c>
      <c r="T149" s="8">
        <v>9.8676601526882148</v>
      </c>
      <c r="U149" s="14">
        <v>9.7350451191994267</v>
      </c>
      <c r="V149" s="8">
        <v>9.8676601526882148</v>
      </c>
      <c r="W149" s="14">
        <v>9.7350451191994249</v>
      </c>
      <c r="X149" s="8">
        <v>9.8676601526882148</v>
      </c>
      <c r="Y149" s="14">
        <v>9.7350451191994249</v>
      </c>
      <c r="Z149" s="8">
        <v>9.8676601526882148</v>
      </c>
      <c r="AA149" s="14">
        <v>9.7350451191994249</v>
      </c>
      <c r="AB149" s="8">
        <v>9.8676601526882166</v>
      </c>
      <c r="AC149" s="14">
        <v>9.7350451191994232</v>
      </c>
      <c r="AD149" s="8">
        <v>9.8676601526882184</v>
      </c>
      <c r="AE149" s="14">
        <v>9.7350451191994232</v>
      </c>
      <c r="AF149" s="8">
        <v>9.8676601526882148</v>
      </c>
      <c r="AG149" s="14">
        <v>9.7350451191994249</v>
      </c>
      <c r="AH149" s="8">
        <v>9.8676601526882184</v>
      </c>
      <c r="AI149" s="14">
        <v>9.7350451191994232</v>
      </c>
      <c r="AJ149" s="8">
        <v>9.8676601526882184</v>
      </c>
      <c r="AK149" s="14">
        <v>9.7350451191994232</v>
      </c>
      <c r="AL149" s="8">
        <v>9.8676601526882184</v>
      </c>
      <c r="AM149" s="14">
        <v>9.7350451191994232</v>
      </c>
      <c r="AN149" s="8">
        <v>9.8676601526882184</v>
      </c>
      <c r="AO149" s="14">
        <v>9.7350451191994214</v>
      </c>
      <c r="AP149" s="8">
        <v>9.8676601526882202</v>
      </c>
      <c r="AQ149" s="14">
        <v>9.7350451191994214</v>
      </c>
      <c r="AR149" s="8">
        <v>9.8676601526882202</v>
      </c>
      <c r="AS149" s="14">
        <v>9.7350451191994214</v>
      </c>
      <c r="AT149" s="8">
        <v>9.8676601526882202</v>
      </c>
      <c r="AU149" s="14">
        <v>9.7350451191994214</v>
      </c>
      <c r="AV149" s="8">
        <v>9.8676601526882202</v>
      </c>
      <c r="AW149" s="14">
        <v>9.7350451191994178</v>
      </c>
      <c r="AX149" s="8">
        <v>9.8676601526882237</v>
      </c>
      <c r="AY149" s="14">
        <v>9.7350451191994196</v>
      </c>
    </row>
    <row r="150" spans="16:51">
      <c r="S150" s="7">
        <v>9.5121888456481098</v>
      </c>
      <c r="U150" s="7">
        <v>9.5581565426615125</v>
      </c>
      <c r="W150" s="7">
        <v>9.6043303627182492</v>
      </c>
      <c r="Y150" s="7">
        <v>9.6506881569079859</v>
      </c>
      <c r="AA150" s="7">
        <v>9.6972091174158397</v>
      </c>
      <c r="AC150" s="7">
        <v>9.7438749390589532</v>
      </c>
      <c r="AE150" s="7">
        <v>9.7906709688298008</v>
      </c>
      <c r="AG150" s="7">
        <v>9.8375870690982854</v>
      </c>
      <c r="AI150" s="7">
        <v>9.8846178006533165</v>
      </c>
      <c r="AK150" s="7">
        <v>9.9317615415210092</v>
      </c>
      <c r="AM150" s="7">
        <v>9.9790185632494417</v>
      </c>
      <c r="AO150" s="7">
        <v>10.026389138039193</v>
      </c>
      <c r="AQ150" s="7">
        <v>10.073873538744902</v>
      </c>
      <c r="AS150" s="7">
        <v>10.121472038876847</v>
      </c>
      <c r="AU150" s="7">
        <v>10.169184912602525</v>
      </c>
      <c r="AW150" s="7">
        <v>10.217012434748217</v>
      </c>
      <c r="AY150" s="7">
        <v>10.26495488080058</v>
      </c>
    </row>
    <row r="151" spans="16:51">
      <c r="S151" s="8">
        <v>10.264954880800573</v>
      </c>
      <c r="T151" s="14">
        <v>9.3533285401981789</v>
      </c>
      <c r="U151" s="8">
        <v>10.264954880800573</v>
      </c>
      <c r="V151" s="14">
        <v>9.3533285401981772</v>
      </c>
      <c r="W151" s="8">
        <v>10.264954880800575</v>
      </c>
      <c r="X151" s="14">
        <v>9.3533285401981772</v>
      </c>
      <c r="Y151" s="8">
        <v>10.264954880800575</v>
      </c>
      <c r="Z151" s="14">
        <v>9.3533285401981772</v>
      </c>
      <c r="AA151" s="8">
        <v>10.264954880800575</v>
      </c>
      <c r="AB151" s="14">
        <v>9.3533285401981772</v>
      </c>
      <c r="AC151" s="8">
        <v>10.264954880800577</v>
      </c>
      <c r="AD151" s="14">
        <v>9.3533285401981754</v>
      </c>
      <c r="AE151" s="8">
        <v>10.264954880800577</v>
      </c>
      <c r="AF151" s="14">
        <v>9.3533285401981754</v>
      </c>
      <c r="AG151" s="8">
        <v>10.264954880800575</v>
      </c>
      <c r="AH151" s="14">
        <v>9.3533285401981754</v>
      </c>
      <c r="AI151" s="8">
        <v>10.264954880800577</v>
      </c>
      <c r="AJ151" s="14">
        <v>9.3533285401981754</v>
      </c>
      <c r="AK151" s="8">
        <v>10.264954880800577</v>
      </c>
      <c r="AL151" s="14">
        <v>9.3533285401981754</v>
      </c>
      <c r="AM151" s="8">
        <v>10.264954880800577</v>
      </c>
      <c r="AN151" s="14">
        <v>9.3533285401981736</v>
      </c>
      <c r="AO151" s="8">
        <v>10.264954880800579</v>
      </c>
      <c r="AP151" s="14">
        <v>9.3533285401981736</v>
      </c>
      <c r="AQ151" s="8">
        <v>10.264954880800579</v>
      </c>
      <c r="AR151" s="14">
        <v>9.3533285401981736</v>
      </c>
      <c r="AS151" s="8">
        <v>10.264954880800579</v>
      </c>
      <c r="AT151" s="14">
        <v>9.3533285401981736</v>
      </c>
      <c r="AU151" s="8">
        <v>10.264954880800579</v>
      </c>
      <c r="AV151" s="14">
        <v>9.3533285401981718</v>
      </c>
      <c r="AW151" s="8">
        <v>10.264954880800582</v>
      </c>
      <c r="AX151" s="14">
        <v>9.3533285401981718</v>
      </c>
      <c r="AY151" s="8">
        <v>10.26495488080058</v>
      </c>
    </row>
    <row r="152" spans="16:51">
      <c r="T152" s="7">
        <v>9.9165741625746904</v>
      </c>
      <c r="V152" s="7">
        <v>9.9627645890349807</v>
      </c>
      <c r="X152" s="7">
        <v>10.009112380424297</v>
      </c>
      <c r="Z152" s="7">
        <v>10.055603299545972</v>
      </c>
      <c r="AB152" s="7">
        <v>10.102225441036708</v>
      </c>
      <c r="AD152" s="7">
        <v>10.148969805583786</v>
      </c>
      <c r="AF152" s="7">
        <v>10.195830576133526</v>
      </c>
      <c r="AH152" s="7">
        <v>10.242804904659275</v>
      </c>
      <c r="AJ152" s="7">
        <v>10.289892106967848</v>
      </c>
      <c r="AL152" s="7">
        <v>10.337092454281656</v>
      </c>
      <c r="AN152" s="7">
        <v>10.384406218474835</v>
      </c>
      <c r="AP152" s="7">
        <v>10.431833672074793</v>
      </c>
      <c r="AR152" s="7">
        <v>10.479375088263797</v>
      </c>
      <c r="AT152" s="7">
        <v>10.527030740880534</v>
      </c>
      <c r="AV152" s="7">
        <v>10.574800904421696</v>
      </c>
      <c r="AX152" s="7">
        <v>10.622685854043556</v>
      </c>
    </row>
    <row r="153" spans="16:51">
      <c r="T153" s="8">
        <v>10.646671459801821</v>
      </c>
      <c r="U153" s="14">
        <v>8.9865792823444259</v>
      </c>
      <c r="V153" s="8">
        <v>10.646671459801823</v>
      </c>
      <c r="W153" s="14">
        <v>8.9865792823444259</v>
      </c>
      <c r="X153" s="8">
        <v>10.646671459801823</v>
      </c>
      <c r="Y153" s="14">
        <v>8.9865792823444242</v>
      </c>
      <c r="Z153" s="8">
        <v>10.646671459801823</v>
      </c>
      <c r="AA153" s="14">
        <v>8.9865792823444242</v>
      </c>
      <c r="AB153" s="8">
        <v>10.646671459801823</v>
      </c>
      <c r="AC153" s="14">
        <v>8.9865792823444242</v>
      </c>
      <c r="AD153" s="8">
        <v>10.646671459801825</v>
      </c>
      <c r="AE153" s="14">
        <v>8.9865792823444224</v>
      </c>
      <c r="AF153" s="8">
        <v>10.646671459801825</v>
      </c>
      <c r="AG153" s="14">
        <v>8.9865792823444224</v>
      </c>
      <c r="AH153" s="8">
        <v>10.646671459801825</v>
      </c>
      <c r="AI153" s="14">
        <v>8.9865792823444242</v>
      </c>
      <c r="AJ153" s="8">
        <v>10.646671459801825</v>
      </c>
      <c r="AK153" s="14">
        <v>8.9865792823444224</v>
      </c>
      <c r="AL153" s="8">
        <v>10.646671459801825</v>
      </c>
      <c r="AM153" s="14">
        <v>8.9865792823444224</v>
      </c>
      <c r="AN153" s="8">
        <v>10.646671459801826</v>
      </c>
      <c r="AO153" s="14">
        <v>8.9865792823444224</v>
      </c>
      <c r="AP153" s="8">
        <v>10.646671459801826</v>
      </c>
      <c r="AQ153" s="14">
        <v>8.9865792823444206</v>
      </c>
      <c r="AR153" s="8">
        <v>10.646671459801826</v>
      </c>
      <c r="AS153" s="14">
        <v>8.9865792823444206</v>
      </c>
      <c r="AT153" s="8">
        <v>10.646671459801826</v>
      </c>
      <c r="AU153" s="14">
        <v>8.9865792823444206</v>
      </c>
      <c r="AV153" s="8">
        <v>10.646671459801828</v>
      </c>
      <c r="AW153" s="14">
        <v>8.9865792823444206</v>
      </c>
      <c r="AX153" s="8">
        <v>10.646671459801828</v>
      </c>
      <c r="AY153" s="14">
        <v>8.9865792823444188</v>
      </c>
    </row>
    <row r="154" spans="16:51">
      <c r="U154" s="7">
        <v>10.306296726937864</v>
      </c>
      <c r="W154" s="7">
        <v>10.352616141152314</v>
      </c>
      <c r="Y154" s="7">
        <v>10.399066154568766</v>
      </c>
      <c r="AA154" s="7">
        <v>10.445639198982839</v>
      </c>
      <c r="AC154" s="7">
        <v>10.492329869426364</v>
      </c>
      <c r="AE154" s="7">
        <v>10.539134912813772</v>
      </c>
      <c r="AG154" s="7">
        <v>10.586052905953284</v>
      </c>
      <c r="AI154" s="7">
        <v>10.633083637508316</v>
      </c>
      <c r="AK154" s="7">
        <v>10.68022737837601</v>
      </c>
      <c r="AM154" s="7">
        <v>10.727484400104444</v>
      </c>
      <c r="AO154" s="7">
        <v>10.774854974894197</v>
      </c>
      <c r="AQ154" s="7">
        <v>10.822339375599904</v>
      </c>
      <c r="AS154" s="7">
        <v>10.869937875731848</v>
      </c>
      <c r="AU154" s="7">
        <v>10.917650749457525</v>
      </c>
      <c r="AW154" s="7">
        <v>10.965478271603216</v>
      </c>
      <c r="AY154" s="7">
        <v>11.013420717655581</v>
      </c>
    </row>
    <row r="155" spans="16:51">
      <c r="U155" s="8">
        <v>11.013420717655574</v>
      </c>
      <c r="V155" s="14">
        <v>8.6342104685815873</v>
      </c>
      <c r="W155" s="8">
        <v>11.013420717655574</v>
      </c>
      <c r="X155" s="14">
        <v>8.6342104685815873</v>
      </c>
      <c r="Y155" s="8">
        <v>11.013420717655576</v>
      </c>
      <c r="Z155" s="14">
        <v>8.6342104685815855</v>
      </c>
      <c r="AA155" s="8">
        <v>11.013420717655576</v>
      </c>
      <c r="AB155" s="14">
        <v>8.6342104685815873</v>
      </c>
      <c r="AC155" s="8">
        <v>11.013420717655576</v>
      </c>
      <c r="AD155" s="14">
        <v>8.6342104685815855</v>
      </c>
      <c r="AE155" s="8">
        <v>11.013420717655578</v>
      </c>
      <c r="AF155" s="14">
        <v>8.6342104685815837</v>
      </c>
      <c r="AG155" s="8">
        <v>11.013420717655578</v>
      </c>
      <c r="AH155" s="14">
        <v>8.6342104685815837</v>
      </c>
      <c r="AI155" s="8">
        <v>11.013420717655576</v>
      </c>
      <c r="AJ155" s="14">
        <v>8.6342104685815855</v>
      </c>
      <c r="AK155" s="8">
        <v>11.013420717655578</v>
      </c>
      <c r="AL155" s="14">
        <v>8.6342104685815837</v>
      </c>
      <c r="AM155" s="8">
        <v>11.013420717655578</v>
      </c>
      <c r="AN155" s="14">
        <v>8.6342104685815855</v>
      </c>
      <c r="AO155" s="8">
        <v>11.013420717655578</v>
      </c>
      <c r="AP155" s="14">
        <v>8.6342104685815837</v>
      </c>
      <c r="AQ155" s="8">
        <v>11.013420717655579</v>
      </c>
      <c r="AR155" s="14">
        <v>8.6342104685815837</v>
      </c>
      <c r="AS155" s="8">
        <v>11.013420717655579</v>
      </c>
      <c r="AT155" s="14">
        <v>8.6342104685815819</v>
      </c>
      <c r="AU155" s="8">
        <v>11.013420717655579</v>
      </c>
      <c r="AV155" s="14">
        <v>8.6342104685815837</v>
      </c>
      <c r="AW155" s="8">
        <v>11.013420717655579</v>
      </c>
      <c r="AX155" s="14">
        <v>8.6342104685815819</v>
      </c>
      <c r="AY155" s="8">
        <v>11.013420717655581</v>
      </c>
    </row>
    <row r="156" spans="16:51">
      <c r="V156" s="7">
        <v>10.681778068785741</v>
      </c>
      <c r="X156" s="7">
        <v>10.728180890143003</v>
      </c>
      <c r="Z156" s="7">
        <v>10.774701845544575</v>
      </c>
      <c r="AB156" s="7">
        <v>10.821337773318101</v>
      </c>
      <c r="AD156" s="7">
        <v>10.868086922434919</v>
      </c>
      <c r="AF156" s="7">
        <v>10.914948647750112</v>
      </c>
      <c r="AH156" s="7">
        <v>10.961922976275863</v>
      </c>
      <c r="AJ156" s="7">
        <v>11.009010178584438</v>
      </c>
      <c r="AL156" s="7">
        <v>11.056210525898248</v>
      </c>
      <c r="AN156" s="7">
        <v>11.103524290091428</v>
      </c>
      <c r="AP156" s="7">
        <v>11.150951743691389</v>
      </c>
      <c r="AR156" s="7">
        <v>11.198493159880389</v>
      </c>
      <c r="AT156" s="7">
        <v>11.246148812497125</v>
      </c>
      <c r="AV156" s="7">
        <v>11.293918976038285</v>
      </c>
      <c r="AX156" s="7">
        <v>11.341803925660145</v>
      </c>
    </row>
    <row r="157" spans="16:51">
      <c r="V157" s="8">
        <v>11.365789531418413</v>
      </c>
      <c r="W157" s="14">
        <v>8.2956582336316202</v>
      </c>
      <c r="X157" s="8">
        <v>11.365789531418413</v>
      </c>
      <c r="Y157" s="14">
        <v>8.2956582336316202</v>
      </c>
      <c r="Z157" s="8">
        <v>11.365789531418415</v>
      </c>
      <c r="AA157" s="14">
        <v>8.2956582336316202</v>
      </c>
      <c r="AB157" s="8">
        <v>11.365789531418413</v>
      </c>
      <c r="AC157" s="14">
        <v>8.2956582336316185</v>
      </c>
      <c r="AD157" s="8">
        <v>11.365789531418415</v>
      </c>
      <c r="AE157" s="14">
        <v>8.2956582336316185</v>
      </c>
      <c r="AF157" s="8">
        <v>11.365789531418416</v>
      </c>
      <c r="AG157" s="14">
        <v>8.2956582336316185</v>
      </c>
      <c r="AH157" s="8">
        <v>11.365789531418416</v>
      </c>
      <c r="AI157" s="14">
        <v>8.2956582336316185</v>
      </c>
      <c r="AJ157" s="8">
        <v>11.365789531418415</v>
      </c>
      <c r="AK157" s="14">
        <v>8.2956582336316185</v>
      </c>
      <c r="AL157" s="8">
        <v>11.365789531418416</v>
      </c>
      <c r="AM157" s="14">
        <v>8.2956582336316185</v>
      </c>
      <c r="AN157" s="8">
        <v>11.365789531418415</v>
      </c>
      <c r="AO157" s="14">
        <v>8.2956582336316185</v>
      </c>
      <c r="AP157" s="8">
        <v>11.365789531418416</v>
      </c>
      <c r="AQ157" s="14">
        <v>8.2956582336316185</v>
      </c>
      <c r="AR157" s="8">
        <v>11.365789531418416</v>
      </c>
      <c r="AS157" s="14">
        <v>8.2956582336316167</v>
      </c>
      <c r="AT157" s="8">
        <v>11.365789531418418</v>
      </c>
      <c r="AU157" s="14">
        <v>8.2956582336316167</v>
      </c>
      <c r="AV157" s="8">
        <v>11.365789531418416</v>
      </c>
      <c r="AW157" s="14">
        <v>8.2956582336316167</v>
      </c>
      <c r="AX157" s="8">
        <v>11.365789531418418</v>
      </c>
      <c r="AY157" s="14">
        <v>8.2956582336316167</v>
      </c>
    </row>
    <row r="158" spans="16:51">
      <c r="W158" s="7">
        <v>11.043509337370981</v>
      </c>
      <c r="Y158" s="7">
        <v>11.089976572724687</v>
      </c>
      <c r="AA158" s="7">
        <v>11.13655723267556</v>
      </c>
      <c r="AC158" s="7">
        <v>11.183250436554809</v>
      </c>
      <c r="AE158" s="7">
        <v>11.230055961526572</v>
      </c>
      <c r="AG158" s="7">
        <v>11.276973954666087</v>
      </c>
      <c r="AI158" s="7">
        <v>11.324004686221119</v>
      </c>
      <c r="AK158" s="7">
        <v>11.371148427088814</v>
      </c>
      <c r="AM158" s="7">
        <v>11.41840544881725</v>
      </c>
      <c r="AO158" s="7">
        <v>11.465776023607001</v>
      </c>
      <c r="AQ158" s="7">
        <v>11.51326042431271</v>
      </c>
      <c r="AS158" s="7">
        <v>11.560858924444656</v>
      </c>
      <c r="AU158" s="7">
        <v>11.608571798170329</v>
      </c>
      <c r="AW158" s="7">
        <v>11.656399320316019</v>
      </c>
      <c r="AY158" s="7">
        <v>11.704341766368383</v>
      </c>
    </row>
    <row r="159" spans="16:51">
      <c r="W159" s="8">
        <v>11.70434176636838</v>
      </c>
      <c r="X159" s="14">
        <v>7.9703808216902772</v>
      </c>
      <c r="Y159" s="8">
        <v>11.70434176636838</v>
      </c>
      <c r="Z159" s="14">
        <v>7.9703808216902772</v>
      </c>
      <c r="AA159" s="8">
        <v>11.70434176636838</v>
      </c>
      <c r="AB159" s="14">
        <v>7.9703808216902754</v>
      </c>
      <c r="AC159" s="8">
        <v>11.704341766368382</v>
      </c>
      <c r="AD159" s="14">
        <v>7.9703808216902754</v>
      </c>
      <c r="AE159" s="8">
        <v>11.704341766368382</v>
      </c>
      <c r="AF159" s="14">
        <v>7.9703808216902754</v>
      </c>
      <c r="AG159" s="8">
        <v>11.704341766368382</v>
      </c>
      <c r="AH159" s="14">
        <v>7.9703808216902754</v>
      </c>
      <c r="AI159" s="8">
        <v>11.704341766368382</v>
      </c>
      <c r="AJ159" s="14">
        <v>7.9703808216902745</v>
      </c>
      <c r="AK159" s="8">
        <v>11.704341766368382</v>
      </c>
      <c r="AL159" s="14">
        <v>7.9703808216902754</v>
      </c>
      <c r="AM159" s="8">
        <v>11.704341766368382</v>
      </c>
      <c r="AN159" s="14">
        <v>7.9703808216902745</v>
      </c>
      <c r="AO159" s="8">
        <v>11.704341766368382</v>
      </c>
      <c r="AP159" s="14">
        <v>7.9703808216902754</v>
      </c>
      <c r="AQ159" s="8">
        <v>11.704341766368382</v>
      </c>
      <c r="AR159" s="14">
        <v>7.9703808216902736</v>
      </c>
      <c r="AS159" s="8">
        <v>11.704341766368383</v>
      </c>
      <c r="AT159" s="14">
        <v>7.9703808216902736</v>
      </c>
      <c r="AU159" s="8">
        <v>11.704341766368383</v>
      </c>
      <c r="AV159" s="14">
        <v>7.9703808216902727</v>
      </c>
      <c r="AW159" s="8">
        <v>11.704341766368383</v>
      </c>
      <c r="AX159" s="14">
        <v>7.9703808216902718</v>
      </c>
      <c r="AY159" s="8">
        <v>11.704341766368383</v>
      </c>
    </row>
    <row r="160" spans="16:51">
      <c r="X160" s="7">
        <v>11.392004765516443</v>
      </c>
      <c r="Z160" s="7">
        <v>11.438529911081449</v>
      </c>
      <c r="AB160" s="7">
        <v>11.48516717729793</v>
      </c>
      <c r="AD160" s="7">
        <v>11.53191656932623</v>
      </c>
      <c r="AF160" s="7">
        <v>11.57877829464142</v>
      </c>
      <c r="AH160" s="7">
        <v>11.625752623167173</v>
      </c>
      <c r="AJ160" s="7">
        <v>11.672839825475748</v>
      </c>
      <c r="AL160" s="7">
        <v>11.720040172789558</v>
      </c>
      <c r="AN160" s="7">
        <v>11.767353936982737</v>
      </c>
      <c r="AP160" s="7">
        <v>11.814781390582695</v>
      </c>
      <c r="AR160" s="7">
        <v>11.862322806771699</v>
      </c>
      <c r="AT160" s="7">
        <v>11.909978459388435</v>
      </c>
      <c r="AV160" s="7">
        <v>11.957748622929596</v>
      </c>
      <c r="AX160" s="7">
        <v>12.005633572551456</v>
      </c>
    </row>
    <row r="161" spans="24:51">
      <c r="X161" s="8">
        <v>12.029619178309723</v>
      </c>
      <c r="Y161" s="14">
        <v>7.6578577195022346</v>
      </c>
      <c r="Z161" s="8">
        <v>12.029619178309723</v>
      </c>
      <c r="AA161" s="14">
        <v>7.6578577195022337</v>
      </c>
      <c r="AB161" s="8">
        <v>12.029619178309725</v>
      </c>
      <c r="AC161" s="14">
        <v>7.6578577195022328</v>
      </c>
      <c r="AD161" s="8">
        <v>12.029619178309725</v>
      </c>
      <c r="AE161" s="14">
        <v>7.6578577195022328</v>
      </c>
      <c r="AF161" s="8">
        <v>12.029619178309725</v>
      </c>
      <c r="AG161" s="14">
        <v>7.6578577195022328</v>
      </c>
      <c r="AH161" s="8">
        <v>12.029619178309725</v>
      </c>
      <c r="AI161" s="14">
        <v>7.6578577195022319</v>
      </c>
      <c r="AJ161" s="8">
        <v>12.029619178309726</v>
      </c>
      <c r="AK161" s="14">
        <v>7.6578577195022319</v>
      </c>
      <c r="AL161" s="8">
        <v>12.029619178309725</v>
      </c>
      <c r="AM161" s="14">
        <v>7.6578577195022319</v>
      </c>
      <c r="AN161" s="8">
        <v>12.029619178309726</v>
      </c>
      <c r="AO161" s="14">
        <v>7.6578577195022319</v>
      </c>
      <c r="AP161" s="8">
        <v>12.029619178309725</v>
      </c>
      <c r="AQ161" s="14">
        <v>7.657857719502231</v>
      </c>
      <c r="AR161" s="8">
        <v>12.029619178309726</v>
      </c>
      <c r="AS161" s="14">
        <v>7.657857719502231</v>
      </c>
      <c r="AT161" s="8">
        <v>12.029619178309726</v>
      </c>
      <c r="AU161" s="14">
        <v>7.6578577195022302</v>
      </c>
      <c r="AV161" s="8">
        <v>12.029619178309726</v>
      </c>
      <c r="AW161" s="14">
        <v>7.6578577195022293</v>
      </c>
      <c r="AX161" s="8">
        <v>12.029619178309728</v>
      </c>
      <c r="AY161" s="14">
        <v>7.6578577195022293</v>
      </c>
    </row>
    <row r="162" spans="24:51">
      <c r="Y162" s="7">
        <v>11.727776258663114</v>
      </c>
      <c r="AA162" s="7">
        <v>11.774357624280229</v>
      </c>
      <c r="AC162" s="7">
        <v>11.821050950684198</v>
      </c>
      <c r="AE162" s="7">
        <v>11.867856475655961</v>
      </c>
      <c r="AG162" s="7">
        <v>11.914774468795473</v>
      </c>
      <c r="AI162" s="7">
        <v>11.961805200350506</v>
      </c>
      <c r="AK162" s="7">
        <v>12.008948941218202</v>
      </c>
      <c r="AM162" s="7">
        <v>12.056205962946633</v>
      </c>
      <c r="AO162" s="7">
        <v>12.103576537736386</v>
      </c>
      <c r="AQ162" s="7">
        <v>12.151060938442093</v>
      </c>
      <c r="AS162" s="7">
        <v>12.19865943857404</v>
      </c>
      <c r="AU162" s="7">
        <v>12.246372312299716</v>
      </c>
      <c r="AW162" s="7">
        <v>12.294199834445408</v>
      </c>
      <c r="AY162" s="7">
        <v>12.342142280497772</v>
      </c>
    </row>
    <row r="163" spans="24:51">
      <c r="Y163" s="8">
        <v>12.342142280497765</v>
      </c>
      <c r="Z163" s="14">
        <v>7.3575888234288396</v>
      </c>
      <c r="AA163" s="8">
        <v>12.342142280497766</v>
      </c>
      <c r="AB163" s="14">
        <v>7.3575888234288396</v>
      </c>
      <c r="AC163" s="8">
        <v>12.342142280497768</v>
      </c>
      <c r="AD163" s="14">
        <v>7.3575888234288387</v>
      </c>
      <c r="AE163" s="8">
        <v>12.342142280497768</v>
      </c>
      <c r="AF163" s="14">
        <v>7.3575888234288387</v>
      </c>
      <c r="AG163" s="8">
        <v>12.342142280497768</v>
      </c>
      <c r="AH163" s="14">
        <v>7.3575888234288387</v>
      </c>
      <c r="AI163" s="8">
        <v>12.342142280497768</v>
      </c>
      <c r="AJ163" s="14">
        <v>7.3575888234288378</v>
      </c>
      <c r="AK163" s="8">
        <v>12.342142280497768</v>
      </c>
      <c r="AL163" s="14">
        <v>7.3575888234288378</v>
      </c>
      <c r="AM163" s="8">
        <v>12.342142280497768</v>
      </c>
      <c r="AN163" s="14">
        <v>7.3575888234288387</v>
      </c>
      <c r="AO163" s="8">
        <v>12.342142280497768</v>
      </c>
      <c r="AP163" s="14">
        <v>7.3575888234288369</v>
      </c>
      <c r="AQ163" s="8">
        <v>12.342142280497768</v>
      </c>
      <c r="AR163" s="14">
        <v>7.3575888234288378</v>
      </c>
      <c r="AS163" s="8">
        <v>12.342142280497768</v>
      </c>
      <c r="AT163" s="14">
        <v>7.3575888234288369</v>
      </c>
      <c r="AU163" s="8">
        <v>12.34214228049777</v>
      </c>
      <c r="AV163" s="14">
        <v>7.357588823428836</v>
      </c>
      <c r="AW163" s="8">
        <v>12.342142280497772</v>
      </c>
      <c r="AX163" s="14">
        <v>7.357588823428836</v>
      </c>
      <c r="AY163" s="8">
        <v>12.342142280497772</v>
      </c>
    </row>
    <row r="164" spans="24:51">
      <c r="Z164" s="7">
        <v>12.051321847541333</v>
      </c>
      <c r="AB164" s="7">
        <v>12.097959175559367</v>
      </c>
      <c r="AD164" s="7">
        <v>12.144708567587667</v>
      </c>
      <c r="AF164" s="7">
        <v>12.191570292902858</v>
      </c>
      <c r="AH164" s="7">
        <v>12.238544621428609</v>
      </c>
      <c r="AJ164" s="7">
        <v>12.285631823737184</v>
      </c>
      <c r="AL164" s="7">
        <v>12.332832171050994</v>
      </c>
      <c r="AN164" s="7">
        <v>12.380145935244169</v>
      </c>
      <c r="AP164" s="7">
        <v>12.427573388844129</v>
      </c>
      <c r="AR164" s="7">
        <v>12.475114805033133</v>
      </c>
      <c r="AT164" s="7">
        <v>12.522770457649871</v>
      </c>
      <c r="AV164" s="7">
        <v>12.570540621191034</v>
      </c>
      <c r="AX164" s="7">
        <v>12.618425570812894</v>
      </c>
    </row>
    <row r="165" spans="24:51">
      <c r="Z165" s="8">
        <v>12.64241117657116</v>
      </c>
      <c r="AA165" s="14">
        <v>7.0690936391755965</v>
      </c>
      <c r="AB165" s="8">
        <v>12.64241117657116</v>
      </c>
      <c r="AC165" s="14">
        <v>7.0690936391755956</v>
      </c>
      <c r="AD165" s="8">
        <v>12.642411176571162</v>
      </c>
      <c r="AE165" s="14">
        <v>7.0690936391755956</v>
      </c>
      <c r="AF165" s="8">
        <v>12.642411176571162</v>
      </c>
      <c r="AG165" s="14">
        <v>7.0690936391755956</v>
      </c>
      <c r="AH165" s="8">
        <v>12.642411176571162</v>
      </c>
      <c r="AI165" s="14">
        <v>7.0690936391755956</v>
      </c>
      <c r="AJ165" s="8">
        <v>12.642411176571162</v>
      </c>
      <c r="AK165" s="14">
        <v>7.0690936391755947</v>
      </c>
      <c r="AL165" s="8">
        <v>12.642411176571162</v>
      </c>
      <c r="AM165" s="14">
        <v>7.0690936391755947</v>
      </c>
      <c r="AN165" s="8">
        <v>12.642411176571162</v>
      </c>
      <c r="AO165" s="14">
        <v>7.0690936391755947</v>
      </c>
      <c r="AP165" s="8">
        <v>12.642411176571162</v>
      </c>
      <c r="AQ165" s="14">
        <v>7.0690936391755947</v>
      </c>
      <c r="AR165" s="8">
        <v>12.642411176571162</v>
      </c>
      <c r="AS165" s="14">
        <v>7.0690936391755939</v>
      </c>
      <c r="AT165" s="8">
        <v>12.642411176571162</v>
      </c>
      <c r="AU165" s="14">
        <v>7.069093639175593</v>
      </c>
      <c r="AV165" s="8">
        <v>12.642411176571164</v>
      </c>
      <c r="AW165" s="14">
        <v>7.069093639175593</v>
      </c>
      <c r="AX165" s="8">
        <v>12.642411176571164</v>
      </c>
      <c r="AY165" s="14">
        <v>7.0690936391755921</v>
      </c>
    </row>
    <row r="166" spans="24:51">
      <c r="AA166" s="7">
        <v>12.363121704606867</v>
      </c>
      <c r="AC166" s="7">
        <v>12.409815031010835</v>
      </c>
      <c r="AE166" s="7">
        <v>12.456620555982598</v>
      </c>
      <c r="AG166" s="7">
        <v>12.50353854912211</v>
      </c>
      <c r="AI166" s="7">
        <v>12.550569280677141</v>
      </c>
      <c r="AK166" s="7">
        <v>12.597713021544834</v>
      </c>
      <c r="AM166" s="7">
        <v>12.644970043273268</v>
      </c>
      <c r="AO166" s="7">
        <v>12.692340618063017</v>
      </c>
      <c r="AQ166" s="7">
        <v>12.739825018768729</v>
      </c>
      <c r="AS166" s="7">
        <v>12.787423518900676</v>
      </c>
      <c r="AU166" s="7">
        <v>12.835136392626351</v>
      </c>
      <c r="AW166" s="7">
        <v>12.882963914772043</v>
      </c>
      <c r="AY166" s="7">
        <v>12.930906360824409</v>
      </c>
    </row>
    <row r="167" spans="24:51">
      <c r="AA167" s="8">
        <v>12.930906360824403</v>
      </c>
      <c r="AB167" s="14">
        <v>6.7919105128987765</v>
      </c>
      <c r="AC167" s="8">
        <v>12.930906360824405</v>
      </c>
      <c r="AD167" s="14">
        <v>6.7919105128987765</v>
      </c>
      <c r="AE167" s="8">
        <v>12.930906360824405</v>
      </c>
      <c r="AF167" s="14">
        <v>6.7919105128987756</v>
      </c>
      <c r="AG167" s="8">
        <v>12.930906360824405</v>
      </c>
      <c r="AH167" s="14">
        <v>6.7919105128987756</v>
      </c>
      <c r="AI167" s="8">
        <v>12.930906360824405</v>
      </c>
      <c r="AJ167" s="14">
        <v>6.7919105128987756</v>
      </c>
      <c r="AK167" s="8">
        <v>12.930906360824405</v>
      </c>
      <c r="AL167" s="14">
        <v>6.7919105128987756</v>
      </c>
      <c r="AM167" s="8">
        <v>12.930906360824405</v>
      </c>
      <c r="AN167" s="14">
        <v>6.7919105128987738</v>
      </c>
      <c r="AO167" s="8">
        <v>12.930906360824405</v>
      </c>
      <c r="AP167" s="14">
        <v>6.7919105128987756</v>
      </c>
      <c r="AQ167" s="8">
        <v>12.930906360824405</v>
      </c>
      <c r="AR167" s="14">
        <v>6.7919105128987747</v>
      </c>
      <c r="AS167" s="8">
        <v>12.930906360824405</v>
      </c>
      <c r="AT167" s="14">
        <v>6.7919105128987738</v>
      </c>
      <c r="AU167" s="8">
        <v>12.930906360824407</v>
      </c>
      <c r="AV167" s="14">
        <v>6.7919105128987738</v>
      </c>
      <c r="AW167" s="8">
        <v>12.930906360824407</v>
      </c>
      <c r="AX167" s="14">
        <v>6.7919105128987729</v>
      </c>
      <c r="AY167" s="8">
        <v>12.930906360824409</v>
      </c>
    </row>
    <row r="168" spans="24:51">
      <c r="AB168" s="7">
        <v>12.663637486089431</v>
      </c>
      <c r="AD168" s="7">
        <v>12.710386878117729</v>
      </c>
      <c r="AF168" s="7">
        <v>12.757248603432922</v>
      </c>
      <c r="AH168" s="7">
        <v>12.804222931958671</v>
      </c>
      <c r="AJ168" s="7">
        <v>12.851310134267242</v>
      </c>
      <c r="AL168" s="7">
        <v>12.898510481581052</v>
      </c>
      <c r="AN168" s="7">
        <v>12.945824245774231</v>
      </c>
      <c r="AP168" s="7">
        <v>12.993251699374191</v>
      </c>
      <c r="AR168" s="7">
        <v>13.040793115563197</v>
      </c>
      <c r="AT168" s="7">
        <v>13.088448768179934</v>
      </c>
      <c r="AV168" s="7">
        <v>13.136218931721094</v>
      </c>
      <c r="AX168" s="7">
        <v>13.184103881342955</v>
      </c>
    </row>
    <row r="169" spans="24:51">
      <c r="AB169" s="8">
        <v>13.208089487101223</v>
      </c>
      <c r="AC169" s="14">
        <v>6.5255958924607835</v>
      </c>
      <c r="AD169" s="8">
        <v>13.208089487101223</v>
      </c>
      <c r="AE169" s="14">
        <v>6.5255958924607826</v>
      </c>
      <c r="AF169" s="8">
        <v>13.208089487101224</v>
      </c>
      <c r="AG169" s="14">
        <v>6.5255958924607826</v>
      </c>
      <c r="AH169" s="8">
        <v>13.208089487101224</v>
      </c>
      <c r="AI169" s="14">
        <v>6.5255958924607818</v>
      </c>
      <c r="AJ169" s="8">
        <v>13.208089487101224</v>
      </c>
      <c r="AK169" s="14">
        <v>6.5255958924607826</v>
      </c>
      <c r="AL169" s="8">
        <v>13.208089487101224</v>
      </c>
      <c r="AM169" s="14">
        <v>6.5255958924607809</v>
      </c>
      <c r="AN169" s="8">
        <v>13.208089487101226</v>
      </c>
      <c r="AO169" s="14">
        <v>6.5255958924607818</v>
      </c>
      <c r="AP169" s="8">
        <v>13.208089487101224</v>
      </c>
      <c r="AQ169" s="14">
        <v>6.5255958924607818</v>
      </c>
      <c r="AR169" s="8">
        <v>13.208089487101226</v>
      </c>
      <c r="AS169" s="14">
        <v>6.5255958924607809</v>
      </c>
      <c r="AT169" s="8">
        <v>13.208089487101226</v>
      </c>
      <c r="AU169" s="14">
        <v>6.5255958924607809</v>
      </c>
      <c r="AV169" s="8">
        <v>13.208089487101226</v>
      </c>
      <c r="AW169" s="14">
        <v>6.52559589246078</v>
      </c>
      <c r="AX169" s="8">
        <v>13.208089487101226</v>
      </c>
      <c r="AY169" s="14">
        <v>6.52559589246078</v>
      </c>
    </row>
    <row r="170" spans="24:51">
      <c r="AC170" s="7">
        <v>12.953312777725648</v>
      </c>
      <c r="AE170" s="7">
        <v>13.000118302697411</v>
      </c>
      <c r="AG170" s="7">
        <v>13.047036295836921</v>
      </c>
      <c r="AI170" s="7">
        <v>13.094067027391951</v>
      </c>
      <c r="AK170" s="7">
        <v>13.141210768259645</v>
      </c>
      <c r="AM170" s="7">
        <v>13.18846778998808</v>
      </c>
      <c r="AO170" s="7">
        <v>13.235838364777832</v>
      </c>
      <c r="AQ170" s="7">
        <v>13.283322765483543</v>
      </c>
      <c r="AS170" s="7">
        <v>13.330921265615489</v>
      </c>
      <c r="AU170" s="7">
        <v>13.378634139341164</v>
      </c>
      <c r="AW170" s="7">
        <v>13.426461661486854</v>
      </c>
      <c r="AY170" s="7">
        <v>13.47440410753922</v>
      </c>
    </row>
    <row r="171" spans="24:51">
      <c r="AC171" s="8">
        <v>13.474404107539216</v>
      </c>
      <c r="AD171" s="14">
        <v>6.2697236176521001</v>
      </c>
      <c r="AE171" s="8">
        <v>13.474404107539218</v>
      </c>
      <c r="AF171" s="14">
        <v>6.2697236176521001</v>
      </c>
      <c r="AG171" s="8">
        <v>13.474404107539218</v>
      </c>
      <c r="AH171" s="14">
        <v>6.2697236176520992</v>
      </c>
      <c r="AI171" s="8">
        <v>13.474404107539218</v>
      </c>
      <c r="AJ171" s="14">
        <v>6.2697236176520992</v>
      </c>
      <c r="AK171" s="8">
        <v>13.474404107539218</v>
      </c>
      <c r="AL171" s="14">
        <v>6.2697236176520983</v>
      </c>
      <c r="AM171" s="8">
        <v>13.474404107539218</v>
      </c>
      <c r="AN171" s="14">
        <v>6.2697236176520983</v>
      </c>
      <c r="AO171" s="8">
        <v>13.474404107539218</v>
      </c>
      <c r="AP171" s="14">
        <v>6.2697236176520974</v>
      </c>
      <c r="AQ171" s="8">
        <v>13.474404107539218</v>
      </c>
      <c r="AR171" s="14">
        <v>6.2697236176520983</v>
      </c>
      <c r="AS171" s="8">
        <v>13.474404107539218</v>
      </c>
      <c r="AT171" s="14">
        <v>6.2697236176520974</v>
      </c>
      <c r="AU171" s="8">
        <v>13.474404107539218</v>
      </c>
      <c r="AV171" s="14">
        <v>6.2697236176520974</v>
      </c>
      <c r="AW171" s="8">
        <v>13.47440410753922</v>
      </c>
      <c r="AX171" s="14">
        <v>6.2697236176520974</v>
      </c>
      <c r="AY171" s="8">
        <v>13.47440410753922</v>
      </c>
    </row>
    <row r="172" spans="24:51">
      <c r="AD172" s="7">
        <v>13.232573773364406</v>
      </c>
      <c r="AF172" s="7">
        <v>13.279435498679597</v>
      </c>
      <c r="AH172" s="7">
        <v>13.326409827205346</v>
      </c>
      <c r="AJ172" s="7">
        <v>13.373497029513919</v>
      </c>
      <c r="AL172" s="7">
        <v>13.42069737682773</v>
      </c>
      <c r="AN172" s="7">
        <v>13.468011141020908</v>
      </c>
      <c r="AP172" s="7">
        <v>13.515438594620868</v>
      </c>
      <c r="AR172" s="7">
        <v>13.562980010809872</v>
      </c>
      <c r="AT172" s="7">
        <v>13.610635663426608</v>
      </c>
      <c r="AV172" s="7">
        <v>13.658405826967773</v>
      </c>
      <c r="AX172" s="7">
        <v>13.706290776589631</v>
      </c>
    </row>
    <row r="173" spans="24:51">
      <c r="AD173" s="8">
        <v>13.730276382347899</v>
      </c>
      <c r="AE173" s="14">
        <v>6.0238842382440358</v>
      </c>
      <c r="AF173" s="8">
        <v>13.730276382347899</v>
      </c>
      <c r="AG173" s="14">
        <v>6.023884238244035</v>
      </c>
      <c r="AH173" s="8">
        <v>13.730276382347901</v>
      </c>
      <c r="AI173" s="14">
        <v>6.023884238244035</v>
      </c>
      <c r="AJ173" s="8">
        <v>13.730276382347901</v>
      </c>
      <c r="AK173" s="14">
        <v>6.0238842382440341</v>
      </c>
      <c r="AL173" s="8">
        <v>13.730276382347903</v>
      </c>
      <c r="AM173" s="14">
        <v>6.023884238244035</v>
      </c>
      <c r="AN173" s="8">
        <v>13.730276382347903</v>
      </c>
      <c r="AO173" s="14">
        <v>6.0238842382440341</v>
      </c>
      <c r="AP173" s="8">
        <v>13.730276382347903</v>
      </c>
      <c r="AQ173" s="14">
        <v>6.0238842382440332</v>
      </c>
      <c r="AR173" s="8">
        <v>13.730276382347903</v>
      </c>
      <c r="AS173" s="14">
        <v>6.0238842382440341</v>
      </c>
      <c r="AT173" s="8">
        <v>13.730276382347903</v>
      </c>
      <c r="AU173" s="14">
        <v>6.0238842382440332</v>
      </c>
      <c r="AV173" s="8">
        <v>13.730276382347903</v>
      </c>
      <c r="AW173" s="14">
        <v>6.0238842382440341</v>
      </c>
      <c r="AX173" s="8">
        <v>13.730276382347903</v>
      </c>
      <c r="AY173" s="14">
        <v>6.0238842382440332</v>
      </c>
    </row>
    <row r="174" spans="24:51">
      <c r="AE174" s="7">
        <v>13.501829956914158</v>
      </c>
      <c r="AG174" s="7">
        <v>13.54874795005367</v>
      </c>
      <c r="AI174" s="7">
        <v>13.595778681608701</v>
      </c>
      <c r="AK174" s="7">
        <v>13.642922422476394</v>
      </c>
      <c r="AM174" s="7">
        <v>13.69017944420483</v>
      </c>
      <c r="AO174" s="7">
        <v>13.737550018994579</v>
      </c>
      <c r="AQ174" s="7">
        <v>13.785034419700287</v>
      </c>
      <c r="AS174" s="7">
        <v>13.832632919832236</v>
      </c>
      <c r="AU174" s="7">
        <v>13.880345793557913</v>
      </c>
      <c r="AW174" s="7">
        <v>13.928173315703603</v>
      </c>
      <c r="AY174" s="7">
        <v>13.976115761755967</v>
      </c>
    </row>
    <row r="175" spans="24:51">
      <c r="AE175" s="8">
        <v>13.976115761755963</v>
      </c>
      <c r="AF175" s="14">
        <v>5.7876843587810072</v>
      </c>
      <c r="AG175" s="8">
        <v>13.976115761755965</v>
      </c>
      <c r="AH175" s="14">
        <v>5.7876843587810072</v>
      </c>
      <c r="AI175" s="8">
        <v>13.976115761755965</v>
      </c>
      <c r="AJ175" s="14">
        <v>5.7876843587810054</v>
      </c>
      <c r="AK175" s="8">
        <v>13.976115761755967</v>
      </c>
      <c r="AL175" s="14">
        <v>5.7876843587810063</v>
      </c>
      <c r="AM175" s="8">
        <v>13.976115761755965</v>
      </c>
      <c r="AN175" s="14">
        <v>5.7876843587810054</v>
      </c>
      <c r="AO175" s="8">
        <v>13.976115761755967</v>
      </c>
      <c r="AP175" s="14">
        <v>5.7876843587810045</v>
      </c>
      <c r="AQ175" s="8">
        <v>13.976115761755967</v>
      </c>
      <c r="AR175" s="14">
        <v>5.7876843587810045</v>
      </c>
      <c r="AS175" s="8">
        <v>13.976115761755967</v>
      </c>
      <c r="AT175" s="14">
        <v>5.7876843587810045</v>
      </c>
      <c r="AU175" s="8">
        <v>13.976115761755967</v>
      </c>
      <c r="AV175" s="14">
        <v>5.7876843587810045</v>
      </c>
      <c r="AW175" s="8">
        <v>13.976115761755967</v>
      </c>
      <c r="AX175" s="14">
        <v>5.7876843587810045</v>
      </c>
      <c r="AY175" s="8">
        <v>13.976115761755967</v>
      </c>
    </row>
    <row r="176" spans="24:51">
      <c r="AF176" s="7">
        <v>13.76147475755069</v>
      </c>
      <c r="AH176" s="7">
        <v>13.808449086076442</v>
      </c>
      <c r="AJ176" s="7">
        <v>13.855536288385013</v>
      </c>
      <c r="AL176" s="7">
        <v>13.902736635698822</v>
      </c>
      <c r="AN176" s="7">
        <v>13.950050399892001</v>
      </c>
      <c r="AP176" s="7">
        <v>13.99747785349196</v>
      </c>
      <c r="AR176" s="7">
        <v>14.045019269680964</v>
      </c>
      <c r="AT176" s="7">
        <v>14.092674922297704</v>
      </c>
      <c r="AV176" s="7">
        <v>14.140445085838865</v>
      </c>
      <c r="AX176" s="7">
        <v>14.188330035460725</v>
      </c>
    </row>
    <row r="177" spans="32:51">
      <c r="AF177" s="8">
        <v>14.212315641218993</v>
      </c>
      <c r="AG177" s="14">
        <v>5.5607460090638767</v>
      </c>
      <c r="AH177" s="8">
        <v>14.212315641218993</v>
      </c>
      <c r="AI177" s="14">
        <v>5.5607460090638758</v>
      </c>
      <c r="AJ177" s="8">
        <v>14.212315641218995</v>
      </c>
      <c r="AK177" s="14">
        <v>5.5607460090638758</v>
      </c>
      <c r="AL177" s="8">
        <v>14.212315641218993</v>
      </c>
      <c r="AM177" s="14">
        <v>5.5607460090638758</v>
      </c>
      <c r="AN177" s="8">
        <v>14.212315641218995</v>
      </c>
      <c r="AO177" s="14">
        <v>5.560746009063875</v>
      </c>
      <c r="AP177" s="8">
        <v>14.212315641218996</v>
      </c>
      <c r="AQ177" s="14">
        <v>5.560746009063875</v>
      </c>
      <c r="AR177" s="8">
        <v>14.212315641218996</v>
      </c>
      <c r="AS177" s="14">
        <v>5.5607460090638741</v>
      </c>
      <c r="AT177" s="8">
        <v>14.212315641218996</v>
      </c>
      <c r="AU177" s="14">
        <v>5.5607460090638758</v>
      </c>
      <c r="AV177" s="8">
        <v>14.212315641218996</v>
      </c>
      <c r="AW177" s="14">
        <v>5.560746009063875</v>
      </c>
      <c r="AX177" s="8">
        <v>14.212315641218996</v>
      </c>
      <c r="AY177" s="14">
        <v>5.560746009063875</v>
      </c>
    </row>
    <row r="178" spans="32:51">
      <c r="AG178" s="7">
        <v>14.01188617923383</v>
      </c>
      <c r="AI178" s="7">
        <v>14.058916910788859</v>
      </c>
      <c r="AK178" s="7">
        <v>14.106060651656554</v>
      </c>
      <c r="AM178" s="7">
        <v>14.153317673384988</v>
      </c>
      <c r="AO178" s="7">
        <v>14.200688248174739</v>
      </c>
      <c r="AQ178" s="7">
        <v>14.248172648880447</v>
      </c>
      <c r="AS178" s="7">
        <v>14.295771149012394</v>
      </c>
      <c r="AU178" s="7">
        <v>14.343484022738071</v>
      </c>
      <c r="AW178" s="7">
        <v>14.391311544883763</v>
      </c>
      <c r="AY178" s="7">
        <v>14.439253990936125</v>
      </c>
    </row>
    <row r="179" spans="32:51">
      <c r="AG179" s="8">
        <v>14.439253990936123</v>
      </c>
      <c r="AH179" s="14">
        <v>5.3427060393170009</v>
      </c>
      <c r="AI179" s="8">
        <v>14.439253990936123</v>
      </c>
      <c r="AJ179" s="14">
        <v>5.3427060393170009</v>
      </c>
      <c r="AK179" s="8">
        <v>14.439253990936123</v>
      </c>
      <c r="AL179" s="14">
        <v>5.3427060393170001</v>
      </c>
      <c r="AM179" s="8">
        <v>14.439253990936123</v>
      </c>
      <c r="AN179" s="14">
        <v>5.3427060393170001</v>
      </c>
      <c r="AO179" s="8">
        <v>14.439253990936125</v>
      </c>
      <c r="AP179" s="14">
        <v>5.3427060393170001</v>
      </c>
      <c r="AQ179" s="8">
        <v>14.439253990936125</v>
      </c>
      <c r="AR179" s="14">
        <v>5.3427060393169992</v>
      </c>
      <c r="AS179" s="8">
        <v>14.439253990936127</v>
      </c>
      <c r="AT179" s="14">
        <v>5.3427060393170001</v>
      </c>
      <c r="AU179" s="8">
        <v>14.439253990936123</v>
      </c>
      <c r="AV179" s="14">
        <v>5.3427060393170001</v>
      </c>
      <c r="AW179" s="8">
        <v>14.439253990936125</v>
      </c>
      <c r="AX179" s="14">
        <v>5.3427060393170001</v>
      </c>
      <c r="AY179" s="8">
        <v>14.439253990936125</v>
      </c>
    </row>
    <row r="180" spans="32:51">
      <c r="AH180" s="7">
        <v>14.253427405540448</v>
      </c>
      <c r="AJ180" s="7">
        <v>14.300514607849019</v>
      </c>
      <c r="AL180" s="7">
        <v>14.347714955162829</v>
      </c>
      <c r="AN180" s="7">
        <v>14.395028719356008</v>
      </c>
      <c r="AP180" s="7">
        <v>14.442456172955966</v>
      </c>
      <c r="AR180" s="7">
        <v>14.48999758914497</v>
      </c>
      <c r="AT180" s="7">
        <v>14.537653241761706</v>
      </c>
      <c r="AV180" s="7">
        <v>14.585423405302869</v>
      </c>
      <c r="AX180" s="7">
        <v>14.633308354924729</v>
      </c>
    </row>
    <row r="181" spans="32:51">
      <c r="AH181" s="8">
        <v>14.657293960682999</v>
      </c>
      <c r="AI181" s="14">
        <v>5.1332155390711121</v>
      </c>
      <c r="AJ181" s="8">
        <v>14.657293960682999</v>
      </c>
      <c r="AK181" s="14">
        <v>5.1332155390711112</v>
      </c>
      <c r="AL181" s="8">
        <v>14.657293960682999</v>
      </c>
      <c r="AM181" s="14">
        <v>5.1332155390711103</v>
      </c>
      <c r="AN181" s="8">
        <v>14.657293960682999</v>
      </c>
      <c r="AO181" s="14">
        <v>5.1332155390711112</v>
      </c>
      <c r="AP181" s="8">
        <v>14.657293960682999</v>
      </c>
      <c r="AQ181" s="14">
        <v>5.1332155390711103</v>
      </c>
      <c r="AR181" s="8">
        <v>14.657293960683001</v>
      </c>
      <c r="AS181" s="14">
        <v>5.1332155390711103</v>
      </c>
      <c r="AT181" s="8">
        <v>14.657293960682999</v>
      </c>
      <c r="AU181" s="14">
        <v>5.1332155390711094</v>
      </c>
      <c r="AV181" s="8">
        <v>14.657293960682999</v>
      </c>
      <c r="AW181" s="14">
        <v>5.1332155390711103</v>
      </c>
      <c r="AX181" s="8">
        <v>14.657293960682999</v>
      </c>
      <c r="AY181" s="14">
        <v>5.1332155390711094</v>
      </c>
    </row>
    <row r="182" spans="32:51">
      <c r="AI182" s="7">
        <v>14.486447380781627</v>
      </c>
      <c r="AK182" s="7">
        <v>14.533591121649319</v>
      </c>
      <c r="AM182" s="7">
        <v>14.580848143377755</v>
      </c>
      <c r="AO182" s="7">
        <v>14.628218718167505</v>
      </c>
      <c r="AQ182" s="7">
        <v>14.675703118873214</v>
      </c>
      <c r="AS182" s="7">
        <v>14.723301619005159</v>
      </c>
      <c r="AU182" s="7">
        <v>14.771014492730835</v>
      </c>
      <c r="AW182" s="7">
        <v>14.818842014876527</v>
      </c>
      <c r="AY182" s="7">
        <v>14.866784460928891</v>
      </c>
    </row>
    <row r="183" spans="32:51">
      <c r="AI183" s="8">
        <v>14.866784460928887</v>
      </c>
      <c r="AJ183" s="14">
        <v>4.9319392788321235</v>
      </c>
      <c r="AK183" s="8">
        <v>14.866784460928889</v>
      </c>
      <c r="AL183" s="14">
        <v>4.9319392788321235</v>
      </c>
      <c r="AM183" s="8">
        <v>14.866784460928891</v>
      </c>
      <c r="AN183" s="14">
        <v>4.9319392788321226</v>
      </c>
      <c r="AO183" s="8">
        <v>14.866784460928889</v>
      </c>
      <c r="AP183" s="14">
        <v>4.9319392788321226</v>
      </c>
      <c r="AQ183" s="8">
        <v>14.866784460928891</v>
      </c>
      <c r="AR183" s="14">
        <v>4.9319392788321226</v>
      </c>
      <c r="AS183" s="8">
        <v>14.866784460928891</v>
      </c>
      <c r="AT183" s="14">
        <v>4.9319392788321217</v>
      </c>
      <c r="AU183" s="8">
        <v>14.866784460928891</v>
      </c>
      <c r="AV183" s="14">
        <v>4.9319392788321217</v>
      </c>
      <c r="AW183" s="8">
        <v>14.866784460928891</v>
      </c>
      <c r="AX183" s="14">
        <v>4.9319392788321226</v>
      </c>
      <c r="AY183" s="8">
        <v>14.866784460928891</v>
      </c>
    </row>
    <row r="184" spans="32:51">
      <c r="AJ184" s="7">
        <v>14.7112813683339</v>
      </c>
      <c r="AL184" s="7">
        <v>14.75848171564771</v>
      </c>
      <c r="AN184" s="7">
        <v>14.805795479840887</v>
      </c>
      <c r="AP184" s="7">
        <v>14.853222933440845</v>
      </c>
      <c r="AR184" s="7">
        <v>14.900764349629849</v>
      </c>
      <c r="AT184" s="7">
        <v>14.948420002246586</v>
      </c>
      <c r="AV184" s="7">
        <v>14.996190165787747</v>
      </c>
      <c r="AX184" s="7">
        <v>15.044075115409605</v>
      </c>
    </row>
    <row r="185" spans="32:51">
      <c r="AJ185" s="8">
        <v>15.068060721167877</v>
      </c>
      <c r="AK185" s="14">
        <v>4.7385551736424292</v>
      </c>
      <c r="AL185" s="8">
        <v>15.068060721167877</v>
      </c>
      <c r="AM185" s="14">
        <v>4.7385551736424292</v>
      </c>
      <c r="AN185" s="8">
        <v>15.068060721167878</v>
      </c>
      <c r="AO185" s="14">
        <v>4.7385551736424283</v>
      </c>
      <c r="AP185" s="8">
        <v>15.068060721167878</v>
      </c>
      <c r="AQ185" s="14">
        <v>4.7385551736424283</v>
      </c>
      <c r="AR185" s="8">
        <v>15.068060721167878</v>
      </c>
      <c r="AS185" s="14">
        <v>4.7385551736424283</v>
      </c>
      <c r="AT185" s="8">
        <v>15.068060721167878</v>
      </c>
      <c r="AU185" s="14">
        <v>4.7385551736424283</v>
      </c>
      <c r="AV185" s="8">
        <v>15.068060721167878</v>
      </c>
      <c r="AW185" s="14">
        <v>4.7385551736424274</v>
      </c>
      <c r="AX185" s="8">
        <v>15.068060721167878</v>
      </c>
      <c r="AY185" s="14">
        <v>4.7385551736424283</v>
      </c>
    </row>
    <row r="186" spans="32:51">
      <c r="AK186" s="7">
        <v>14.928251487078006</v>
      </c>
      <c r="AM186" s="7">
        <v>14.975508508806438</v>
      </c>
      <c r="AO186" s="7">
        <v>15.022879083596189</v>
      </c>
      <c r="AQ186" s="7">
        <v>15.070363484301897</v>
      </c>
      <c r="AS186" s="7">
        <v>15.117961984433842</v>
      </c>
      <c r="AU186" s="7">
        <v>15.16567485815952</v>
      </c>
      <c r="AW186" s="7">
        <v>15.213502380305206</v>
      </c>
      <c r="AY186" s="7">
        <v>15.261444826357572</v>
      </c>
    </row>
    <row r="187" spans="32:51">
      <c r="AK187" s="8">
        <v>15.261444826357572</v>
      </c>
      <c r="AL187" s="14">
        <v>4.5527537676762488</v>
      </c>
      <c r="AM187" s="8">
        <v>15.261444826357572</v>
      </c>
      <c r="AN187" s="14">
        <v>4.5527537676762488</v>
      </c>
      <c r="AO187" s="8">
        <v>15.261444826357572</v>
      </c>
      <c r="AP187" s="14">
        <v>4.552753767676248</v>
      </c>
      <c r="AQ187" s="8">
        <v>15.261444826357572</v>
      </c>
      <c r="AR187" s="14">
        <v>4.552753767676248</v>
      </c>
      <c r="AS187" s="8">
        <v>15.261444826357572</v>
      </c>
      <c r="AT187" s="14">
        <v>4.552753767676248</v>
      </c>
      <c r="AU187" s="8">
        <v>15.261444826357572</v>
      </c>
      <c r="AV187" s="14">
        <v>4.5527537676762471</v>
      </c>
      <c r="AW187" s="8">
        <v>15.261444826357572</v>
      </c>
      <c r="AX187" s="14">
        <v>4.552753767676248</v>
      </c>
      <c r="AY187" s="8">
        <v>15.261444826357572</v>
      </c>
    </row>
    <row r="188" spans="32:51">
      <c r="AL188" s="7">
        <v>15.137667226803584</v>
      </c>
      <c r="AN188" s="7">
        <v>15.184980990996763</v>
      </c>
      <c r="AP188" s="7">
        <v>15.23240844459672</v>
      </c>
      <c r="AR188" s="7">
        <v>15.279949860785726</v>
      </c>
      <c r="AT188" s="7">
        <v>15.32760551340246</v>
      </c>
      <c r="AV188" s="7">
        <v>15.375375676943621</v>
      </c>
      <c r="AX188" s="7">
        <v>15.423260626565479</v>
      </c>
    </row>
    <row r="189" spans="32:51">
      <c r="AL189" s="8">
        <v>15.447246232323751</v>
      </c>
      <c r="AM189" s="14">
        <v>4.3742377390442897</v>
      </c>
      <c r="AN189" s="8">
        <v>15.447246232323751</v>
      </c>
      <c r="AO189" s="14">
        <v>4.3742377390442897</v>
      </c>
      <c r="AP189" s="8">
        <v>15.447246232323753</v>
      </c>
      <c r="AQ189" s="14">
        <v>4.3742377390442888</v>
      </c>
      <c r="AR189" s="8">
        <v>15.447246232323753</v>
      </c>
      <c r="AS189" s="14">
        <v>4.3742377390442888</v>
      </c>
      <c r="AT189" s="8">
        <v>15.447246232323753</v>
      </c>
      <c r="AU189" s="14">
        <v>4.3742377390442888</v>
      </c>
      <c r="AV189" s="8">
        <v>15.447246232323753</v>
      </c>
      <c r="AW189" s="14">
        <v>4.3742377390442879</v>
      </c>
      <c r="AX189" s="8">
        <v>15.447246232323753</v>
      </c>
      <c r="AY189" s="14">
        <v>4.3742377390442879</v>
      </c>
    </row>
    <row r="190" spans="32:51">
      <c r="AM190" s="7">
        <v>15.339825943404579</v>
      </c>
      <c r="AO190" s="7">
        <v>15.387196518194328</v>
      </c>
      <c r="AQ190" s="7">
        <v>15.434680918900037</v>
      </c>
      <c r="AS190" s="7">
        <v>15.482279419031983</v>
      </c>
      <c r="AU190" s="7">
        <v>15.529992292757656</v>
      </c>
      <c r="AW190" s="7">
        <v>15.577819814903346</v>
      </c>
      <c r="AY190" s="7">
        <v>15.625762260955712</v>
      </c>
    </row>
    <row r="191" spans="32:51">
      <c r="AM191" s="8">
        <v>15.62576226095571</v>
      </c>
      <c r="AN191" s="14">
        <v>4.202721424015289</v>
      </c>
      <c r="AO191" s="8">
        <v>15.62576226095571</v>
      </c>
      <c r="AP191" s="14">
        <v>4.202721424015289</v>
      </c>
      <c r="AQ191" s="8">
        <v>15.62576226095571</v>
      </c>
      <c r="AR191" s="14">
        <v>4.2027214240152881</v>
      </c>
      <c r="AS191" s="8">
        <v>15.62576226095571</v>
      </c>
      <c r="AT191" s="14">
        <v>4.2027214240152881</v>
      </c>
      <c r="AU191" s="8">
        <v>15.62576226095571</v>
      </c>
      <c r="AV191" s="14">
        <v>4.2027214240152881</v>
      </c>
      <c r="AW191" s="8">
        <v>15.625762260955712</v>
      </c>
      <c r="AX191" s="14">
        <v>4.2027214240152873</v>
      </c>
      <c r="AY191" s="8">
        <v>15.625762260955712</v>
      </c>
    </row>
    <row r="192" spans="32:51">
      <c r="AN192" s="7">
        <v>15.535013334657721</v>
      </c>
      <c r="AP192" s="7">
        <v>15.582440788257681</v>
      </c>
      <c r="AR192" s="7">
        <v>15.629982204446682</v>
      </c>
      <c r="AT192" s="7">
        <v>15.677637857063418</v>
      </c>
      <c r="AV192" s="7">
        <v>15.725408020604579</v>
      </c>
      <c r="AX192" s="7">
        <v>15.773292970226441</v>
      </c>
    </row>
    <row r="193" spans="40:51">
      <c r="AN193" s="8">
        <v>15.797278575984711</v>
      </c>
      <c r="AO193" s="14">
        <v>4.0379303598931031</v>
      </c>
      <c r="AP193" s="8">
        <v>15.797278575984711</v>
      </c>
      <c r="AQ193" s="14">
        <v>4.0379303598931022</v>
      </c>
      <c r="AR193" s="8">
        <v>15.797278575984713</v>
      </c>
      <c r="AS193" s="14">
        <v>4.0379303598931013</v>
      </c>
      <c r="AT193" s="8">
        <v>15.797278575984713</v>
      </c>
      <c r="AU193" s="14">
        <v>4.0379303598931022</v>
      </c>
      <c r="AV193" s="8">
        <v>15.797278575984713</v>
      </c>
      <c r="AW193" s="14">
        <v>4.0379303598931013</v>
      </c>
      <c r="AX193" s="8">
        <v>15.797278575984713</v>
      </c>
      <c r="AY193" s="14">
        <v>4.0379303598931013</v>
      </c>
    </row>
    <row r="194" spans="40:51">
      <c r="AO194" s="7">
        <v>15.723503897345514</v>
      </c>
      <c r="AQ194" s="7">
        <v>15.770988298051222</v>
      </c>
      <c r="AS194" s="7">
        <v>15.818586798183167</v>
      </c>
      <c r="AU194" s="7">
        <v>15.866299671908845</v>
      </c>
      <c r="AW194" s="7">
        <v>15.914127194054535</v>
      </c>
      <c r="AY194" s="7">
        <v>15.962069640106899</v>
      </c>
    </row>
    <row r="195" spans="40:51">
      <c r="AO195" s="8">
        <v>15.962069640106897</v>
      </c>
      <c r="AP195" s="14">
        <v>3.8796008458178326</v>
      </c>
      <c r="AQ195" s="8">
        <v>15.962069640106897</v>
      </c>
      <c r="AR195" s="14">
        <v>3.8796008458178322</v>
      </c>
      <c r="AS195" s="8">
        <v>15.962069640106899</v>
      </c>
      <c r="AT195" s="14">
        <v>3.8796008458178322</v>
      </c>
      <c r="AU195" s="8">
        <v>15.962069640106897</v>
      </c>
      <c r="AV195" s="14">
        <v>3.8796008458178317</v>
      </c>
      <c r="AW195" s="8">
        <v>15.962069640106899</v>
      </c>
      <c r="AX195" s="14">
        <v>3.8796008458178317</v>
      </c>
      <c r="AY195" s="8">
        <v>15.962069640106899</v>
      </c>
    </row>
    <row r="196" spans="40:51">
      <c r="AP196" s="7">
        <v>15.905561366455135</v>
      </c>
      <c r="AR196" s="7">
        <v>15.953102782644139</v>
      </c>
      <c r="AT196" s="7">
        <v>16.000758435260877</v>
      </c>
      <c r="AV196" s="7">
        <v>16.04852859880204</v>
      </c>
      <c r="AX196" s="7">
        <v>16.096413548423897</v>
      </c>
    </row>
    <row r="197" spans="40:51">
      <c r="AP197" s="8">
        <v>16.120399154182167</v>
      </c>
      <c r="AQ197" s="14">
        <v>3.7274795207881937</v>
      </c>
      <c r="AR197" s="8">
        <v>16.120399154182167</v>
      </c>
      <c r="AS197" s="14">
        <v>3.7274795207881937</v>
      </c>
      <c r="AT197" s="8">
        <v>16.120399154182167</v>
      </c>
      <c r="AU197" s="14">
        <v>3.7274795207881932</v>
      </c>
      <c r="AV197" s="8">
        <v>16.120399154182167</v>
      </c>
      <c r="AW197" s="14">
        <v>3.7274795207881932</v>
      </c>
      <c r="AX197" s="8">
        <v>16.120399154182167</v>
      </c>
      <c r="AY197" s="14">
        <v>3.7274795207881937</v>
      </c>
    </row>
    <row r="198" spans="40:51">
      <c r="AQ198" s="7">
        <v>16.081439137156131</v>
      </c>
      <c r="AS198" s="7">
        <v>16.129037637288079</v>
      </c>
      <c r="AU198" s="7">
        <v>16.176750511013758</v>
      </c>
      <c r="AW198" s="7">
        <v>16.224578033159446</v>
      </c>
      <c r="AY198" s="7">
        <v>16.272520479211806</v>
      </c>
    </row>
    <row r="199" spans="40:51">
      <c r="AQ199" s="8">
        <v>16.272520479211806</v>
      </c>
      <c r="AR199" s="14">
        <v>3.5813229582298596</v>
      </c>
      <c r="AS199" s="8">
        <v>16.272520479211806</v>
      </c>
      <c r="AT199" s="14">
        <v>3.5813229582298587</v>
      </c>
      <c r="AU199" s="8">
        <v>16.272520479211806</v>
      </c>
      <c r="AV199" s="14">
        <v>3.5813229582298587</v>
      </c>
      <c r="AW199" s="8">
        <v>16.272520479211806</v>
      </c>
      <c r="AX199" s="14">
        <v>3.5813229582298587</v>
      </c>
      <c r="AY199" s="8">
        <v>16.272520479211806</v>
      </c>
    </row>
    <row r="200" spans="40:51">
      <c r="AR200" s="7">
        <v>16.251380670232116</v>
      </c>
      <c r="AT200" s="7">
        <v>16.299036322848856</v>
      </c>
      <c r="AV200" s="7">
        <v>16.346806486390015</v>
      </c>
      <c r="AX200" s="7">
        <v>16.394691436011868</v>
      </c>
    </row>
    <row r="201" spans="40:51">
      <c r="AR201" s="8">
        <v>16.418677041770142</v>
      </c>
      <c r="AS201" s="14">
        <v>3.4408972764610053</v>
      </c>
      <c r="AT201" s="8">
        <v>16.418677041770142</v>
      </c>
      <c r="AU201" s="14">
        <v>3.4408972764610049</v>
      </c>
      <c r="AV201" s="8">
        <v>16.418677041770142</v>
      </c>
      <c r="AW201" s="14">
        <v>3.4408972764610049</v>
      </c>
      <c r="AX201" s="8">
        <v>16.418677041770142</v>
      </c>
      <c r="AY201" s="14">
        <v>3.4408972764610044</v>
      </c>
    </row>
    <row r="202" spans="40:51">
      <c r="AS202" s="7">
        <v>16.415619881615271</v>
      </c>
      <c r="AU202" s="7">
        <v>16.463332755340943</v>
      </c>
      <c r="AW202" s="7">
        <v>16.511160277486631</v>
      </c>
      <c r="AY202" s="7">
        <v>16.559102723538995</v>
      </c>
    </row>
    <row r="203" spans="40:51">
      <c r="AS203" s="8">
        <v>16.559102723538995</v>
      </c>
      <c r="AT203" s="14">
        <v>3.3059777644317254</v>
      </c>
      <c r="AU203" s="8">
        <v>16.559102723538995</v>
      </c>
      <c r="AV203" s="14">
        <v>3.3059777644317254</v>
      </c>
      <c r="AW203" s="8">
        <v>16.559102723538995</v>
      </c>
      <c r="AX203" s="14">
        <v>3.305977764431725</v>
      </c>
      <c r="AY203" s="8">
        <v>16.559102723538995</v>
      </c>
    </row>
    <row r="204" spans="40:51">
      <c r="AT204" s="7">
        <v>16.574381516646984</v>
      </c>
      <c r="AV204" s="7">
        <v>16.622151680188143</v>
      </c>
      <c r="AX204" s="7">
        <v>16.670036629810006</v>
      </c>
    </row>
    <row r="205" spans="40:51">
      <c r="AT205" s="8">
        <v>16.694022235568276</v>
      </c>
      <c r="AU205" s="14">
        <v>3.1763485221384089</v>
      </c>
      <c r="AV205" s="8">
        <v>16.694022235568276</v>
      </c>
      <c r="AW205" s="14">
        <v>3.1763485221384085</v>
      </c>
      <c r="AX205" s="8">
        <v>16.694022235568276</v>
      </c>
      <c r="AY205" s="14">
        <v>3.1763485221384085</v>
      </c>
    </row>
    <row r="206" spans="40:51">
      <c r="AU206" s="7">
        <v>16.727881509663536</v>
      </c>
      <c r="AW206" s="7">
        <v>16.775709031809228</v>
      </c>
      <c r="AY206" s="7">
        <v>16.823651477861592</v>
      </c>
    </row>
    <row r="207" spans="40:51">
      <c r="AU207" s="8">
        <v>16.823651477861592</v>
      </c>
      <c r="AV207" s="14">
        <v>3.0518021151376722</v>
      </c>
      <c r="AW207" s="8">
        <v>16.823651477861592</v>
      </c>
      <c r="AX207" s="14">
        <v>3.0518021151376722</v>
      </c>
      <c r="AY207" s="8">
        <v>16.823651477861592</v>
      </c>
    </row>
    <row r="208" spans="40:51">
      <c r="AV208" s="7">
        <v>16.876327329482194</v>
      </c>
      <c r="AX208" s="7">
        <v>16.924212279104058</v>
      </c>
    </row>
    <row r="209" spans="48:51">
      <c r="AV209" s="8">
        <v>16.948197884862328</v>
      </c>
      <c r="AW209" s="14">
        <v>2.9321392426069979</v>
      </c>
      <c r="AX209" s="8">
        <v>16.948197884862328</v>
      </c>
      <c r="AY209" s="14">
        <v>2.9321392426069974</v>
      </c>
    </row>
    <row r="210" spans="48:51">
      <c r="AW210" s="7">
        <v>17.019918311340639</v>
      </c>
      <c r="AY210" s="7">
        <v>17.067860757393003</v>
      </c>
    </row>
    <row r="211" spans="48:51">
      <c r="AW211" s="8">
        <v>17.067860757393003</v>
      </c>
      <c r="AX211" s="14">
        <v>2.8171684184208949</v>
      </c>
      <c r="AY211" s="8">
        <v>17.067860757393003</v>
      </c>
    </row>
    <row r="212" spans="48:51">
      <c r="AX212" s="7">
        <v>17.158845975820835</v>
      </c>
    </row>
    <row r="213" spans="48:51">
      <c r="AX213" s="8">
        <v>17.182831581579105</v>
      </c>
      <c r="AY213" s="14">
        <v>2.7067056647322492</v>
      </c>
    </row>
    <row r="214" spans="48:51">
      <c r="AY214" s="7">
        <v>17.293294335267753</v>
      </c>
    </row>
    <row r="215" spans="48:51">
      <c r="AY215" s="8">
        <v>17.293294335267753</v>
      </c>
    </row>
  </sheetData>
  <mergeCells count="9">
    <mergeCell ref="I7:K7"/>
    <mergeCell ref="A1:F1"/>
    <mergeCell ref="A5:F6"/>
    <mergeCell ref="I1:K1"/>
    <mergeCell ref="I2:K2"/>
    <mergeCell ref="I3:K3"/>
    <mergeCell ref="I4:K4"/>
    <mergeCell ref="I5:K5"/>
    <mergeCell ref="I6:K6"/>
  </mergeCells>
  <phoneticPr fontId="3" type="noConversion"/>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13</vt:i4>
      </vt:variant>
    </vt:vector>
  </HeadingPairs>
  <TitlesOfParts>
    <vt:vector size="15" baseType="lpstr">
      <vt:lpstr>表格操作方法</vt:lpstr>
      <vt:lpstr>option_vb</vt:lpstr>
      <vt:lpstr>_1_p</vt:lpstr>
      <vt:lpstr>_r</vt:lpstr>
      <vt:lpstr>△t</vt:lpstr>
      <vt:lpstr>a</vt:lpstr>
      <vt:lpstr>d</vt:lpstr>
      <vt:lpstr>N</vt:lpstr>
      <vt:lpstr>p</vt:lpstr>
      <vt:lpstr>q</vt:lpstr>
      <vt:lpstr>s0</vt:lpstr>
      <vt:lpstr>T</vt:lpstr>
      <vt:lpstr>u</vt:lpstr>
      <vt:lpstr>X</vt:lpstr>
      <vt:lpstr>σ</vt:lpstr>
    </vt:vector>
  </TitlesOfParts>
  <Company>nkcms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fjf</dc:creator>
  <cp:lastModifiedBy>Liu</cp:lastModifiedBy>
  <dcterms:created xsi:type="dcterms:W3CDTF">2006-11-29T07:25:20Z</dcterms:created>
  <dcterms:modified xsi:type="dcterms:W3CDTF">2022-12-17T16:24:38Z</dcterms:modified>
</cp:coreProperties>
</file>