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obsidian_git\5course\金融工程学\十讲小组作业\二叉树模型实验\"/>
    </mc:Choice>
  </mc:AlternateContent>
  <xr:revisionPtr revIDLastSave="0" documentId="13_ncr:1_{3B55882A-A384-4134-BC3A-FE708F400993}" xr6:coauthVersionLast="47" xr6:coauthVersionMax="47" xr10:uidLastSave="{00000000-0000-0000-0000-000000000000}"/>
  <bookViews>
    <workbookView xWindow="-108" yWindow="-108" windowWidth="26136" windowHeight="16776" activeTab="2" xr2:uid="{00000000-000D-0000-FFFF-FFFF00000000}"/>
  </bookViews>
  <sheets>
    <sheet name="BS公式" sheetId="1" r:id="rId1"/>
    <sheet name="(欧美式)期权二叉树定价" sheetId="2" r:id="rId2"/>
    <sheet name="差值-资产价格" sheetId="5" r:id="rId3"/>
    <sheet name="Sheet1" sheetId="6" r:id="rId4"/>
  </sheets>
  <functionGroups builtInGroupCount="19"/>
  <definedNames>
    <definedName name="bs_q">BS公式!$B$6</definedName>
    <definedName name="bs_rf">BS公式!$B$5</definedName>
    <definedName name="bs_s">BS公式!$B$3</definedName>
    <definedName name="bs_sigma">BS公式!$B$4</definedName>
    <definedName name="bs_T">BS公式!$B$7</definedName>
    <definedName name="bs_X">BS公式!$B$8</definedName>
    <definedName name="N">'(欧美式)期权二叉树定价'!$B$9</definedName>
    <definedName name="q">'(欧美式)期权二叉树定价'!$B$6</definedName>
    <definedName name="rf">'(欧美式)期权二叉树定价'!$B$5</definedName>
    <definedName name="S0">'(欧美式)期权二叉树定价'!$B$3</definedName>
    <definedName name="Sigma">'(欧美式)期权二叉树定价'!$B$4</definedName>
    <definedName name="T">'(欧美式)期权二叉树定价'!$B$7</definedName>
    <definedName name="X">'(欧美式)期权二叉树定价'!$B$8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  <c r="W20" i="5"/>
  <c r="W28" i="5"/>
  <c r="W36" i="5"/>
  <c r="W44" i="5"/>
  <c r="W52" i="5"/>
  <c r="W60" i="5"/>
  <c r="W68" i="5"/>
  <c r="W76" i="5"/>
  <c r="W84" i="5"/>
  <c r="W92" i="5"/>
  <c r="W100" i="5"/>
  <c r="W108" i="5"/>
  <c r="W116" i="5"/>
  <c r="W74" i="5"/>
  <c r="X90" i="5"/>
  <c r="W67" i="5"/>
  <c r="X75" i="5"/>
  <c r="X20" i="5"/>
  <c r="X28" i="5"/>
  <c r="X36" i="5"/>
  <c r="X44" i="5"/>
  <c r="X52" i="5"/>
  <c r="X60" i="5"/>
  <c r="X68" i="5"/>
  <c r="X76" i="5"/>
  <c r="X84" i="5"/>
  <c r="X92" i="5"/>
  <c r="X100" i="5"/>
  <c r="X108" i="5"/>
  <c r="X116" i="5"/>
  <c r="X70" i="5"/>
  <c r="X102" i="5"/>
  <c r="W31" i="5"/>
  <c r="W55" i="5"/>
  <c r="W87" i="5"/>
  <c r="W119" i="5"/>
  <c r="X95" i="5"/>
  <c r="W40" i="5"/>
  <c r="W72" i="5"/>
  <c r="W112" i="5"/>
  <c r="X56" i="5"/>
  <c r="X104" i="5"/>
  <c r="W57" i="5"/>
  <c r="W97" i="5"/>
  <c r="X41" i="5"/>
  <c r="X89" i="5"/>
  <c r="W26" i="5"/>
  <c r="W90" i="5"/>
  <c r="X26" i="5"/>
  <c r="X74" i="5"/>
  <c r="X114" i="5"/>
  <c r="W59" i="5"/>
  <c r="W115" i="5"/>
  <c r="X51" i="5"/>
  <c r="X99" i="5"/>
  <c r="W21" i="5"/>
  <c r="W29" i="5"/>
  <c r="W37" i="5"/>
  <c r="W45" i="5"/>
  <c r="W53" i="5"/>
  <c r="W61" i="5"/>
  <c r="W69" i="5"/>
  <c r="W77" i="5"/>
  <c r="W85" i="5"/>
  <c r="W93" i="5"/>
  <c r="W101" i="5"/>
  <c r="W109" i="5"/>
  <c r="W117" i="5"/>
  <c r="X86" i="5"/>
  <c r="X118" i="5"/>
  <c r="W47" i="5"/>
  <c r="W103" i="5"/>
  <c r="X87" i="5"/>
  <c r="W24" i="5"/>
  <c r="W80" i="5"/>
  <c r="X48" i="5"/>
  <c r="X96" i="5"/>
  <c r="W41" i="5"/>
  <c r="W105" i="5"/>
  <c r="X57" i="5"/>
  <c r="X105" i="5"/>
  <c r="W50" i="5"/>
  <c r="W106" i="5"/>
  <c r="X58" i="5"/>
  <c r="W35" i="5"/>
  <c r="W107" i="5"/>
  <c r="X59" i="5"/>
  <c r="X115" i="5"/>
  <c r="X21" i="5"/>
  <c r="X29" i="5"/>
  <c r="X37" i="5"/>
  <c r="X45" i="5"/>
  <c r="X53" i="5"/>
  <c r="X61" i="5"/>
  <c r="X69" i="5"/>
  <c r="X77" i="5"/>
  <c r="X85" i="5"/>
  <c r="X93" i="5"/>
  <c r="X101" i="5"/>
  <c r="X109" i="5"/>
  <c r="X117" i="5"/>
  <c r="X62" i="5"/>
  <c r="X110" i="5"/>
  <c r="W39" i="5"/>
  <c r="W79" i="5"/>
  <c r="W111" i="5"/>
  <c r="X79" i="5"/>
  <c r="X119" i="5"/>
  <c r="W64" i="5"/>
  <c r="W104" i="5"/>
  <c r="X32" i="5"/>
  <c r="X80" i="5"/>
  <c r="W25" i="5"/>
  <c r="W73" i="5"/>
  <c r="W113" i="5"/>
  <c r="X65" i="5"/>
  <c r="X97" i="5"/>
  <c r="W42" i="5"/>
  <c r="W98" i="5"/>
  <c r="X42" i="5"/>
  <c r="X82" i="5"/>
  <c r="W27" i="5"/>
  <c r="W83" i="5"/>
  <c r="X35" i="5"/>
  <c r="X83" i="5"/>
  <c r="W22" i="5"/>
  <c r="W30" i="5"/>
  <c r="W38" i="5"/>
  <c r="W46" i="5"/>
  <c r="W54" i="5"/>
  <c r="W62" i="5"/>
  <c r="W70" i="5"/>
  <c r="W78" i="5"/>
  <c r="W86" i="5"/>
  <c r="W94" i="5"/>
  <c r="W102" i="5"/>
  <c r="W110" i="5"/>
  <c r="W118" i="5"/>
  <c r="X54" i="5"/>
  <c r="X94" i="5"/>
  <c r="W23" i="5"/>
  <c r="W63" i="5"/>
  <c r="W95" i="5"/>
  <c r="X71" i="5"/>
  <c r="X111" i="5"/>
  <c r="W48" i="5"/>
  <c r="W88" i="5"/>
  <c r="X24" i="5"/>
  <c r="X72" i="5"/>
  <c r="X112" i="5"/>
  <c r="W49" i="5"/>
  <c r="W89" i="5"/>
  <c r="X33" i="5"/>
  <c r="X81" i="5"/>
  <c r="W34" i="5"/>
  <c r="W82" i="5"/>
  <c r="W114" i="5"/>
  <c r="X50" i="5"/>
  <c r="X106" i="5"/>
  <c r="W51" i="5"/>
  <c r="W99" i="5"/>
  <c r="X43" i="5"/>
  <c r="X107" i="5"/>
  <c r="X22" i="5"/>
  <c r="X30" i="5"/>
  <c r="X38" i="5"/>
  <c r="X46" i="5"/>
  <c r="X78" i="5"/>
  <c r="W71" i="5"/>
  <c r="W32" i="5"/>
  <c r="X64" i="5"/>
  <c r="W65" i="5"/>
  <c r="X49" i="5"/>
  <c r="W66" i="5"/>
  <c r="X66" i="5"/>
  <c r="W75" i="5"/>
  <c r="X67" i="5"/>
  <c r="X23" i="5"/>
  <c r="X31" i="5"/>
  <c r="X39" i="5"/>
  <c r="X47" i="5"/>
  <c r="X55" i="5"/>
  <c r="X63" i="5"/>
  <c r="X103" i="5"/>
  <c r="W56" i="5"/>
  <c r="W96" i="5"/>
  <c r="X40" i="5"/>
  <c r="X88" i="5"/>
  <c r="W33" i="5"/>
  <c r="W81" i="5"/>
  <c r="X25" i="5"/>
  <c r="X73" i="5"/>
  <c r="X113" i="5"/>
  <c r="W58" i="5"/>
  <c r="X34" i="5"/>
  <c r="X98" i="5"/>
  <c r="W43" i="5"/>
  <c r="W91" i="5"/>
  <c r="X27" i="5"/>
  <c r="X91" i="5"/>
  <c r="X19" i="5"/>
  <c r="W19" i="5"/>
  <c r="R20" i="5"/>
  <c r="R28" i="5"/>
  <c r="R36" i="5"/>
  <c r="R44" i="5"/>
  <c r="R52" i="5"/>
  <c r="R60" i="5"/>
  <c r="R68" i="5"/>
  <c r="R76" i="5"/>
  <c r="R84" i="5"/>
  <c r="R92" i="5"/>
  <c r="R100" i="5"/>
  <c r="R108" i="5"/>
  <c r="R116" i="5"/>
  <c r="S87" i="5"/>
  <c r="R40" i="5"/>
  <c r="S48" i="5"/>
  <c r="R41" i="5"/>
  <c r="S41" i="5"/>
  <c r="S105" i="5"/>
  <c r="R59" i="5"/>
  <c r="S67" i="5"/>
  <c r="S20" i="5"/>
  <c r="S28" i="5"/>
  <c r="S36" i="5"/>
  <c r="S44" i="5"/>
  <c r="S52" i="5"/>
  <c r="S60" i="5"/>
  <c r="S68" i="5"/>
  <c r="S76" i="5"/>
  <c r="S84" i="5"/>
  <c r="S92" i="5"/>
  <c r="S100" i="5"/>
  <c r="S108" i="5"/>
  <c r="S116" i="5"/>
  <c r="S55" i="5"/>
  <c r="S95" i="5"/>
  <c r="R32" i="5"/>
  <c r="R96" i="5"/>
  <c r="S64" i="5"/>
  <c r="S112" i="5"/>
  <c r="R65" i="5"/>
  <c r="R105" i="5"/>
  <c r="S57" i="5"/>
  <c r="S97" i="5"/>
  <c r="S114" i="5"/>
  <c r="R35" i="5"/>
  <c r="S43" i="5"/>
  <c r="S115" i="5"/>
  <c r="R21" i="5"/>
  <c r="R29" i="5"/>
  <c r="R37" i="5"/>
  <c r="R45" i="5"/>
  <c r="R53" i="5"/>
  <c r="R61" i="5"/>
  <c r="R69" i="5"/>
  <c r="R77" i="5"/>
  <c r="R85" i="5"/>
  <c r="R93" i="5"/>
  <c r="R101" i="5"/>
  <c r="R109" i="5"/>
  <c r="R117" i="5"/>
  <c r="S47" i="5"/>
  <c r="S111" i="5"/>
  <c r="R80" i="5"/>
  <c r="S32" i="5"/>
  <c r="S96" i="5"/>
  <c r="R81" i="5"/>
  <c r="S25" i="5"/>
  <c r="S90" i="5"/>
  <c r="R75" i="5"/>
  <c r="S51" i="5"/>
  <c r="S21" i="5"/>
  <c r="S29" i="5"/>
  <c r="S37" i="5"/>
  <c r="S45" i="5"/>
  <c r="S53" i="5"/>
  <c r="S61" i="5"/>
  <c r="S69" i="5"/>
  <c r="S77" i="5"/>
  <c r="S85" i="5"/>
  <c r="S93" i="5"/>
  <c r="S101" i="5"/>
  <c r="S109" i="5"/>
  <c r="S117" i="5"/>
  <c r="S31" i="5"/>
  <c r="S119" i="5"/>
  <c r="R72" i="5"/>
  <c r="R112" i="5"/>
  <c r="S80" i="5"/>
  <c r="R25" i="5"/>
  <c r="R89" i="5"/>
  <c r="S89" i="5"/>
  <c r="S98" i="5"/>
  <c r="R67" i="5"/>
  <c r="S35" i="5"/>
  <c r="S99" i="5"/>
  <c r="R22" i="5"/>
  <c r="R30" i="5"/>
  <c r="R38" i="5"/>
  <c r="R46" i="5"/>
  <c r="R54" i="5"/>
  <c r="R62" i="5"/>
  <c r="R70" i="5"/>
  <c r="R78" i="5"/>
  <c r="R86" i="5"/>
  <c r="R94" i="5"/>
  <c r="R102" i="5"/>
  <c r="R110" i="5"/>
  <c r="R118" i="5"/>
  <c r="S39" i="5"/>
  <c r="S103" i="5"/>
  <c r="R48" i="5"/>
  <c r="R104" i="5"/>
  <c r="S56" i="5"/>
  <c r="S104" i="5"/>
  <c r="R73" i="5"/>
  <c r="R113" i="5"/>
  <c r="S65" i="5"/>
  <c r="S113" i="5"/>
  <c r="R27" i="5"/>
  <c r="R99" i="5"/>
  <c r="S75" i="5"/>
  <c r="S22" i="5"/>
  <c r="S30" i="5"/>
  <c r="S38" i="5"/>
  <c r="S46" i="5"/>
  <c r="S54" i="5"/>
  <c r="S62" i="5"/>
  <c r="S70" i="5"/>
  <c r="S78" i="5"/>
  <c r="S86" i="5"/>
  <c r="S94" i="5"/>
  <c r="S102" i="5"/>
  <c r="S110" i="5"/>
  <c r="S118" i="5"/>
  <c r="R119" i="5"/>
  <c r="S71" i="5"/>
  <c r="R64" i="5"/>
  <c r="S24" i="5"/>
  <c r="S88" i="5"/>
  <c r="R57" i="5"/>
  <c r="S73" i="5"/>
  <c r="S74" i="5"/>
  <c r="R43" i="5"/>
  <c r="R115" i="5"/>
  <c r="S83" i="5"/>
  <c r="R23" i="5"/>
  <c r="R31" i="5"/>
  <c r="R39" i="5"/>
  <c r="R47" i="5"/>
  <c r="R55" i="5"/>
  <c r="R63" i="5"/>
  <c r="R71" i="5"/>
  <c r="R79" i="5"/>
  <c r="R87" i="5"/>
  <c r="R95" i="5"/>
  <c r="R103" i="5"/>
  <c r="R111" i="5"/>
  <c r="S79" i="5"/>
  <c r="R56" i="5"/>
  <c r="S40" i="5"/>
  <c r="R49" i="5"/>
  <c r="S33" i="5"/>
  <c r="S82" i="5"/>
  <c r="R91" i="5"/>
  <c r="S59" i="5"/>
  <c r="S23" i="5"/>
  <c r="S63" i="5"/>
  <c r="R24" i="5"/>
  <c r="R88" i="5"/>
  <c r="S72" i="5"/>
  <c r="R33" i="5"/>
  <c r="R97" i="5"/>
  <c r="S49" i="5"/>
  <c r="S81" i="5"/>
  <c r="S106" i="5"/>
  <c r="R83" i="5"/>
  <c r="S27" i="5"/>
  <c r="S107" i="5"/>
  <c r="R26" i="5"/>
  <c r="R34" i="5"/>
  <c r="R42" i="5"/>
  <c r="R50" i="5"/>
  <c r="R58" i="5"/>
  <c r="R66" i="5"/>
  <c r="R74" i="5"/>
  <c r="R82" i="5"/>
  <c r="R90" i="5"/>
  <c r="R98" i="5"/>
  <c r="R106" i="5"/>
  <c r="R114" i="5"/>
  <c r="S26" i="5"/>
  <c r="S34" i="5"/>
  <c r="S42" i="5"/>
  <c r="S50" i="5"/>
  <c r="S58" i="5"/>
  <c r="S66" i="5"/>
  <c r="R51" i="5"/>
  <c r="R107" i="5"/>
  <c r="S91" i="5"/>
  <c r="S19" i="5"/>
  <c r="R19" i="5"/>
  <c r="H20" i="5"/>
  <c r="H28" i="5"/>
  <c r="H36" i="5"/>
  <c r="H44" i="5"/>
  <c r="H52" i="5"/>
  <c r="H60" i="5"/>
  <c r="H68" i="5"/>
  <c r="H76" i="5"/>
  <c r="H84" i="5"/>
  <c r="H92" i="5"/>
  <c r="H100" i="5"/>
  <c r="H108" i="5"/>
  <c r="H116" i="5"/>
  <c r="H72" i="5"/>
  <c r="I88" i="5"/>
  <c r="H97" i="5"/>
  <c r="H34" i="5"/>
  <c r="I58" i="5"/>
  <c r="H35" i="5"/>
  <c r="I59" i="5"/>
  <c r="I20" i="5"/>
  <c r="I28" i="5"/>
  <c r="I36" i="5"/>
  <c r="I44" i="5"/>
  <c r="I52" i="5"/>
  <c r="I60" i="5"/>
  <c r="I68" i="5"/>
  <c r="I76" i="5"/>
  <c r="I84" i="5"/>
  <c r="I92" i="5"/>
  <c r="I100" i="5"/>
  <c r="I108" i="5"/>
  <c r="I116" i="5"/>
  <c r="H93" i="5"/>
  <c r="H109" i="5"/>
  <c r="I71" i="5"/>
  <c r="I87" i="5"/>
  <c r="H32" i="5"/>
  <c r="H96" i="5"/>
  <c r="I40" i="5"/>
  <c r="I80" i="5"/>
  <c r="H33" i="5"/>
  <c r="H89" i="5"/>
  <c r="I41" i="5"/>
  <c r="I97" i="5"/>
  <c r="H42" i="5"/>
  <c r="H90" i="5"/>
  <c r="I42" i="5"/>
  <c r="H51" i="5"/>
  <c r="H91" i="5"/>
  <c r="I51" i="5"/>
  <c r="I75" i="5"/>
  <c r="H21" i="5"/>
  <c r="H29" i="5"/>
  <c r="H37" i="5"/>
  <c r="H45" i="5"/>
  <c r="H53" i="5"/>
  <c r="H61" i="5"/>
  <c r="H69" i="5"/>
  <c r="H77" i="5"/>
  <c r="H85" i="5"/>
  <c r="H101" i="5"/>
  <c r="H117" i="5"/>
  <c r="H40" i="5"/>
  <c r="H25" i="5"/>
  <c r="I89" i="5"/>
  <c r="H106" i="5"/>
  <c r="I90" i="5"/>
  <c r="H107" i="5"/>
  <c r="I115" i="5"/>
  <c r="I21" i="5"/>
  <c r="I29" i="5"/>
  <c r="I37" i="5"/>
  <c r="I45" i="5"/>
  <c r="I53" i="5"/>
  <c r="I61" i="5"/>
  <c r="I69" i="5"/>
  <c r="I77" i="5"/>
  <c r="I85" i="5"/>
  <c r="I93" i="5"/>
  <c r="I101" i="5"/>
  <c r="I109" i="5"/>
  <c r="I117" i="5"/>
  <c r="H79" i="5"/>
  <c r="H95" i="5"/>
  <c r="H119" i="5"/>
  <c r="I47" i="5"/>
  <c r="I103" i="5"/>
  <c r="H48" i="5"/>
  <c r="H80" i="5"/>
  <c r="I32" i="5"/>
  <c r="I72" i="5"/>
  <c r="H41" i="5"/>
  <c r="H81" i="5"/>
  <c r="I33" i="5"/>
  <c r="I81" i="5"/>
  <c r="H26" i="5"/>
  <c r="H82" i="5"/>
  <c r="I50" i="5"/>
  <c r="I74" i="5"/>
  <c r="H27" i="5"/>
  <c r="H83" i="5"/>
  <c r="I35" i="5"/>
  <c r="I83" i="5"/>
  <c r="H22" i="5"/>
  <c r="H30" i="5"/>
  <c r="H38" i="5"/>
  <c r="H46" i="5"/>
  <c r="H54" i="5"/>
  <c r="H62" i="5"/>
  <c r="H70" i="5"/>
  <c r="H78" i="5"/>
  <c r="H86" i="5"/>
  <c r="H94" i="5"/>
  <c r="H102" i="5"/>
  <c r="H110" i="5"/>
  <c r="H118" i="5"/>
  <c r="H87" i="5"/>
  <c r="H111" i="5"/>
  <c r="I63" i="5"/>
  <c r="I95" i="5"/>
  <c r="H56" i="5"/>
  <c r="H88" i="5"/>
  <c r="I64" i="5"/>
  <c r="I112" i="5"/>
  <c r="H73" i="5"/>
  <c r="I25" i="5"/>
  <c r="I65" i="5"/>
  <c r="I105" i="5"/>
  <c r="H58" i="5"/>
  <c r="I26" i="5"/>
  <c r="I114" i="5"/>
  <c r="H75" i="5"/>
  <c r="H115" i="5"/>
  <c r="I99" i="5"/>
  <c r="I22" i="5"/>
  <c r="I30" i="5"/>
  <c r="I38" i="5"/>
  <c r="I46" i="5"/>
  <c r="I54" i="5"/>
  <c r="I62" i="5"/>
  <c r="I70" i="5"/>
  <c r="I78" i="5"/>
  <c r="I86" i="5"/>
  <c r="I94" i="5"/>
  <c r="I102" i="5"/>
  <c r="I110" i="5"/>
  <c r="I118" i="5"/>
  <c r="H71" i="5"/>
  <c r="H103" i="5"/>
  <c r="I39" i="5"/>
  <c r="I79" i="5"/>
  <c r="H24" i="5"/>
  <c r="H104" i="5"/>
  <c r="I48" i="5"/>
  <c r="I96" i="5"/>
  <c r="H57" i="5"/>
  <c r="H105" i="5"/>
  <c r="I49" i="5"/>
  <c r="H50" i="5"/>
  <c r="H98" i="5"/>
  <c r="I34" i="5"/>
  <c r="I82" i="5"/>
  <c r="I98" i="5"/>
  <c r="H43" i="5"/>
  <c r="I27" i="5"/>
  <c r="I107" i="5"/>
  <c r="H23" i="5"/>
  <c r="H31" i="5"/>
  <c r="H39" i="5"/>
  <c r="H47" i="5"/>
  <c r="H55" i="5"/>
  <c r="H63" i="5"/>
  <c r="I31" i="5"/>
  <c r="I119" i="5"/>
  <c r="I24" i="5"/>
  <c r="H49" i="5"/>
  <c r="I73" i="5"/>
  <c r="H66" i="5"/>
  <c r="I66" i="5"/>
  <c r="H67" i="5"/>
  <c r="I67" i="5"/>
  <c r="I23" i="5"/>
  <c r="I55" i="5"/>
  <c r="I111" i="5"/>
  <c r="H64" i="5"/>
  <c r="H112" i="5"/>
  <c r="I56" i="5"/>
  <c r="I104" i="5"/>
  <c r="H65" i="5"/>
  <c r="H113" i="5"/>
  <c r="I57" i="5"/>
  <c r="I113" i="5"/>
  <c r="H74" i="5"/>
  <c r="H114" i="5"/>
  <c r="I106" i="5"/>
  <c r="H59" i="5"/>
  <c r="H99" i="5"/>
  <c r="I43" i="5"/>
  <c r="I91" i="5"/>
  <c r="M20" i="5"/>
  <c r="M28" i="5"/>
  <c r="M36" i="5"/>
  <c r="M44" i="5"/>
  <c r="M52" i="5"/>
  <c r="M60" i="5"/>
  <c r="M68" i="5"/>
  <c r="M76" i="5"/>
  <c r="M84" i="5"/>
  <c r="M92" i="5"/>
  <c r="M100" i="5"/>
  <c r="M108" i="5"/>
  <c r="M116" i="5"/>
  <c r="N44" i="5"/>
  <c r="N60" i="5"/>
  <c r="N68" i="5"/>
  <c r="N84" i="5"/>
  <c r="N92" i="5"/>
  <c r="N108" i="5"/>
  <c r="N116" i="5"/>
  <c r="N95" i="5"/>
  <c r="M32" i="5"/>
  <c r="M96" i="5"/>
  <c r="N40" i="5"/>
  <c r="N80" i="5"/>
  <c r="M41" i="5"/>
  <c r="M97" i="5"/>
  <c r="N49" i="5"/>
  <c r="N89" i="5"/>
  <c r="M26" i="5"/>
  <c r="M98" i="5"/>
  <c r="N50" i="5"/>
  <c r="N90" i="5"/>
  <c r="M27" i="5"/>
  <c r="M83" i="5"/>
  <c r="N27" i="5"/>
  <c r="N83" i="5"/>
  <c r="N20" i="5"/>
  <c r="N28" i="5"/>
  <c r="N36" i="5"/>
  <c r="N52" i="5"/>
  <c r="N76" i="5"/>
  <c r="N100" i="5"/>
  <c r="N103" i="5"/>
  <c r="M80" i="5"/>
  <c r="N96" i="5"/>
  <c r="M73" i="5"/>
  <c r="N73" i="5"/>
  <c r="M58" i="5"/>
  <c r="N106" i="5"/>
  <c r="M67" i="5"/>
  <c r="N67" i="5"/>
  <c r="M21" i="5"/>
  <c r="M29" i="5"/>
  <c r="M37" i="5"/>
  <c r="M45" i="5"/>
  <c r="M53" i="5"/>
  <c r="M61" i="5"/>
  <c r="M69" i="5"/>
  <c r="M77" i="5"/>
  <c r="M85" i="5"/>
  <c r="M93" i="5"/>
  <c r="M101" i="5"/>
  <c r="M109" i="5"/>
  <c r="M117" i="5"/>
  <c r="M54" i="5"/>
  <c r="M78" i="5"/>
  <c r="M94" i="5"/>
  <c r="M63" i="5"/>
  <c r="M87" i="5"/>
  <c r="M119" i="5"/>
  <c r="N119" i="5"/>
  <c r="M64" i="5"/>
  <c r="N24" i="5"/>
  <c r="N104" i="5"/>
  <c r="M57" i="5"/>
  <c r="M113" i="5"/>
  <c r="N57" i="5"/>
  <c r="N113" i="5"/>
  <c r="M74" i="5"/>
  <c r="M114" i="5"/>
  <c r="N66" i="5"/>
  <c r="M51" i="5"/>
  <c r="M107" i="5"/>
  <c r="N59" i="5"/>
  <c r="N21" i="5"/>
  <c r="N29" i="5"/>
  <c r="N37" i="5"/>
  <c r="N45" i="5"/>
  <c r="N53" i="5"/>
  <c r="N61" i="5"/>
  <c r="N69" i="5"/>
  <c r="N77" i="5"/>
  <c r="N85" i="5"/>
  <c r="N93" i="5"/>
  <c r="N101" i="5"/>
  <c r="N109" i="5"/>
  <c r="N117" i="5"/>
  <c r="M46" i="5"/>
  <c r="M70" i="5"/>
  <c r="M86" i="5"/>
  <c r="M102" i="5"/>
  <c r="M118" i="5"/>
  <c r="M79" i="5"/>
  <c r="M103" i="5"/>
  <c r="N79" i="5"/>
  <c r="M24" i="5"/>
  <c r="M72" i="5"/>
  <c r="M112" i="5"/>
  <c r="N56" i="5"/>
  <c r="N112" i="5"/>
  <c r="M49" i="5"/>
  <c r="M105" i="5"/>
  <c r="N33" i="5"/>
  <c r="N97" i="5"/>
  <c r="M42" i="5"/>
  <c r="M90" i="5"/>
  <c r="N26" i="5"/>
  <c r="N58" i="5"/>
  <c r="N114" i="5"/>
  <c r="M59" i="5"/>
  <c r="M115" i="5"/>
  <c r="N51" i="5"/>
  <c r="N107" i="5"/>
  <c r="M22" i="5"/>
  <c r="M30" i="5"/>
  <c r="M38" i="5"/>
  <c r="M62" i="5"/>
  <c r="M110" i="5"/>
  <c r="M111" i="5"/>
  <c r="M48" i="5"/>
  <c r="N64" i="5"/>
  <c r="M65" i="5"/>
  <c r="N65" i="5"/>
  <c r="M66" i="5"/>
  <c r="N74" i="5"/>
  <c r="M91" i="5"/>
  <c r="N91" i="5"/>
  <c r="N22" i="5"/>
  <c r="N30" i="5"/>
  <c r="N38" i="5"/>
  <c r="N46" i="5"/>
  <c r="N54" i="5"/>
  <c r="N62" i="5"/>
  <c r="N70" i="5"/>
  <c r="N78" i="5"/>
  <c r="N86" i="5"/>
  <c r="N94" i="5"/>
  <c r="N102" i="5"/>
  <c r="N110" i="5"/>
  <c r="N118" i="5"/>
  <c r="M23" i="5"/>
  <c r="M31" i="5"/>
  <c r="M39" i="5"/>
  <c r="M47" i="5"/>
  <c r="M55" i="5"/>
  <c r="M71" i="5"/>
  <c r="M95" i="5"/>
  <c r="N87" i="5"/>
  <c r="M40" i="5"/>
  <c r="M88" i="5"/>
  <c r="N32" i="5"/>
  <c r="N72" i="5"/>
  <c r="M25" i="5"/>
  <c r="M89" i="5"/>
  <c r="N41" i="5"/>
  <c r="N81" i="5"/>
  <c r="M34" i="5"/>
  <c r="M82" i="5"/>
  <c r="N42" i="5"/>
  <c r="N82" i="5"/>
  <c r="M35" i="5"/>
  <c r="M75" i="5"/>
  <c r="N35" i="5"/>
  <c r="N75" i="5"/>
  <c r="N115" i="5"/>
  <c r="N23" i="5"/>
  <c r="N31" i="5"/>
  <c r="N39" i="5"/>
  <c r="N47" i="5"/>
  <c r="N55" i="5"/>
  <c r="N63" i="5"/>
  <c r="N71" i="5"/>
  <c r="N111" i="5"/>
  <c r="M56" i="5"/>
  <c r="M104" i="5"/>
  <c r="N48" i="5"/>
  <c r="N88" i="5"/>
  <c r="M33" i="5"/>
  <c r="M81" i="5"/>
  <c r="N25" i="5"/>
  <c r="N105" i="5"/>
  <c r="M50" i="5"/>
  <c r="M106" i="5"/>
  <c r="N34" i="5"/>
  <c r="N98" i="5"/>
  <c r="M43" i="5"/>
  <c r="M99" i="5"/>
  <c r="N43" i="5"/>
  <c r="N99" i="5"/>
  <c r="N19" i="5"/>
  <c r="M19" i="5"/>
  <c r="I19" i="5"/>
  <c r="H19" i="5"/>
  <c r="E12" i="5"/>
  <c r="D12" i="5"/>
  <c r="C20" i="5"/>
  <c r="C28" i="5"/>
  <c r="C36" i="5"/>
  <c r="C44" i="5"/>
  <c r="C52" i="5"/>
  <c r="C60" i="5"/>
  <c r="C68" i="5"/>
  <c r="C76" i="5"/>
  <c r="C84" i="5"/>
  <c r="C92" i="5"/>
  <c r="C100" i="5"/>
  <c r="C108" i="5"/>
  <c r="C116" i="5"/>
  <c r="C32" i="5"/>
  <c r="D32" i="5"/>
  <c r="C33" i="5"/>
  <c r="C89" i="5"/>
  <c r="D65" i="5"/>
  <c r="C42" i="5"/>
  <c r="D26" i="5"/>
  <c r="D106" i="5"/>
  <c r="C83" i="5"/>
  <c r="D67" i="5"/>
  <c r="D20" i="5"/>
  <c r="D28" i="5"/>
  <c r="D36" i="5"/>
  <c r="D44" i="5"/>
  <c r="D52" i="5"/>
  <c r="D60" i="5"/>
  <c r="D68" i="5"/>
  <c r="D76" i="5"/>
  <c r="D84" i="5"/>
  <c r="D92" i="5"/>
  <c r="D100" i="5"/>
  <c r="D108" i="5"/>
  <c r="D116" i="5"/>
  <c r="D110" i="5"/>
  <c r="C55" i="5"/>
  <c r="C87" i="5"/>
  <c r="D39" i="5"/>
  <c r="D71" i="5"/>
  <c r="D111" i="5"/>
  <c r="C64" i="5"/>
  <c r="C112" i="5"/>
  <c r="D64" i="5"/>
  <c r="D96" i="5"/>
  <c r="C49" i="5"/>
  <c r="C105" i="5"/>
  <c r="D97" i="5"/>
  <c r="C34" i="5"/>
  <c r="C90" i="5"/>
  <c r="D42" i="5"/>
  <c r="D90" i="5"/>
  <c r="C51" i="5"/>
  <c r="C91" i="5"/>
  <c r="D59" i="5"/>
  <c r="D99" i="5"/>
  <c r="C21" i="5"/>
  <c r="C29" i="5"/>
  <c r="C37" i="5"/>
  <c r="C45" i="5"/>
  <c r="C53" i="5"/>
  <c r="C61" i="5"/>
  <c r="C69" i="5"/>
  <c r="C77" i="5"/>
  <c r="C85" i="5"/>
  <c r="C93" i="5"/>
  <c r="C101" i="5"/>
  <c r="C109" i="5"/>
  <c r="C117" i="5"/>
  <c r="D70" i="5"/>
  <c r="D102" i="5"/>
  <c r="C39" i="5"/>
  <c r="C63" i="5"/>
  <c r="C95" i="5"/>
  <c r="D31" i="5"/>
  <c r="D55" i="5"/>
  <c r="D95" i="5"/>
  <c r="C24" i="5"/>
  <c r="C72" i="5"/>
  <c r="C104" i="5"/>
  <c r="D48" i="5"/>
  <c r="D80" i="5"/>
  <c r="C25" i="5"/>
  <c r="C73" i="5"/>
  <c r="D25" i="5"/>
  <c r="D41" i="5"/>
  <c r="D73" i="5"/>
  <c r="C26" i="5"/>
  <c r="C74" i="5"/>
  <c r="C106" i="5"/>
  <c r="D58" i="5"/>
  <c r="D82" i="5"/>
  <c r="C35" i="5"/>
  <c r="C67" i="5"/>
  <c r="C115" i="5"/>
  <c r="D35" i="5"/>
  <c r="D83" i="5"/>
  <c r="D21" i="5"/>
  <c r="D29" i="5"/>
  <c r="D37" i="5"/>
  <c r="D45" i="5"/>
  <c r="D53" i="5"/>
  <c r="D61" i="5"/>
  <c r="D69" i="5"/>
  <c r="D77" i="5"/>
  <c r="D85" i="5"/>
  <c r="D93" i="5"/>
  <c r="D101" i="5"/>
  <c r="D109" i="5"/>
  <c r="D117" i="5"/>
  <c r="C110" i="5"/>
  <c r="D62" i="5"/>
  <c r="D94" i="5"/>
  <c r="D118" i="5"/>
  <c r="C47" i="5"/>
  <c r="C79" i="5"/>
  <c r="C119" i="5"/>
  <c r="D47" i="5"/>
  <c r="D87" i="5"/>
  <c r="D119" i="5"/>
  <c r="C40" i="5"/>
  <c r="C80" i="5"/>
  <c r="C88" i="5"/>
  <c r="D40" i="5"/>
  <c r="D72" i="5"/>
  <c r="D88" i="5"/>
  <c r="C41" i="5"/>
  <c r="C65" i="5"/>
  <c r="C97" i="5"/>
  <c r="D33" i="5"/>
  <c r="D57" i="5"/>
  <c r="D81" i="5"/>
  <c r="D113" i="5"/>
  <c r="C50" i="5"/>
  <c r="C82" i="5"/>
  <c r="C114" i="5"/>
  <c r="D50" i="5"/>
  <c r="D74" i="5"/>
  <c r="D114" i="5"/>
  <c r="C43" i="5"/>
  <c r="C75" i="5"/>
  <c r="D27" i="5"/>
  <c r="D43" i="5"/>
  <c r="D75" i="5"/>
  <c r="D115" i="5"/>
  <c r="C22" i="5"/>
  <c r="C30" i="5"/>
  <c r="C38" i="5"/>
  <c r="C46" i="5"/>
  <c r="C54" i="5"/>
  <c r="C62" i="5"/>
  <c r="C70" i="5"/>
  <c r="C78" i="5"/>
  <c r="C86" i="5"/>
  <c r="C94" i="5"/>
  <c r="C102" i="5"/>
  <c r="C118" i="5"/>
  <c r="D86" i="5"/>
  <c r="C23" i="5"/>
  <c r="C71" i="5"/>
  <c r="C111" i="5"/>
  <c r="D63" i="5"/>
  <c r="D103" i="5"/>
  <c r="C56" i="5"/>
  <c r="C96" i="5"/>
  <c r="D56" i="5"/>
  <c r="D104" i="5"/>
  <c r="C57" i="5"/>
  <c r="C113" i="5"/>
  <c r="D49" i="5"/>
  <c r="D105" i="5"/>
  <c r="C58" i="5"/>
  <c r="C98" i="5"/>
  <c r="D66" i="5"/>
  <c r="D98" i="5"/>
  <c r="C59" i="5"/>
  <c r="C99" i="5"/>
  <c r="D51" i="5"/>
  <c r="D107" i="5"/>
  <c r="D22" i="5"/>
  <c r="D30" i="5"/>
  <c r="D38" i="5"/>
  <c r="D46" i="5"/>
  <c r="D54" i="5"/>
  <c r="D78" i="5"/>
  <c r="C31" i="5"/>
  <c r="C103" i="5"/>
  <c r="D79" i="5"/>
  <c r="C48" i="5"/>
  <c r="D24" i="5"/>
  <c r="D112" i="5"/>
  <c r="C81" i="5"/>
  <c r="D89" i="5"/>
  <c r="C66" i="5"/>
  <c r="D34" i="5"/>
  <c r="C27" i="5"/>
  <c r="C107" i="5"/>
  <c r="D91" i="5"/>
  <c r="D23" i="5"/>
  <c r="D19" i="5"/>
  <c r="C19" i="5"/>
  <c r="B15" i="5"/>
  <c r="B14" i="5"/>
  <c r="B12" i="5"/>
  <c r="B11" i="5"/>
  <c r="B12" i="2"/>
  <c r="B11" i="2"/>
  <c r="B10" i="1"/>
  <c r="B15" i="2"/>
  <c r="B14" i="2"/>
  <c r="B11" i="1"/>
  <c r="V44" i="5" l="1"/>
  <c r="V98" i="5"/>
  <c r="V77" i="5"/>
  <c r="V29" i="5"/>
  <c r="V66" i="5"/>
  <c r="V108" i="5"/>
  <c r="V50" i="5"/>
  <c r="V34" i="5"/>
  <c r="V92" i="5"/>
  <c r="V39" i="5"/>
  <c r="V23" i="5"/>
  <c r="V72" i="5"/>
  <c r="V93" i="5"/>
  <c r="V24" i="5"/>
  <c r="V28" i="5"/>
  <c r="V61" i="5"/>
  <c r="V45" i="5"/>
  <c r="V103" i="5"/>
  <c r="V82" i="5"/>
  <c r="V87" i="5"/>
  <c r="V109" i="5"/>
  <c r="V71" i="5"/>
  <c r="V55" i="5"/>
  <c r="V114" i="5"/>
  <c r="V56" i="5"/>
  <c r="V76" i="5"/>
  <c r="V40" i="5"/>
  <c r="V60" i="5"/>
  <c r="V119" i="5"/>
  <c r="V88" i="5"/>
  <c r="V104" i="5"/>
  <c r="V51" i="5"/>
  <c r="V83" i="5"/>
  <c r="V99" i="5"/>
  <c r="V30" i="5"/>
  <c r="V62" i="5"/>
  <c r="V78" i="5"/>
  <c r="V25" i="5"/>
  <c r="V41" i="5"/>
  <c r="V57" i="5"/>
  <c r="V20" i="5"/>
  <c r="V36" i="5"/>
  <c r="V100" i="5"/>
  <c r="V47" i="5"/>
  <c r="V79" i="5"/>
  <c r="V111" i="5"/>
  <c r="V42" i="5"/>
  <c r="V74" i="5"/>
  <c r="V106" i="5"/>
  <c r="V21" i="5"/>
  <c r="V37" i="5"/>
  <c r="V53" i="5"/>
  <c r="V85" i="5"/>
  <c r="V117" i="5"/>
  <c r="V32" i="5"/>
  <c r="V48" i="5"/>
  <c r="V64" i="5"/>
  <c r="V80" i="5"/>
  <c r="V96" i="5"/>
  <c r="V112" i="5"/>
  <c r="V27" i="5"/>
  <c r="V43" i="5"/>
  <c r="V59" i="5"/>
  <c r="V75" i="5"/>
  <c r="V91" i="5"/>
  <c r="V107" i="5"/>
  <c r="V19" i="5"/>
  <c r="V35" i="5"/>
  <c r="V67" i="5"/>
  <c r="V115" i="5"/>
  <c r="V46" i="5"/>
  <c r="V94" i="5"/>
  <c r="V110" i="5"/>
  <c r="V73" i="5"/>
  <c r="V89" i="5"/>
  <c r="V105" i="5"/>
  <c r="V52" i="5"/>
  <c r="V68" i="5"/>
  <c r="V84" i="5"/>
  <c r="V116" i="5"/>
  <c r="V31" i="5"/>
  <c r="V63" i="5"/>
  <c r="V95" i="5"/>
  <c r="V26" i="5"/>
  <c r="V58" i="5"/>
  <c r="V90" i="5"/>
  <c r="V69" i="5"/>
  <c r="V101" i="5"/>
  <c r="V22" i="5"/>
  <c r="V38" i="5"/>
  <c r="V54" i="5"/>
  <c r="V70" i="5"/>
  <c r="V86" i="5"/>
  <c r="V102" i="5"/>
  <c r="V118" i="5"/>
  <c r="V33" i="5"/>
  <c r="V49" i="5"/>
  <c r="V65" i="5"/>
  <c r="V81" i="5"/>
  <c r="V97" i="5"/>
  <c r="V113" i="5"/>
  <c r="Q19" i="5"/>
  <c r="Q56" i="5"/>
  <c r="Q45" i="5"/>
  <c r="Q34" i="5"/>
  <c r="Q68" i="5"/>
  <c r="Q105" i="5"/>
  <c r="Q46" i="5"/>
  <c r="Q109" i="5"/>
  <c r="Q35" i="5"/>
  <c r="Q72" i="5"/>
  <c r="Q24" i="5"/>
  <c r="Q50" i="5"/>
  <c r="Q84" i="5"/>
  <c r="Q114" i="5"/>
  <c r="Q51" i="5"/>
  <c r="Q88" i="5"/>
  <c r="Q40" i="5"/>
  <c r="Q77" i="5"/>
  <c r="Q115" i="5"/>
  <c r="Q52" i="5"/>
  <c r="Q89" i="5"/>
  <c r="Q30" i="5"/>
  <c r="Q67" i="5"/>
  <c r="Q104" i="5"/>
  <c r="Q93" i="5"/>
  <c r="Q82" i="5"/>
  <c r="Q20" i="5"/>
  <c r="Q57" i="5"/>
  <c r="Q94" i="5"/>
  <c r="Q83" i="5"/>
  <c r="Q61" i="5"/>
  <c r="Q98" i="5"/>
  <c r="Q110" i="5"/>
  <c r="Q36" i="5"/>
  <c r="Q73" i="5"/>
  <c r="Q25" i="5"/>
  <c r="Q62" i="5"/>
  <c r="Q99" i="5"/>
  <c r="Q29" i="5"/>
  <c r="Q66" i="5"/>
  <c r="Q100" i="5"/>
  <c r="Q41" i="5"/>
  <c r="Q78" i="5"/>
  <c r="Q47" i="5"/>
  <c r="Q63" i="5"/>
  <c r="Q95" i="5"/>
  <c r="Q74" i="5"/>
  <c r="Q21" i="5"/>
  <c r="Q37" i="5"/>
  <c r="Q53" i="5"/>
  <c r="Q64" i="5"/>
  <c r="Q80" i="5"/>
  <c r="Q96" i="5"/>
  <c r="Q43" i="5"/>
  <c r="Q75" i="5"/>
  <c r="Q22" i="5"/>
  <c r="Q54" i="5"/>
  <c r="Q86" i="5"/>
  <c r="Q102" i="5"/>
  <c r="Q118" i="5"/>
  <c r="Q116" i="5"/>
  <c r="Q31" i="5"/>
  <c r="Q79" i="5"/>
  <c r="Q111" i="5"/>
  <c r="Q26" i="5"/>
  <c r="Q42" i="5"/>
  <c r="Q58" i="5"/>
  <c r="Q90" i="5"/>
  <c r="Q106" i="5"/>
  <c r="Q69" i="5"/>
  <c r="Q85" i="5"/>
  <c r="Q101" i="5"/>
  <c r="Q117" i="5"/>
  <c r="Q32" i="5"/>
  <c r="Q48" i="5"/>
  <c r="Q112" i="5"/>
  <c r="Q27" i="5"/>
  <c r="Q59" i="5"/>
  <c r="Q91" i="5"/>
  <c r="Q107" i="5"/>
  <c r="Q38" i="5"/>
  <c r="Q70" i="5"/>
  <c r="Q33" i="5"/>
  <c r="Q49" i="5"/>
  <c r="Q65" i="5"/>
  <c r="Q81" i="5"/>
  <c r="Q97" i="5"/>
  <c r="Q113" i="5"/>
  <c r="Q28" i="5"/>
  <c r="Q44" i="5"/>
  <c r="Q60" i="5"/>
  <c r="Q76" i="5"/>
  <c r="Q92" i="5"/>
  <c r="Q108" i="5"/>
  <c r="Q23" i="5"/>
  <c r="Q39" i="5"/>
  <c r="Q55" i="5"/>
  <c r="Q71" i="5"/>
  <c r="Q87" i="5"/>
  <c r="Q103" i="5"/>
  <c r="Q119" i="5"/>
  <c r="L46" i="5"/>
  <c r="L66" i="5"/>
  <c r="L30" i="5"/>
  <c r="L50" i="5"/>
  <c r="L99" i="5"/>
  <c r="L34" i="5"/>
  <c r="L83" i="5"/>
  <c r="L67" i="5"/>
  <c r="L51" i="5"/>
  <c r="L35" i="5"/>
  <c r="L104" i="5"/>
  <c r="L19" i="5"/>
  <c r="L88" i="5"/>
  <c r="L72" i="5"/>
  <c r="L56" i="5"/>
  <c r="L40" i="5"/>
  <c r="L109" i="5"/>
  <c r="L24" i="5"/>
  <c r="L93" i="5"/>
  <c r="L77" i="5"/>
  <c r="L61" i="5"/>
  <c r="L114" i="5"/>
  <c r="L45" i="5"/>
  <c r="L94" i="5"/>
  <c r="L29" i="5"/>
  <c r="L78" i="5"/>
  <c r="L98" i="5"/>
  <c r="L62" i="5"/>
  <c r="L82" i="5"/>
  <c r="L115" i="5"/>
  <c r="L110" i="5"/>
  <c r="L41" i="5"/>
  <c r="L57" i="5"/>
  <c r="L105" i="5"/>
  <c r="L20" i="5"/>
  <c r="L116" i="5"/>
  <c r="L79" i="5"/>
  <c r="L95" i="5"/>
  <c r="L111" i="5"/>
  <c r="L26" i="5"/>
  <c r="L42" i="5"/>
  <c r="L58" i="5"/>
  <c r="L21" i="5"/>
  <c r="L85" i="5"/>
  <c r="L101" i="5"/>
  <c r="L117" i="5"/>
  <c r="L32" i="5"/>
  <c r="L80" i="5"/>
  <c r="L27" i="5"/>
  <c r="L59" i="5"/>
  <c r="L75" i="5"/>
  <c r="L86" i="5"/>
  <c r="L102" i="5"/>
  <c r="L118" i="5"/>
  <c r="L33" i="5"/>
  <c r="L49" i="5"/>
  <c r="L65" i="5"/>
  <c r="L28" i="5"/>
  <c r="L44" i="5"/>
  <c r="L60" i="5"/>
  <c r="L76" i="5"/>
  <c r="L92" i="5"/>
  <c r="L108" i="5"/>
  <c r="L25" i="5"/>
  <c r="L73" i="5"/>
  <c r="L89" i="5"/>
  <c r="L36" i="5"/>
  <c r="L52" i="5"/>
  <c r="L68" i="5"/>
  <c r="L84" i="5"/>
  <c r="L100" i="5"/>
  <c r="L31" i="5"/>
  <c r="L47" i="5"/>
  <c r="L63" i="5"/>
  <c r="L74" i="5"/>
  <c r="L90" i="5"/>
  <c r="L106" i="5"/>
  <c r="L37" i="5"/>
  <c r="L53" i="5"/>
  <c r="L69" i="5"/>
  <c r="L48" i="5"/>
  <c r="L64" i="5"/>
  <c r="L96" i="5"/>
  <c r="L112" i="5"/>
  <c r="L43" i="5"/>
  <c r="L91" i="5"/>
  <c r="L107" i="5"/>
  <c r="L22" i="5"/>
  <c r="L38" i="5"/>
  <c r="L54" i="5"/>
  <c r="L70" i="5"/>
  <c r="L81" i="5"/>
  <c r="L97" i="5"/>
  <c r="L113" i="5"/>
  <c r="L23" i="5"/>
  <c r="L39" i="5"/>
  <c r="L55" i="5"/>
  <c r="L71" i="5"/>
  <c r="L87" i="5"/>
  <c r="L103" i="5"/>
  <c r="L119" i="5"/>
  <c r="G104" i="5"/>
  <c r="G56" i="5"/>
  <c r="G41" i="5"/>
  <c r="G45" i="5"/>
  <c r="G77" i="5"/>
  <c r="G61" i="5"/>
  <c r="G110" i="5"/>
  <c r="G83" i="5"/>
  <c r="G67" i="5"/>
  <c r="G40" i="5"/>
  <c r="G25" i="5"/>
  <c r="G88" i="5"/>
  <c r="G72" i="5"/>
  <c r="G29" i="5"/>
  <c r="G109" i="5"/>
  <c r="G57" i="5"/>
  <c r="G30" i="5"/>
  <c r="G46" i="5"/>
  <c r="G94" i="5"/>
  <c r="G114" i="5"/>
  <c r="G98" i="5"/>
  <c r="G50" i="5"/>
  <c r="G62" i="5"/>
  <c r="G82" i="5"/>
  <c r="G115" i="5"/>
  <c r="G99" i="5"/>
  <c r="G51" i="5"/>
  <c r="G24" i="5"/>
  <c r="G93" i="5"/>
  <c r="G34" i="5"/>
  <c r="G19" i="5"/>
  <c r="G78" i="5"/>
  <c r="G35" i="5"/>
  <c r="G66" i="5"/>
  <c r="G73" i="5"/>
  <c r="G105" i="5"/>
  <c r="G52" i="5"/>
  <c r="G84" i="5"/>
  <c r="G100" i="5"/>
  <c r="G116" i="5"/>
  <c r="G63" i="5"/>
  <c r="G26" i="5"/>
  <c r="G106" i="5"/>
  <c r="G21" i="5"/>
  <c r="G32" i="5"/>
  <c r="G48" i="5"/>
  <c r="G64" i="5"/>
  <c r="G80" i="5"/>
  <c r="G96" i="5"/>
  <c r="G112" i="5"/>
  <c r="G27" i="5"/>
  <c r="G43" i="5"/>
  <c r="G59" i="5"/>
  <c r="G75" i="5"/>
  <c r="G91" i="5"/>
  <c r="G107" i="5"/>
  <c r="G22" i="5"/>
  <c r="G38" i="5"/>
  <c r="G54" i="5"/>
  <c r="G70" i="5"/>
  <c r="G86" i="5"/>
  <c r="G102" i="5"/>
  <c r="G118" i="5"/>
  <c r="G89" i="5"/>
  <c r="G20" i="5"/>
  <c r="G36" i="5"/>
  <c r="G68" i="5"/>
  <c r="G31" i="5"/>
  <c r="G47" i="5"/>
  <c r="G79" i="5"/>
  <c r="G95" i="5"/>
  <c r="G111" i="5"/>
  <c r="G42" i="5"/>
  <c r="G58" i="5"/>
  <c r="G74" i="5"/>
  <c r="G90" i="5"/>
  <c r="G37" i="5"/>
  <c r="G53" i="5"/>
  <c r="G69" i="5"/>
  <c r="G85" i="5"/>
  <c r="G101" i="5"/>
  <c r="G117" i="5"/>
  <c r="G33" i="5"/>
  <c r="G49" i="5"/>
  <c r="G65" i="5"/>
  <c r="G81" i="5"/>
  <c r="G97" i="5"/>
  <c r="G113" i="5"/>
  <c r="G28" i="5"/>
  <c r="G44" i="5"/>
  <c r="G60" i="5"/>
  <c r="G76" i="5"/>
  <c r="G92" i="5"/>
  <c r="G108" i="5"/>
  <c r="G23" i="5"/>
  <c r="G39" i="5"/>
  <c r="G55" i="5"/>
  <c r="G71" i="5"/>
  <c r="G87" i="5"/>
  <c r="G103" i="5"/>
  <c r="G119" i="5"/>
  <c r="B19" i="5"/>
  <c r="B23" i="5"/>
  <c r="B91" i="5"/>
  <c r="B34" i="5"/>
  <c r="B89" i="5"/>
  <c r="B112" i="5"/>
  <c r="B24" i="5"/>
  <c r="B79" i="5"/>
  <c r="B78" i="5"/>
  <c r="B54" i="5"/>
  <c r="B46" i="5"/>
  <c r="B38" i="5"/>
  <c r="B30" i="5"/>
  <c r="B22" i="5"/>
  <c r="B107" i="5"/>
  <c r="B51" i="5"/>
  <c r="B98" i="5"/>
  <c r="B66" i="5"/>
  <c r="B105" i="5"/>
  <c r="B49" i="5"/>
  <c r="B104" i="5"/>
  <c r="B56" i="5"/>
  <c r="B103" i="5"/>
  <c r="B63" i="5"/>
  <c r="B86" i="5"/>
  <c r="B115" i="5"/>
  <c r="B75" i="5"/>
  <c r="B43" i="5"/>
  <c r="B27" i="5"/>
  <c r="B114" i="5"/>
  <c r="B74" i="5"/>
  <c r="B50" i="5"/>
  <c r="B113" i="5"/>
  <c r="B81" i="5"/>
  <c r="B57" i="5"/>
  <c r="B33" i="5"/>
  <c r="B88" i="5"/>
  <c r="B72" i="5"/>
  <c r="B40" i="5"/>
  <c r="B119" i="5"/>
  <c r="B87" i="5"/>
  <c r="B47" i="5"/>
  <c r="B118" i="5"/>
  <c r="B94" i="5"/>
  <c r="B62" i="5"/>
  <c r="B117" i="5"/>
  <c r="B109" i="5"/>
  <c r="B101" i="5"/>
  <c r="B93" i="5"/>
  <c r="B85" i="5"/>
  <c r="B77" i="5"/>
  <c r="B69" i="5"/>
  <c r="B61" i="5"/>
  <c r="B53" i="5"/>
  <c r="B45" i="5"/>
  <c r="B37" i="5"/>
  <c r="B29" i="5"/>
  <c r="B21" i="5"/>
  <c r="B83" i="5"/>
  <c r="B35" i="5"/>
  <c r="B82" i="5"/>
  <c r="B58" i="5"/>
  <c r="B73" i="5"/>
  <c r="B41" i="5"/>
  <c r="B25" i="5"/>
  <c r="B80" i="5"/>
  <c r="B48" i="5"/>
  <c r="B95" i="5"/>
  <c r="B55" i="5"/>
  <c r="B31" i="5"/>
  <c r="B102" i="5"/>
  <c r="B70" i="5"/>
  <c r="B99" i="5"/>
  <c r="B59" i="5"/>
  <c r="B90" i="5"/>
  <c r="B42" i="5"/>
  <c r="B97" i="5"/>
  <c r="B96" i="5"/>
  <c r="B64" i="5"/>
  <c r="B111" i="5"/>
  <c r="B71" i="5"/>
  <c r="B39" i="5"/>
  <c r="B110" i="5"/>
  <c r="B116" i="5"/>
  <c r="B108" i="5"/>
  <c r="B100" i="5"/>
  <c r="B92" i="5"/>
  <c r="B84" i="5"/>
  <c r="B76" i="5"/>
  <c r="B68" i="5"/>
  <c r="B60" i="5"/>
  <c r="B52" i="5"/>
  <c r="B44" i="5"/>
  <c r="B36" i="5"/>
  <c r="B28" i="5"/>
  <c r="B20" i="5"/>
  <c r="B67" i="5"/>
  <c r="B106" i="5"/>
  <c r="B26" i="5"/>
  <c r="B65" i="5"/>
  <c r="B32" i="5"/>
</calcChain>
</file>

<file path=xl/sharedStrings.xml><?xml version="1.0" encoding="utf-8"?>
<sst xmlns="http://schemas.openxmlformats.org/spreadsheetml/2006/main" count="56" uniqueCount="24">
  <si>
    <t>Function BS_call(S, sigma, rf, q, T, X)</t>
  </si>
  <si>
    <t>Function BS_put(S, sigma, rf, q, T, X)</t>
  </si>
  <si>
    <t>资产价格(S)</t>
  </si>
  <si>
    <t>资产波动率(sigma)</t>
  </si>
  <si>
    <t>无风险利率(rf)</t>
  </si>
  <si>
    <t>红利率(q)</t>
  </si>
  <si>
    <t>到期期限(T)</t>
  </si>
  <si>
    <t>执行价格(X)</t>
  </si>
  <si>
    <t>资产价格(S0)</t>
    <phoneticPr fontId="1" type="noConversion"/>
  </si>
  <si>
    <t>期数(N)</t>
    <phoneticPr fontId="1" type="noConversion"/>
  </si>
  <si>
    <t>无风险利率(r)</t>
    <phoneticPr fontId="1" type="noConversion"/>
  </si>
  <si>
    <t>到期期限(maturity)</t>
    <phoneticPr fontId="1" type="noConversion"/>
  </si>
  <si>
    <t>执行价格(x)</t>
    <phoneticPr fontId="1" type="noConversion"/>
  </si>
  <si>
    <t>Function BinaryTree_call(AmeEurFlag As String, S0, sigma, r, q, maturity, x, N)</t>
    <phoneticPr fontId="1" type="noConversion"/>
  </si>
  <si>
    <t>Function BinaryTree_put(AmeEurFlag As String, S0, sigma, r, q, maturity, x, N)</t>
    <phoneticPr fontId="1" type="noConversion"/>
  </si>
  <si>
    <r>
      <rPr>
        <sz val="11"/>
        <color rgb="FFFF0000"/>
        <rFont val="宋体"/>
        <family val="3"/>
        <charset val="134"/>
        <scheme val="minor"/>
      </rPr>
      <t>欧式</t>
    </r>
    <r>
      <rPr>
        <sz val="11"/>
        <color rgb="FF0070C0"/>
        <rFont val="宋体"/>
        <family val="3"/>
        <charset val="134"/>
        <scheme val="minor"/>
      </rPr>
      <t>看涨</t>
    </r>
    <r>
      <rPr>
        <sz val="11"/>
        <color theme="1"/>
        <rFont val="宋体"/>
        <family val="2"/>
        <charset val="134"/>
        <scheme val="minor"/>
      </rPr>
      <t>期权B-S</t>
    </r>
    <phoneticPr fontId="1" type="noConversion"/>
  </si>
  <si>
    <r>
      <rPr>
        <sz val="11"/>
        <color rgb="FFFF0000"/>
        <rFont val="宋体"/>
        <family val="3"/>
        <charset val="134"/>
        <scheme val="minor"/>
      </rPr>
      <t>欧式</t>
    </r>
    <r>
      <rPr>
        <sz val="11"/>
        <color rgb="FF0070C0"/>
        <rFont val="宋体"/>
        <family val="3"/>
        <charset val="134"/>
        <scheme val="minor"/>
      </rPr>
      <t>看跌</t>
    </r>
    <r>
      <rPr>
        <sz val="11"/>
        <color theme="1"/>
        <rFont val="宋体"/>
        <family val="2"/>
        <charset val="134"/>
        <scheme val="minor"/>
      </rPr>
      <t>期权B-S</t>
    </r>
    <phoneticPr fontId="1" type="noConversion"/>
  </si>
  <si>
    <r>
      <rPr>
        <sz val="11"/>
        <color rgb="FFFF0000"/>
        <rFont val="宋体"/>
        <family val="3"/>
        <charset val="134"/>
        <scheme val="minor"/>
      </rPr>
      <t>欧式</t>
    </r>
    <r>
      <rPr>
        <sz val="11"/>
        <color rgb="FF0070C0"/>
        <rFont val="宋体"/>
        <family val="3"/>
        <charset val="134"/>
        <scheme val="minor"/>
      </rPr>
      <t>看涨</t>
    </r>
    <r>
      <rPr>
        <sz val="11"/>
        <rFont val="宋体"/>
        <family val="3"/>
        <charset val="134"/>
        <scheme val="minor"/>
      </rPr>
      <t>股票</t>
    </r>
    <r>
      <rPr>
        <sz val="11"/>
        <color theme="1"/>
        <rFont val="宋体"/>
        <family val="2"/>
        <charset val="134"/>
        <scheme val="minor"/>
      </rPr>
      <t>期权</t>
    </r>
    <phoneticPr fontId="1" type="noConversion"/>
  </si>
  <si>
    <r>
      <rPr>
        <sz val="11"/>
        <color rgb="FFFF0000"/>
        <rFont val="宋体"/>
        <family val="3"/>
        <charset val="134"/>
        <scheme val="minor"/>
      </rPr>
      <t>美式</t>
    </r>
    <r>
      <rPr>
        <sz val="11"/>
        <color rgb="FF0070C0"/>
        <rFont val="宋体"/>
        <family val="3"/>
        <charset val="134"/>
        <scheme val="minor"/>
      </rPr>
      <t>看涨</t>
    </r>
    <r>
      <rPr>
        <sz val="11"/>
        <rFont val="宋体"/>
        <family val="3"/>
        <charset val="134"/>
        <scheme val="minor"/>
      </rPr>
      <t>股票</t>
    </r>
    <r>
      <rPr>
        <sz val="11"/>
        <color theme="1"/>
        <rFont val="宋体"/>
        <family val="2"/>
        <charset val="134"/>
        <scheme val="minor"/>
      </rPr>
      <t>期权</t>
    </r>
    <phoneticPr fontId="1" type="noConversion"/>
  </si>
  <si>
    <r>
      <rPr>
        <sz val="11"/>
        <color rgb="FFFF0000"/>
        <rFont val="宋体"/>
        <family val="3"/>
        <charset val="134"/>
        <scheme val="minor"/>
      </rPr>
      <t>欧式</t>
    </r>
    <r>
      <rPr>
        <sz val="11"/>
        <color rgb="FF0070C0"/>
        <rFont val="宋体"/>
        <family val="3"/>
        <charset val="134"/>
        <scheme val="minor"/>
      </rPr>
      <t>看跌</t>
    </r>
    <r>
      <rPr>
        <sz val="11"/>
        <rFont val="宋体"/>
        <family val="3"/>
        <charset val="134"/>
        <scheme val="minor"/>
      </rPr>
      <t>股票</t>
    </r>
    <r>
      <rPr>
        <sz val="11"/>
        <color theme="1"/>
        <rFont val="宋体"/>
        <family val="2"/>
        <charset val="134"/>
        <scheme val="minor"/>
      </rPr>
      <t>期权</t>
    </r>
    <phoneticPr fontId="1" type="noConversion"/>
  </si>
  <si>
    <r>
      <rPr>
        <sz val="11"/>
        <color rgb="FFFF0000"/>
        <rFont val="宋体"/>
        <family val="3"/>
        <charset val="134"/>
        <scheme val="minor"/>
      </rPr>
      <t>美式</t>
    </r>
    <r>
      <rPr>
        <sz val="11"/>
        <color rgb="FF0070C0"/>
        <rFont val="宋体"/>
        <family val="3"/>
        <charset val="134"/>
        <scheme val="minor"/>
      </rPr>
      <t>看跌</t>
    </r>
    <r>
      <rPr>
        <sz val="11"/>
        <rFont val="宋体"/>
        <family val="3"/>
        <charset val="134"/>
        <scheme val="minor"/>
      </rPr>
      <t>股票</t>
    </r>
    <r>
      <rPr>
        <sz val="11"/>
        <color theme="1"/>
        <rFont val="宋体"/>
        <family val="2"/>
        <charset val="134"/>
        <scheme val="minor"/>
      </rPr>
      <t>期权</t>
    </r>
    <phoneticPr fontId="1" type="noConversion"/>
  </si>
  <si>
    <t>欧式看跌</t>
    <phoneticPr fontId="1" type="noConversion"/>
  </si>
  <si>
    <t>美式看跌</t>
    <phoneticPr fontId="1" type="noConversion"/>
  </si>
  <si>
    <t>差值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</si>
</sst>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70C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name val="Geneva"/>
      <family val="2"/>
    </font>
    <font>
      <sz val="1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9">
    <xf numFmtId="0" fontId="0" fillId="0" borderId="0" xfId="0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_Sheet1" xfId="1" xr:uid="{00000000-0005-0000-0000-000000000000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'差值-资产价格'!$B$18</c:f>
              <c:strCache>
                <c:ptCount val="1"/>
                <c:pt idx="0">
                  <c:v>差值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'差值-资产价格'!$A$19:$A$119</c:f>
              <c:numCache>
                <c:formatCode>General</c:formatCode>
                <c:ptCount val="101"/>
                <c:pt idx="0">
                  <c:v>200</c:v>
                </c:pt>
                <c:pt idx="1">
                  <c:v>202</c:v>
                </c:pt>
                <c:pt idx="2">
                  <c:v>204</c:v>
                </c:pt>
                <c:pt idx="3">
                  <c:v>206</c:v>
                </c:pt>
                <c:pt idx="4">
                  <c:v>208</c:v>
                </c:pt>
                <c:pt idx="5">
                  <c:v>210</c:v>
                </c:pt>
                <c:pt idx="6">
                  <c:v>212</c:v>
                </c:pt>
                <c:pt idx="7">
                  <c:v>214</c:v>
                </c:pt>
                <c:pt idx="8">
                  <c:v>216</c:v>
                </c:pt>
                <c:pt idx="9">
                  <c:v>218</c:v>
                </c:pt>
                <c:pt idx="10">
                  <c:v>220</c:v>
                </c:pt>
                <c:pt idx="11">
                  <c:v>222</c:v>
                </c:pt>
                <c:pt idx="12">
                  <c:v>224</c:v>
                </c:pt>
                <c:pt idx="13">
                  <c:v>226</c:v>
                </c:pt>
                <c:pt idx="14">
                  <c:v>228</c:v>
                </c:pt>
                <c:pt idx="15">
                  <c:v>230</c:v>
                </c:pt>
                <c:pt idx="16">
                  <c:v>232</c:v>
                </c:pt>
                <c:pt idx="17">
                  <c:v>234</c:v>
                </c:pt>
                <c:pt idx="18">
                  <c:v>236</c:v>
                </c:pt>
                <c:pt idx="19">
                  <c:v>238</c:v>
                </c:pt>
                <c:pt idx="20">
                  <c:v>240</c:v>
                </c:pt>
                <c:pt idx="21">
                  <c:v>242</c:v>
                </c:pt>
                <c:pt idx="22">
                  <c:v>244</c:v>
                </c:pt>
                <c:pt idx="23">
                  <c:v>246</c:v>
                </c:pt>
                <c:pt idx="24">
                  <c:v>248</c:v>
                </c:pt>
                <c:pt idx="25">
                  <c:v>250</c:v>
                </c:pt>
                <c:pt idx="26">
                  <c:v>252</c:v>
                </c:pt>
                <c:pt idx="27">
                  <c:v>254</c:v>
                </c:pt>
                <c:pt idx="28">
                  <c:v>256</c:v>
                </c:pt>
                <c:pt idx="29">
                  <c:v>258</c:v>
                </c:pt>
                <c:pt idx="30">
                  <c:v>260</c:v>
                </c:pt>
                <c:pt idx="31">
                  <c:v>262</c:v>
                </c:pt>
                <c:pt idx="32">
                  <c:v>264</c:v>
                </c:pt>
                <c:pt idx="33">
                  <c:v>266</c:v>
                </c:pt>
                <c:pt idx="34">
                  <c:v>268</c:v>
                </c:pt>
                <c:pt idx="35">
                  <c:v>270</c:v>
                </c:pt>
                <c:pt idx="36">
                  <c:v>272</c:v>
                </c:pt>
                <c:pt idx="37">
                  <c:v>274</c:v>
                </c:pt>
                <c:pt idx="38">
                  <c:v>276</c:v>
                </c:pt>
                <c:pt idx="39">
                  <c:v>278</c:v>
                </c:pt>
                <c:pt idx="40">
                  <c:v>280</c:v>
                </c:pt>
                <c:pt idx="41">
                  <c:v>282</c:v>
                </c:pt>
                <c:pt idx="42">
                  <c:v>284</c:v>
                </c:pt>
                <c:pt idx="43">
                  <c:v>286</c:v>
                </c:pt>
                <c:pt idx="44">
                  <c:v>288</c:v>
                </c:pt>
                <c:pt idx="45">
                  <c:v>290</c:v>
                </c:pt>
                <c:pt idx="46">
                  <c:v>292</c:v>
                </c:pt>
                <c:pt idx="47">
                  <c:v>294</c:v>
                </c:pt>
                <c:pt idx="48">
                  <c:v>296</c:v>
                </c:pt>
                <c:pt idx="49">
                  <c:v>298</c:v>
                </c:pt>
                <c:pt idx="50">
                  <c:v>300</c:v>
                </c:pt>
                <c:pt idx="51">
                  <c:v>302</c:v>
                </c:pt>
                <c:pt idx="52">
                  <c:v>304</c:v>
                </c:pt>
                <c:pt idx="53">
                  <c:v>306</c:v>
                </c:pt>
                <c:pt idx="54">
                  <c:v>308</c:v>
                </c:pt>
                <c:pt idx="55">
                  <c:v>310</c:v>
                </c:pt>
                <c:pt idx="56">
                  <c:v>312</c:v>
                </c:pt>
                <c:pt idx="57">
                  <c:v>314</c:v>
                </c:pt>
                <c:pt idx="58">
                  <c:v>316</c:v>
                </c:pt>
                <c:pt idx="59">
                  <c:v>318</c:v>
                </c:pt>
                <c:pt idx="60">
                  <c:v>320</c:v>
                </c:pt>
                <c:pt idx="61">
                  <c:v>322</c:v>
                </c:pt>
                <c:pt idx="62">
                  <c:v>324</c:v>
                </c:pt>
                <c:pt idx="63">
                  <c:v>326</c:v>
                </c:pt>
                <c:pt idx="64">
                  <c:v>328</c:v>
                </c:pt>
                <c:pt idx="65">
                  <c:v>330</c:v>
                </c:pt>
                <c:pt idx="66">
                  <c:v>332</c:v>
                </c:pt>
                <c:pt idx="67">
                  <c:v>334</c:v>
                </c:pt>
                <c:pt idx="68">
                  <c:v>336</c:v>
                </c:pt>
                <c:pt idx="69">
                  <c:v>338</c:v>
                </c:pt>
                <c:pt idx="70">
                  <c:v>340</c:v>
                </c:pt>
                <c:pt idx="71">
                  <c:v>342</c:v>
                </c:pt>
                <c:pt idx="72">
                  <c:v>344</c:v>
                </c:pt>
                <c:pt idx="73">
                  <c:v>346</c:v>
                </c:pt>
                <c:pt idx="74">
                  <c:v>348</c:v>
                </c:pt>
                <c:pt idx="75">
                  <c:v>350</c:v>
                </c:pt>
                <c:pt idx="76">
                  <c:v>352</c:v>
                </c:pt>
                <c:pt idx="77">
                  <c:v>354</c:v>
                </c:pt>
                <c:pt idx="78">
                  <c:v>356</c:v>
                </c:pt>
                <c:pt idx="79">
                  <c:v>358</c:v>
                </c:pt>
                <c:pt idx="80">
                  <c:v>360</c:v>
                </c:pt>
                <c:pt idx="81">
                  <c:v>362</c:v>
                </c:pt>
                <c:pt idx="82">
                  <c:v>364</c:v>
                </c:pt>
                <c:pt idx="83">
                  <c:v>366</c:v>
                </c:pt>
                <c:pt idx="84">
                  <c:v>368</c:v>
                </c:pt>
                <c:pt idx="85">
                  <c:v>370</c:v>
                </c:pt>
                <c:pt idx="86">
                  <c:v>372</c:v>
                </c:pt>
                <c:pt idx="87">
                  <c:v>374</c:v>
                </c:pt>
                <c:pt idx="88">
                  <c:v>376</c:v>
                </c:pt>
                <c:pt idx="89">
                  <c:v>378</c:v>
                </c:pt>
                <c:pt idx="90">
                  <c:v>380</c:v>
                </c:pt>
                <c:pt idx="91">
                  <c:v>382</c:v>
                </c:pt>
                <c:pt idx="92">
                  <c:v>384</c:v>
                </c:pt>
                <c:pt idx="93">
                  <c:v>386</c:v>
                </c:pt>
                <c:pt idx="94">
                  <c:v>388</c:v>
                </c:pt>
                <c:pt idx="95">
                  <c:v>390</c:v>
                </c:pt>
                <c:pt idx="96">
                  <c:v>392</c:v>
                </c:pt>
                <c:pt idx="97">
                  <c:v>394</c:v>
                </c:pt>
                <c:pt idx="98">
                  <c:v>396</c:v>
                </c:pt>
                <c:pt idx="99">
                  <c:v>398</c:v>
                </c:pt>
                <c:pt idx="100">
                  <c:v>400</c:v>
                </c:pt>
              </c:numCache>
            </c:numRef>
          </c:cat>
          <c:val>
            <c:numRef>
              <c:f>'差值-资产价格'!$B$19:$B$119</c:f>
              <c:numCache>
                <c:formatCode>General</c:formatCode>
                <c:ptCount val="101"/>
                <c:pt idx="0">
                  <c:v>2.6314250646854731</c:v>
                </c:pt>
                <c:pt idx="1">
                  <c:v>2.5787965633917906</c:v>
                </c:pt>
                <c:pt idx="2">
                  <c:v>2.5261680620980798</c:v>
                </c:pt>
                <c:pt idx="3">
                  <c:v>2.4735395608043689</c:v>
                </c:pt>
                <c:pt idx="4">
                  <c:v>2.4209110595106864</c:v>
                </c:pt>
                <c:pt idx="5">
                  <c:v>2.3682825582169613</c:v>
                </c:pt>
                <c:pt idx="6">
                  <c:v>2.315654056923222</c:v>
                </c:pt>
                <c:pt idx="7">
                  <c:v>2.1308579742512137</c:v>
                </c:pt>
                <c:pt idx="8">
                  <c:v>1.9340435897591846</c:v>
                </c:pt>
                <c:pt idx="9">
                  <c:v>1.737229205267198</c:v>
                </c:pt>
                <c:pt idx="10">
                  <c:v>1.5404148207751973</c:v>
                </c:pt>
                <c:pt idx="11">
                  <c:v>1.3436004362832108</c:v>
                </c:pt>
                <c:pt idx="12">
                  <c:v>1.2616481337342265</c:v>
                </c:pt>
                <c:pt idx="13">
                  <c:v>1.2346115910519728</c:v>
                </c:pt>
                <c:pt idx="14">
                  <c:v>1.2075750483697192</c:v>
                </c:pt>
                <c:pt idx="15">
                  <c:v>1.1805385056874798</c:v>
                </c:pt>
                <c:pt idx="16">
                  <c:v>1.1535019630052261</c:v>
                </c:pt>
                <c:pt idx="17">
                  <c:v>1.1264654203229583</c:v>
                </c:pt>
                <c:pt idx="18">
                  <c:v>1.0994288776407046</c:v>
                </c:pt>
                <c:pt idx="19">
                  <c:v>1.0723923349584439</c:v>
                </c:pt>
                <c:pt idx="20">
                  <c:v>1.0453557922762045</c:v>
                </c:pt>
                <c:pt idx="21">
                  <c:v>1.0183192495939508</c:v>
                </c:pt>
                <c:pt idx="22">
                  <c:v>0.99128270691171139</c:v>
                </c:pt>
                <c:pt idx="23">
                  <c:v>0.96424616422945064</c:v>
                </c:pt>
                <c:pt idx="24">
                  <c:v>0.937209621547197</c:v>
                </c:pt>
                <c:pt idx="25">
                  <c:v>0.91017307886492915</c:v>
                </c:pt>
                <c:pt idx="26">
                  <c:v>0.88313653618268972</c:v>
                </c:pt>
                <c:pt idx="27">
                  <c:v>0.63196284432083871</c:v>
                </c:pt>
                <c:pt idx="28">
                  <c:v>0.47936498749477607</c:v>
                </c:pt>
                <c:pt idx="29">
                  <c:v>0.40278042290478311</c:v>
                </c:pt>
                <c:pt idx="30">
                  <c:v>0.39368934137049649</c:v>
                </c:pt>
                <c:pt idx="31">
                  <c:v>0.38459825983620277</c:v>
                </c:pt>
                <c:pt idx="32">
                  <c:v>0.37550717830191616</c:v>
                </c:pt>
                <c:pt idx="33">
                  <c:v>0.36641609676762954</c:v>
                </c:pt>
                <c:pt idx="34">
                  <c:v>0.35732501523335003</c:v>
                </c:pt>
                <c:pt idx="35">
                  <c:v>0.34823393369905631</c:v>
                </c:pt>
                <c:pt idx="36">
                  <c:v>0.3391428521647839</c:v>
                </c:pt>
                <c:pt idx="37">
                  <c:v>0.33005177063049729</c:v>
                </c:pt>
                <c:pt idx="38">
                  <c:v>0.32096068909619646</c:v>
                </c:pt>
                <c:pt idx="39">
                  <c:v>0.31186960756190985</c:v>
                </c:pt>
                <c:pt idx="40">
                  <c:v>0.30277852602763389</c:v>
                </c:pt>
                <c:pt idx="41">
                  <c:v>0.29368744449334017</c:v>
                </c:pt>
                <c:pt idx="42">
                  <c:v>0.28459636295903934</c:v>
                </c:pt>
                <c:pt idx="43">
                  <c:v>0.27550528142475628</c:v>
                </c:pt>
                <c:pt idx="44">
                  <c:v>0.26641419989047677</c:v>
                </c:pt>
                <c:pt idx="45">
                  <c:v>0.25732311835617949</c:v>
                </c:pt>
                <c:pt idx="46">
                  <c:v>0.24823203682187867</c:v>
                </c:pt>
                <c:pt idx="47">
                  <c:v>0.23914095528759916</c:v>
                </c:pt>
                <c:pt idx="48">
                  <c:v>0.23004987375331609</c:v>
                </c:pt>
                <c:pt idx="49">
                  <c:v>0.22095879221903658</c:v>
                </c:pt>
                <c:pt idx="50">
                  <c:v>0.21186771068474997</c:v>
                </c:pt>
                <c:pt idx="51">
                  <c:v>6.2028113336872082E-2</c:v>
                </c:pt>
                <c:pt idx="52">
                  <c:v>6.0602248246926393E-2</c:v>
                </c:pt>
                <c:pt idx="53">
                  <c:v>5.9176383156984258E-2</c:v>
                </c:pt>
                <c:pt idx="54">
                  <c:v>5.7750518067042123E-2</c:v>
                </c:pt>
                <c:pt idx="55">
                  <c:v>5.6324652977096434E-2</c:v>
                </c:pt>
                <c:pt idx="56">
                  <c:v>5.4898787887157852E-2</c:v>
                </c:pt>
                <c:pt idx="57">
                  <c:v>5.3472922797212163E-2</c:v>
                </c:pt>
                <c:pt idx="58">
                  <c:v>5.2047057707270028E-2</c:v>
                </c:pt>
                <c:pt idx="59">
                  <c:v>5.0621192617326116E-2</c:v>
                </c:pt>
                <c:pt idx="60">
                  <c:v>4.9195327527385757E-2</c:v>
                </c:pt>
                <c:pt idx="61">
                  <c:v>4.7769462437443622E-2</c:v>
                </c:pt>
                <c:pt idx="62">
                  <c:v>4.6343597347503263E-2</c:v>
                </c:pt>
                <c:pt idx="63">
                  <c:v>4.4917732257554022E-2</c:v>
                </c:pt>
                <c:pt idx="64">
                  <c:v>4.3491867167617215E-2</c:v>
                </c:pt>
                <c:pt idx="65">
                  <c:v>4.2066002077667974E-2</c:v>
                </c:pt>
                <c:pt idx="66">
                  <c:v>4.0640136987722286E-2</c:v>
                </c:pt>
                <c:pt idx="67">
                  <c:v>3.9214271897787256E-2</c:v>
                </c:pt>
                <c:pt idx="68">
                  <c:v>3.7788406807843344E-2</c:v>
                </c:pt>
                <c:pt idx="69">
                  <c:v>3.6362541717902985E-2</c:v>
                </c:pt>
                <c:pt idx="70">
                  <c:v>3.4936676627953744E-2</c:v>
                </c:pt>
                <c:pt idx="71">
                  <c:v>3.3510811538016938E-2</c:v>
                </c:pt>
                <c:pt idx="72">
                  <c:v>3.2084946448074803E-2</c:v>
                </c:pt>
                <c:pt idx="73">
                  <c:v>3.065908135812645E-2</c:v>
                </c:pt>
                <c:pt idx="74">
                  <c:v>2.9233216268190532E-2</c:v>
                </c:pt>
                <c:pt idx="75">
                  <c:v>2.7807351178249284E-2</c:v>
                </c:pt>
                <c:pt idx="76">
                  <c:v>2.638148608830182E-2</c:v>
                </c:pt>
                <c:pt idx="77">
                  <c:v>2.4955620998358796E-2</c:v>
                </c:pt>
                <c:pt idx="78">
                  <c:v>2.3529755908420658E-2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73-42C3-B0E6-513B451BF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5707935"/>
        <c:axId val="285705439"/>
      </c:lineChart>
      <c:catAx>
        <c:axId val="2857079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资产价格</a:t>
                </a:r>
                <a:endParaRPr lang="en-US" alt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5705439"/>
        <c:crosses val="autoZero"/>
        <c:auto val="1"/>
        <c:lblAlgn val="ctr"/>
        <c:lblOffset val="100"/>
        <c:tickLblSkip val="7"/>
        <c:noMultiLvlLbl val="0"/>
      </c:catAx>
      <c:valAx>
        <c:axId val="285705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5707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'差值-资产价格'!$G$18</c:f>
              <c:strCache>
                <c:ptCount val="1"/>
                <c:pt idx="0">
                  <c:v>差值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'差值-资产价格'!$F$19:$F$119</c:f>
              <c:numCache>
                <c:formatCode>General</c:formatCode>
                <c:ptCount val="101"/>
                <c:pt idx="0">
                  <c:v>200</c:v>
                </c:pt>
                <c:pt idx="1">
                  <c:v>202</c:v>
                </c:pt>
                <c:pt idx="2">
                  <c:v>204</c:v>
                </c:pt>
                <c:pt idx="3">
                  <c:v>206</c:v>
                </c:pt>
                <c:pt idx="4">
                  <c:v>208</c:v>
                </c:pt>
                <c:pt idx="5">
                  <c:v>210</c:v>
                </c:pt>
                <c:pt idx="6">
                  <c:v>212</c:v>
                </c:pt>
                <c:pt idx="7">
                  <c:v>214</c:v>
                </c:pt>
                <c:pt idx="8">
                  <c:v>216</c:v>
                </c:pt>
                <c:pt idx="9">
                  <c:v>218</c:v>
                </c:pt>
                <c:pt idx="10">
                  <c:v>220</c:v>
                </c:pt>
                <c:pt idx="11">
                  <c:v>222</c:v>
                </c:pt>
                <c:pt idx="12">
                  <c:v>224</c:v>
                </c:pt>
                <c:pt idx="13">
                  <c:v>226</c:v>
                </c:pt>
                <c:pt idx="14">
                  <c:v>228</c:v>
                </c:pt>
                <c:pt idx="15">
                  <c:v>230</c:v>
                </c:pt>
                <c:pt idx="16">
                  <c:v>232</c:v>
                </c:pt>
                <c:pt idx="17">
                  <c:v>234</c:v>
                </c:pt>
                <c:pt idx="18">
                  <c:v>236</c:v>
                </c:pt>
                <c:pt idx="19">
                  <c:v>238</c:v>
                </c:pt>
                <c:pt idx="20">
                  <c:v>240</c:v>
                </c:pt>
                <c:pt idx="21">
                  <c:v>242</c:v>
                </c:pt>
                <c:pt idx="22">
                  <c:v>244</c:v>
                </c:pt>
                <c:pt idx="23">
                  <c:v>246</c:v>
                </c:pt>
                <c:pt idx="24">
                  <c:v>248</c:v>
                </c:pt>
                <c:pt idx="25">
                  <c:v>250</c:v>
                </c:pt>
                <c:pt idx="26">
                  <c:v>252</c:v>
                </c:pt>
                <c:pt idx="27">
                  <c:v>254</c:v>
                </c:pt>
                <c:pt idx="28">
                  <c:v>256</c:v>
                </c:pt>
                <c:pt idx="29">
                  <c:v>258</c:v>
                </c:pt>
                <c:pt idx="30">
                  <c:v>260</c:v>
                </c:pt>
                <c:pt idx="31">
                  <c:v>262</c:v>
                </c:pt>
                <c:pt idx="32">
                  <c:v>264</c:v>
                </c:pt>
                <c:pt idx="33">
                  <c:v>266</c:v>
                </c:pt>
                <c:pt idx="34">
                  <c:v>268</c:v>
                </c:pt>
                <c:pt idx="35">
                  <c:v>270</c:v>
                </c:pt>
                <c:pt idx="36">
                  <c:v>272</c:v>
                </c:pt>
                <c:pt idx="37">
                  <c:v>274</c:v>
                </c:pt>
                <c:pt idx="38">
                  <c:v>276</c:v>
                </c:pt>
                <c:pt idx="39">
                  <c:v>278</c:v>
                </c:pt>
                <c:pt idx="40">
                  <c:v>280</c:v>
                </c:pt>
                <c:pt idx="41">
                  <c:v>282</c:v>
                </c:pt>
                <c:pt idx="42">
                  <c:v>284</c:v>
                </c:pt>
                <c:pt idx="43">
                  <c:v>286</c:v>
                </c:pt>
                <c:pt idx="44">
                  <c:v>288</c:v>
                </c:pt>
                <c:pt idx="45">
                  <c:v>290</c:v>
                </c:pt>
                <c:pt idx="46">
                  <c:v>292</c:v>
                </c:pt>
                <c:pt idx="47">
                  <c:v>294</c:v>
                </c:pt>
                <c:pt idx="48">
                  <c:v>296</c:v>
                </c:pt>
                <c:pt idx="49">
                  <c:v>298</c:v>
                </c:pt>
                <c:pt idx="50">
                  <c:v>300</c:v>
                </c:pt>
                <c:pt idx="51">
                  <c:v>302</c:v>
                </c:pt>
                <c:pt idx="52">
                  <c:v>304</c:v>
                </c:pt>
                <c:pt idx="53">
                  <c:v>306</c:v>
                </c:pt>
                <c:pt idx="54">
                  <c:v>308</c:v>
                </c:pt>
                <c:pt idx="55">
                  <c:v>310</c:v>
                </c:pt>
                <c:pt idx="56">
                  <c:v>312</c:v>
                </c:pt>
                <c:pt idx="57">
                  <c:v>314</c:v>
                </c:pt>
                <c:pt idx="58">
                  <c:v>316</c:v>
                </c:pt>
                <c:pt idx="59">
                  <c:v>318</c:v>
                </c:pt>
                <c:pt idx="60">
                  <c:v>320</c:v>
                </c:pt>
                <c:pt idx="61">
                  <c:v>322</c:v>
                </c:pt>
                <c:pt idx="62">
                  <c:v>324</c:v>
                </c:pt>
                <c:pt idx="63">
                  <c:v>326</c:v>
                </c:pt>
                <c:pt idx="64">
                  <c:v>328</c:v>
                </c:pt>
                <c:pt idx="65">
                  <c:v>330</c:v>
                </c:pt>
                <c:pt idx="66">
                  <c:v>332</c:v>
                </c:pt>
                <c:pt idx="67">
                  <c:v>334</c:v>
                </c:pt>
                <c:pt idx="68">
                  <c:v>336</c:v>
                </c:pt>
                <c:pt idx="69">
                  <c:v>338</c:v>
                </c:pt>
                <c:pt idx="70">
                  <c:v>340</c:v>
                </c:pt>
                <c:pt idx="71">
                  <c:v>342</c:v>
                </c:pt>
                <c:pt idx="72">
                  <c:v>344</c:v>
                </c:pt>
                <c:pt idx="73">
                  <c:v>346</c:v>
                </c:pt>
                <c:pt idx="74">
                  <c:v>348</c:v>
                </c:pt>
                <c:pt idx="75">
                  <c:v>350</c:v>
                </c:pt>
                <c:pt idx="76">
                  <c:v>352</c:v>
                </c:pt>
                <c:pt idx="77">
                  <c:v>354</c:v>
                </c:pt>
                <c:pt idx="78">
                  <c:v>356</c:v>
                </c:pt>
                <c:pt idx="79">
                  <c:v>358</c:v>
                </c:pt>
                <c:pt idx="80">
                  <c:v>360</c:v>
                </c:pt>
                <c:pt idx="81">
                  <c:v>362</c:v>
                </c:pt>
                <c:pt idx="82">
                  <c:v>364</c:v>
                </c:pt>
                <c:pt idx="83">
                  <c:v>366</c:v>
                </c:pt>
                <c:pt idx="84">
                  <c:v>368</c:v>
                </c:pt>
                <c:pt idx="85">
                  <c:v>370</c:v>
                </c:pt>
                <c:pt idx="86">
                  <c:v>372</c:v>
                </c:pt>
                <c:pt idx="87">
                  <c:v>374</c:v>
                </c:pt>
                <c:pt idx="88">
                  <c:v>376</c:v>
                </c:pt>
                <c:pt idx="89">
                  <c:v>378</c:v>
                </c:pt>
                <c:pt idx="90">
                  <c:v>380</c:v>
                </c:pt>
                <c:pt idx="91">
                  <c:v>382</c:v>
                </c:pt>
                <c:pt idx="92">
                  <c:v>384</c:v>
                </c:pt>
                <c:pt idx="93">
                  <c:v>386</c:v>
                </c:pt>
                <c:pt idx="94">
                  <c:v>388</c:v>
                </c:pt>
                <c:pt idx="95">
                  <c:v>390</c:v>
                </c:pt>
                <c:pt idx="96">
                  <c:v>392</c:v>
                </c:pt>
                <c:pt idx="97">
                  <c:v>394</c:v>
                </c:pt>
                <c:pt idx="98">
                  <c:v>396</c:v>
                </c:pt>
                <c:pt idx="99">
                  <c:v>398</c:v>
                </c:pt>
                <c:pt idx="100">
                  <c:v>400</c:v>
                </c:pt>
              </c:numCache>
            </c:numRef>
          </c:cat>
          <c:val>
            <c:numRef>
              <c:f>'差值-资产价格'!$G$19:$G$119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2.092947133268952E-2</c:v>
                </c:pt>
                <c:pt idx="28">
                  <c:v>2.2778362945478747E-2</c:v>
                </c:pt>
                <c:pt idx="29">
                  <c:v>2.4627254558264866E-2</c:v>
                </c:pt>
                <c:pt idx="30">
                  <c:v>2.6476146171054538E-2</c:v>
                </c:pt>
                <c:pt idx="31">
                  <c:v>2.8325037783842433E-2</c:v>
                </c:pt>
                <c:pt idx="32">
                  <c:v>3.0173929396628552E-2</c:v>
                </c:pt>
                <c:pt idx="33">
                  <c:v>3.2022821009418223E-2</c:v>
                </c:pt>
                <c:pt idx="34">
                  <c:v>3.3871712622207895E-2</c:v>
                </c:pt>
                <c:pt idx="35">
                  <c:v>3.5720604234994013E-2</c:v>
                </c:pt>
                <c:pt idx="36">
                  <c:v>3.7569495847781909E-2</c:v>
                </c:pt>
                <c:pt idx="37">
                  <c:v>3.941838746057158E-2</c:v>
                </c:pt>
                <c:pt idx="38">
                  <c:v>4.1267279073357699E-2</c:v>
                </c:pt>
                <c:pt idx="39">
                  <c:v>4.311617068614737E-2</c:v>
                </c:pt>
                <c:pt idx="40">
                  <c:v>4.4965062298933489E-2</c:v>
                </c:pt>
                <c:pt idx="41">
                  <c:v>4.6813953911724937E-2</c:v>
                </c:pt>
                <c:pt idx="42">
                  <c:v>4.8662845524511056E-2</c:v>
                </c:pt>
                <c:pt idx="43">
                  <c:v>5.0511737137298951E-2</c:v>
                </c:pt>
                <c:pt idx="44">
                  <c:v>5.2360628750088622E-2</c:v>
                </c:pt>
                <c:pt idx="45">
                  <c:v>5.4209520362876518E-2</c:v>
                </c:pt>
                <c:pt idx="46">
                  <c:v>5.6058411975662636E-2</c:v>
                </c:pt>
                <c:pt idx="47">
                  <c:v>5.7907303588454084E-2</c:v>
                </c:pt>
                <c:pt idx="48">
                  <c:v>5.9756195201234874E-2</c:v>
                </c:pt>
                <c:pt idx="49">
                  <c:v>6.1605086814026322E-2</c:v>
                </c:pt>
                <c:pt idx="50">
                  <c:v>0.21186771068474997</c:v>
                </c:pt>
                <c:pt idx="51">
                  <c:v>0.2223712436235914</c:v>
                </c:pt>
                <c:pt idx="52">
                  <c:v>0.23287477656245059</c:v>
                </c:pt>
                <c:pt idx="53">
                  <c:v>0.24337830950130268</c:v>
                </c:pt>
                <c:pt idx="54">
                  <c:v>0.25388184244015122</c:v>
                </c:pt>
                <c:pt idx="55">
                  <c:v>0.2643853753789962</c:v>
                </c:pt>
                <c:pt idx="56">
                  <c:v>0.2748889083178554</c:v>
                </c:pt>
                <c:pt idx="57">
                  <c:v>0.28539244125671104</c:v>
                </c:pt>
                <c:pt idx="58">
                  <c:v>0.29589597419557023</c:v>
                </c:pt>
                <c:pt idx="59">
                  <c:v>0.30639950713441877</c:v>
                </c:pt>
                <c:pt idx="60">
                  <c:v>0.31690304007327796</c:v>
                </c:pt>
                <c:pt idx="61">
                  <c:v>0.32740657301211229</c:v>
                </c:pt>
                <c:pt idx="62">
                  <c:v>0.33791010595096793</c:v>
                </c:pt>
                <c:pt idx="63">
                  <c:v>0.34841363888983068</c:v>
                </c:pt>
                <c:pt idx="64">
                  <c:v>0.35891717182868632</c:v>
                </c:pt>
                <c:pt idx="65">
                  <c:v>0.36942070476753486</c:v>
                </c:pt>
                <c:pt idx="66">
                  <c:v>0.37992423770639761</c:v>
                </c:pt>
                <c:pt idx="67">
                  <c:v>0.39042777064524614</c:v>
                </c:pt>
                <c:pt idx="68">
                  <c:v>0.40093130358410178</c:v>
                </c:pt>
                <c:pt idx="69">
                  <c:v>0.41143483652294321</c:v>
                </c:pt>
                <c:pt idx="70">
                  <c:v>0.42193836946179886</c:v>
                </c:pt>
                <c:pt idx="71">
                  <c:v>0.43244190240064739</c:v>
                </c:pt>
                <c:pt idx="72">
                  <c:v>0.44294543533950304</c:v>
                </c:pt>
                <c:pt idx="73">
                  <c:v>0.45344896827835157</c:v>
                </c:pt>
                <c:pt idx="74">
                  <c:v>0.46395250121720721</c:v>
                </c:pt>
                <c:pt idx="75">
                  <c:v>0.47445603415606286</c:v>
                </c:pt>
                <c:pt idx="76">
                  <c:v>0.59093985193474907</c:v>
                </c:pt>
                <c:pt idx="77">
                  <c:v>0.72435245634295597</c:v>
                </c:pt>
                <c:pt idx="78">
                  <c:v>0.93106890792227404</c:v>
                </c:pt>
                <c:pt idx="79">
                  <c:v>1.0636094218769756</c:v>
                </c:pt>
                <c:pt idx="80">
                  <c:v>1.0922076946379491</c:v>
                </c:pt>
                <c:pt idx="81">
                  <c:v>1.1208059673989297</c:v>
                </c:pt>
                <c:pt idx="82">
                  <c:v>1.1494042401599103</c:v>
                </c:pt>
                <c:pt idx="83">
                  <c:v>1.1780025129208838</c:v>
                </c:pt>
                <c:pt idx="84">
                  <c:v>1.2066007856818715</c:v>
                </c:pt>
                <c:pt idx="85">
                  <c:v>1.2351990584428307</c:v>
                </c:pt>
                <c:pt idx="86">
                  <c:v>1.2637973312038326</c:v>
                </c:pt>
                <c:pt idx="87">
                  <c:v>1.2923956039647919</c:v>
                </c:pt>
                <c:pt idx="88">
                  <c:v>1.3209938767257796</c:v>
                </c:pt>
                <c:pt idx="89">
                  <c:v>1.3495921494867389</c:v>
                </c:pt>
                <c:pt idx="90">
                  <c:v>1.3781904222477124</c:v>
                </c:pt>
                <c:pt idx="91">
                  <c:v>1.4067886950086859</c:v>
                </c:pt>
                <c:pt idx="92">
                  <c:v>1.4353869677696593</c:v>
                </c:pt>
                <c:pt idx="93">
                  <c:v>1.4639852405306328</c:v>
                </c:pt>
                <c:pt idx="94">
                  <c:v>1.4925835132916063</c:v>
                </c:pt>
                <c:pt idx="95">
                  <c:v>1.521181786052594</c:v>
                </c:pt>
                <c:pt idx="96">
                  <c:v>1.5497800588135959</c:v>
                </c:pt>
                <c:pt idx="97">
                  <c:v>1.5783783315745552</c:v>
                </c:pt>
                <c:pt idx="98">
                  <c:v>1.6069766043355429</c:v>
                </c:pt>
                <c:pt idx="99">
                  <c:v>1.6355748770965022</c:v>
                </c:pt>
                <c:pt idx="100">
                  <c:v>1.6641731498574899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9C-4C40-9B5E-B475B6926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4254479"/>
        <c:axId val="284256143"/>
      </c:lineChart>
      <c:catAx>
        <c:axId val="2842544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执行价格</a:t>
                </a:r>
                <a:endParaRPr lang="en-US" alt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4256143"/>
        <c:crosses val="autoZero"/>
        <c:auto val="1"/>
        <c:lblAlgn val="ctr"/>
        <c:lblOffset val="100"/>
        <c:tickLblSkip val="7"/>
        <c:noMultiLvlLbl val="0"/>
      </c:catAx>
      <c:valAx>
        <c:axId val="28425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42544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'差值-资产价格'!$L$18</c:f>
              <c:strCache>
                <c:ptCount val="1"/>
                <c:pt idx="0">
                  <c:v>差值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'差值-资产价格'!$K$19:$K$118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6.9999999999999993E-2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0.15000000000000002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</c:v>
                </c:pt>
                <c:pt idx="19">
                  <c:v>0.2</c:v>
                </c:pt>
                <c:pt idx="20">
                  <c:v>0.21000000000000002</c:v>
                </c:pt>
                <c:pt idx="21">
                  <c:v>0.22</c:v>
                </c:pt>
                <c:pt idx="22">
                  <c:v>0.23</c:v>
                </c:pt>
                <c:pt idx="23">
                  <c:v>0.24000000000000002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0.29000000000000004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0.35000000000000003</c:v>
                </c:pt>
                <c:pt idx="35">
                  <c:v>0.36000000000000004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0.41000000000000003</c:v>
                </c:pt>
                <c:pt idx="41">
                  <c:v>0.42000000000000004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0.47000000000000003</c:v>
                </c:pt>
                <c:pt idx="47">
                  <c:v>0.48000000000000004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0.57000000000000006</c:v>
                </c:pt>
                <c:pt idx="57">
                  <c:v>0.58000000000000007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0.69000000000000006</c:v>
                </c:pt>
                <c:pt idx="69">
                  <c:v>0.70000000000000007</c:v>
                </c:pt>
                <c:pt idx="70">
                  <c:v>0.71000000000000008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0.82000000000000006</c:v>
                </c:pt>
                <c:pt idx="82">
                  <c:v>0.83000000000000007</c:v>
                </c:pt>
                <c:pt idx="83">
                  <c:v>0.84000000000000008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0.94000000000000006</c:v>
                </c:pt>
                <c:pt idx="94">
                  <c:v>0.95000000000000007</c:v>
                </c:pt>
                <c:pt idx="95">
                  <c:v>0.96000000000000008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cat>
          <c:val>
            <c:numRef>
              <c:f>'差值-资产价格'!$L$19:$L$118</c:f>
              <c:numCache>
                <c:formatCode>General</c:formatCode>
                <c:ptCount val="100"/>
                <c:pt idx="0">
                  <c:v>7.0693031511337434E-3</c:v>
                </c:pt>
                <c:pt idx="1">
                  <c:v>1.4138559220999936E-2</c:v>
                </c:pt>
                <c:pt idx="2">
                  <c:v>2.1207721129546053E-2</c:v>
                </c:pt>
                <c:pt idx="3">
                  <c:v>2.8276741799162952E-2</c:v>
                </c:pt>
                <c:pt idx="4">
                  <c:v>3.5345574155968063E-2</c:v>
                </c:pt>
                <c:pt idx="5">
                  <c:v>4.2414171130860989E-2</c:v>
                </c:pt>
                <c:pt idx="6">
                  <c:v>4.9482485661028086E-2</c:v>
                </c:pt>
                <c:pt idx="7">
                  <c:v>5.655047069086816E-2</c:v>
                </c:pt>
                <c:pt idx="8">
                  <c:v>6.361807917344553E-2</c:v>
                </c:pt>
                <c:pt idx="9">
                  <c:v>7.0685264071584264E-2</c:v>
                </c:pt>
                <c:pt idx="10">
                  <c:v>7.7751978359096086E-2</c:v>
                </c:pt>
                <c:pt idx="11">
                  <c:v>8.4818175022083331E-2</c:v>
                </c:pt>
                <c:pt idx="12">
                  <c:v>9.1883807060099798E-2</c:v>
                </c:pt>
                <c:pt idx="13">
                  <c:v>9.8948827487390645E-2</c:v>
                </c:pt>
                <c:pt idx="14">
                  <c:v>0.10601318933408699</c:v>
                </c:pt>
                <c:pt idx="15">
                  <c:v>0.11307684564744136</c:v>
                </c:pt>
                <c:pt idx="16">
                  <c:v>0.12013974949312534</c:v>
                </c:pt>
                <c:pt idx="17">
                  <c:v>0.12720185395626338</c:v>
                </c:pt>
                <c:pt idx="18">
                  <c:v>0.13426311214278286</c:v>
                </c:pt>
                <c:pt idx="19">
                  <c:v>0.1413234771806966</c:v>
                </c:pt>
                <c:pt idx="20">
                  <c:v>0.14838290222109585</c:v>
                </c:pt>
                <c:pt idx="21">
                  <c:v>0.15544134043960511</c:v>
                </c:pt>
                <c:pt idx="22">
                  <c:v>0.16249874503739825</c:v>
                </c:pt>
                <c:pt idx="23">
                  <c:v>0.1695550692425325</c:v>
                </c:pt>
                <c:pt idx="24">
                  <c:v>0.17661026631108356</c:v>
                </c:pt>
                <c:pt idx="25">
                  <c:v>0.18366428952845837</c:v>
                </c:pt>
                <c:pt idx="26">
                  <c:v>0.19071709221045197</c:v>
                </c:pt>
                <c:pt idx="27">
                  <c:v>0.1977686277045656</c:v>
                </c:pt>
                <c:pt idx="28">
                  <c:v>0.20481884939118444</c:v>
                </c:pt>
                <c:pt idx="29">
                  <c:v>0.21186771068474997</c:v>
                </c:pt>
                <c:pt idx="30">
                  <c:v>0.21891516503495012</c:v>
                </c:pt>
                <c:pt idx="31">
                  <c:v>0.22596116592798765</c:v>
                </c:pt>
                <c:pt idx="32">
                  <c:v>0.23300566688776314</c:v>
                </c:pt>
                <c:pt idx="33">
                  <c:v>0.24004862147693018</c:v>
                </c:pt>
                <c:pt idx="34">
                  <c:v>0.24708998329828802</c:v>
                </c:pt>
                <c:pt idx="35">
                  <c:v>0.25412970599582252</c:v>
                </c:pt>
                <c:pt idx="36">
                  <c:v>0.26116774325600645</c:v>
                </c:pt>
                <c:pt idx="37">
                  <c:v>0.26820404880883331</c:v>
                </c:pt>
                <c:pt idx="38">
                  <c:v>0.27523857642917449</c:v>
                </c:pt>
                <c:pt idx="39">
                  <c:v>0.28227127993788059</c:v>
                </c:pt>
                <c:pt idx="40">
                  <c:v>0.2893021132028899</c:v>
                </c:pt>
                <c:pt idx="41">
                  <c:v>0.29633103014051798</c:v>
                </c:pt>
                <c:pt idx="42">
                  <c:v>0.30335798471656616</c:v>
                </c:pt>
                <c:pt idx="43">
                  <c:v>0.31038293094755076</c:v>
                </c:pt>
                <c:pt idx="44">
                  <c:v>0.31740582290171915</c:v>
                </c:pt>
                <c:pt idx="45">
                  <c:v>0.32442661470050638</c:v>
                </c:pt>
                <c:pt idx="46">
                  <c:v>0.33144526051933454</c:v>
                </c:pt>
                <c:pt idx="47">
                  <c:v>0.33846171458905161</c:v>
                </c:pt>
                <c:pt idx="48">
                  <c:v>0.34547593119696529</c:v>
                </c:pt>
                <c:pt idx="49">
                  <c:v>0.35248786468801541</c:v>
                </c:pt>
                <c:pt idx="50">
                  <c:v>0.35949746946597827</c:v>
                </c:pt>
                <c:pt idx="51">
                  <c:v>0.36650469999452895</c:v>
                </c:pt>
                <c:pt idx="52">
                  <c:v>0.37350951079834971</c:v>
                </c:pt>
                <c:pt idx="53">
                  <c:v>0.38051185646452979</c:v>
                </c:pt>
                <c:pt idx="54">
                  <c:v>0.38751169164334698</c:v>
                </c:pt>
                <c:pt idx="55">
                  <c:v>0.3945089710496319</c:v>
                </c:pt>
                <c:pt idx="56">
                  <c:v>0.40150364946390482</c:v>
                </c:pt>
                <c:pt idx="57">
                  <c:v>0.40849568173332784</c:v>
                </c:pt>
                <c:pt idx="58">
                  <c:v>0.41548502277306909</c:v>
                </c:pt>
                <c:pt idx="59">
                  <c:v>0.42247162756719092</c:v>
                </c:pt>
                <c:pt idx="60">
                  <c:v>0.429455451169936</c:v>
                </c:pt>
                <c:pt idx="61">
                  <c:v>0.43643644870672205</c:v>
                </c:pt>
                <c:pt idx="62">
                  <c:v>0.44341457537539242</c:v>
                </c:pt>
                <c:pt idx="63">
                  <c:v>0.45038978644717531</c:v>
                </c:pt>
                <c:pt idx="64">
                  <c:v>0.45736203726787039</c:v>
                </c:pt>
                <c:pt idx="65">
                  <c:v>0.46433128325895723</c:v>
                </c:pt>
                <c:pt idx="66">
                  <c:v>0.47129747991863269</c:v>
                </c:pt>
                <c:pt idx="67">
                  <c:v>0.4782605828229336</c:v>
                </c:pt>
                <c:pt idx="68">
                  <c:v>0.48522054762683808</c:v>
                </c:pt>
                <c:pt idx="69">
                  <c:v>0.49217733006526743</c:v>
                </c:pt>
                <c:pt idx="70">
                  <c:v>0.49913088595436506</c:v>
                </c:pt>
                <c:pt idx="71">
                  <c:v>0.50608117119226392</c:v>
                </c:pt>
                <c:pt idx="72">
                  <c:v>0.51302814176052181</c:v>
                </c:pt>
                <c:pt idx="73">
                  <c:v>0.51997175372483895</c:v>
                </c:pt>
                <c:pt idx="74">
                  <c:v>0.5269119632362802</c:v>
                </c:pt>
                <c:pt idx="75">
                  <c:v>0.53384872653247584</c:v>
                </c:pt>
                <c:pt idx="76">
                  <c:v>0.54078199993836762</c:v>
                </c:pt>
                <c:pt idx="77">
                  <c:v>0.54771173986754462</c:v>
                </c:pt>
                <c:pt idx="78">
                  <c:v>0.55463790282305325</c:v>
                </c:pt>
                <c:pt idx="79">
                  <c:v>0.56156044539861227</c:v>
                </c:pt>
                <c:pt idx="80">
                  <c:v>0.5684793242795223</c:v>
                </c:pt>
                <c:pt idx="81">
                  <c:v>0.57539449624381689</c:v>
                </c:pt>
                <c:pt idx="82">
                  <c:v>0.58230591816322885</c:v>
                </c:pt>
                <c:pt idx="83">
                  <c:v>0.5892135470041282</c:v>
                </c:pt>
                <c:pt idx="84">
                  <c:v>0.59611733982873005</c:v>
                </c:pt>
                <c:pt idx="85">
                  <c:v>0.60301725379591176</c:v>
                </c:pt>
                <c:pt idx="86">
                  <c:v>0.6099132461622645</c:v>
                </c:pt>
                <c:pt idx="87">
                  <c:v>0.6168052742832586</c:v>
                </c:pt>
                <c:pt idx="88">
                  <c:v>0.62369329561401798</c:v>
                </c:pt>
                <c:pt idx="89">
                  <c:v>0.6305772677104855</c:v>
                </c:pt>
                <c:pt idx="90">
                  <c:v>0.63745714823022581</c:v>
                </c:pt>
                <c:pt idx="91">
                  <c:v>0.6443328949335978</c:v>
                </c:pt>
                <c:pt idx="92">
                  <c:v>0.65120446568457879</c:v>
                </c:pt>
                <c:pt idx="93">
                  <c:v>0.65807181845183038</c:v>
                </c:pt>
                <c:pt idx="94">
                  <c:v>0.66493491130971449</c:v>
                </c:pt>
                <c:pt idx="95">
                  <c:v>0.67179370243906789</c:v>
                </c:pt>
                <c:pt idx="96">
                  <c:v>0.67864815012828217</c:v>
                </c:pt>
                <c:pt idx="97">
                  <c:v>0.68549821277425593</c:v>
                </c:pt>
                <c:pt idx="98">
                  <c:v>0.69234384888333267</c:v>
                </c:pt>
                <c:pt idx="99">
                  <c:v>0.69918501707219605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6-4FB0-864E-9D00C16B9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5734559"/>
        <c:axId val="285734975"/>
      </c:lineChart>
      <c:catAx>
        <c:axId val="2857345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波动率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5734975"/>
        <c:crosses val="autoZero"/>
        <c:auto val="1"/>
        <c:lblAlgn val="ctr"/>
        <c:lblOffset val="100"/>
        <c:tickLblSkip val="10"/>
        <c:noMultiLvlLbl val="0"/>
      </c:catAx>
      <c:valAx>
        <c:axId val="285734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5734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'差值-资产价格'!$Q$18</c:f>
              <c:strCache>
                <c:ptCount val="1"/>
                <c:pt idx="0">
                  <c:v>差值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'差值-资产价格'!$P$19:$P$118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6.9999999999999993E-2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0.15000000000000002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</c:v>
                </c:pt>
                <c:pt idx="19">
                  <c:v>0.2</c:v>
                </c:pt>
                <c:pt idx="20">
                  <c:v>0.21000000000000002</c:v>
                </c:pt>
                <c:pt idx="21">
                  <c:v>0.22</c:v>
                </c:pt>
                <c:pt idx="22">
                  <c:v>0.23</c:v>
                </c:pt>
                <c:pt idx="23">
                  <c:v>0.24000000000000002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0.29000000000000004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0.35000000000000003</c:v>
                </c:pt>
                <c:pt idx="35">
                  <c:v>0.36000000000000004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0.41000000000000003</c:v>
                </c:pt>
                <c:pt idx="41">
                  <c:v>0.42000000000000004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0.47000000000000003</c:v>
                </c:pt>
                <c:pt idx="47">
                  <c:v>0.48000000000000004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0.57000000000000006</c:v>
                </c:pt>
                <c:pt idx="57">
                  <c:v>0.58000000000000007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0.69000000000000006</c:v>
                </c:pt>
                <c:pt idx="69">
                  <c:v>0.70000000000000007</c:v>
                </c:pt>
                <c:pt idx="70">
                  <c:v>0.71000000000000008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0.82000000000000006</c:v>
                </c:pt>
                <c:pt idx="82">
                  <c:v>0.83000000000000007</c:v>
                </c:pt>
                <c:pt idx="83">
                  <c:v>0.84000000000000008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0.94000000000000006</c:v>
                </c:pt>
                <c:pt idx="94">
                  <c:v>0.95000000000000007</c:v>
                </c:pt>
                <c:pt idx="95">
                  <c:v>0.96000000000000008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cat>
          <c:val>
            <c:numRef>
              <c:f>'差值-资产价格'!$Q$19:$Q$118</c:f>
              <c:numCache>
                <c:formatCode>General</c:formatCode>
                <c:ptCount val="100"/>
                <c:pt idx="0">
                  <c:v>2.6966515108831857E-2</c:v>
                </c:pt>
                <c:pt idx="1">
                  <c:v>5.3793907871963142E-2</c:v>
                </c:pt>
                <c:pt idx="2">
                  <c:v>8.0482734674095724E-2</c:v>
                </c:pt>
                <c:pt idx="3">
                  <c:v>0.1070335498649726</c:v>
                </c:pt>
                <c:pt idx="4">
                  <c:v>0.1334469057664478</c:v>
                </c:pt>
                <c:pt idx="5">
                  <c:v>0.15972335267965931</c:v>
                </c:pt>
                <c:pt idx="6">
                  <c:v>0.18586343889210255</c:v>
                </c:pt>
                <c:pt idx="7">
                  <c:v>0.21186771068474997</c:v>
                </c:pt>
                <c:pt idx="8">
                  <c:v>0.23773671233898597</c:v>
                </c:pt>
                <c:pt idx="9">
                  <c:v>0.26347098614378339</c:v>
                </c:pt>
                <c:pt idx="10">
                  <c:v>0.28907107240260288</c:v>
                </c:pt>
                <c:pt idx="11">
                  <c:v>0.31453750944038461</c:v>
                </c:pt>
                <c:pt idx="12">
                  <c:v>0.3398708336105507</c:v>
                </c:pt>
                <c:pt idx="13">
                  <c:v>0.36507157930185841</c:v>
                </c:pt>
                <c:pt idx="14">
                  <c:v>0.39014027894537051</c:v>
                </c:pt>
                <c:pt idx="15">
                  <c:v>0.41507746302130144</c:v>
                </c:pt>
                <c:pt idx="16">
                  <c:v>0.43988366006589175</c:v>
                </c:pt>
                <c:pt idx="17">
                  <c:v>0.46455939667822221</c:v>
                </c:pt>
                <c:pt idx="18">
                  <c:v>0.48910519752704573</c:v>
                </c:pt>
                <c:pt idx="19">
                  <c:v>0.51352158535757297</c:v>
                </c:pt>
                <c:pt idx="20">
                  <c:v>0.53780908099821545</c:v>
                </c:pt>
                <c:pt idx="21">
                  <c:v>0.56196820336735342</c:v>
                </c:pt>
                <c:pt idx="22">
                  <c:v>0.58599946948002568</c:v>
                </c:pt>
                <c:pt idx="23">
                  <c:v>0.6099033944546477</c:v>
                </c:pt>
                <c:pt idx="24">
                  <c:v>0.63368049151967654</c:v>
                </c:pt>
                <c:pt idx="25">
                  <c:v>0.65733127202023667</c:v>
                </c:pt>
                <c:pt idx="26">
                  <c:v>0.6808562454247884</c:v>
                </c:pt>
                <c:pt idx="27">
                  <c:v>0.70425591933168974</c:v>
                </c:pt>
                <c:pt idx="28">
                  <c:v>0.7275307994758009</c:v>
                </c:pt>
                <c:pt idx="29">
                  <c:v>0.75068138973501775</c:v>
                </c:pt>
                <c:pt idx="30">
                  <c:v>0.77370819213684427</c:v>
                </c:pt>
                <c:pt idx="31">
                  <c:v>0.79661170686486571</c:v>
                </c:pt>
                <c:pt idx="32">
                  <c:v>0.81939243226527125</c:v>
                </c:pt>
                <c:pt idx="33">
                  <c:v>0.84205086485326675</c:v>
                </c:pt>
                <c:pt idx="34">
                  <c:v>0.8645874993196081</c:v>
                </c:pt>
                <c:pt idx="35">
                  <c:v>0.88700282853693935</c:v>
                </c:pt>
                <c:pt idx="36">
                  <c:v>0.9092973435662266</c:v>
                </c:pt>
                <c:pt idx="37">
                  <c:v>0.9314715336631707</c:v>
                </c:pt>
                <c:pt idx="38">
                  <c:v>0.95352588628448487</c:v>
                </c:pt>
                <c:pt idx="39">
                  <c:v>0.97546088709430379</c:v>
                </c:pt>
                <c:pt idx="40">
                  <c:v>0.99727701997047546</c:v>
                </c:pt>
                <c:pt idx="41">
                  <c:v>1.0189747670108176</c:v>
                </c:pt>
                <c:pt idx="42">
                  <c:v>1.0405546085394271</c:v>
                </c:pt>
                <c:pt idx="43">
                  <c:v>1.0620170231129258</c:v>
                </c:pt>
                <c:pt idx="44">
                  <c:v>1.0833624875266636</c:v>
                </c:pt>
                <c:pt idx="45">
                  <c:v>1.1045914768209357</c:v>
                </c:pt>
                <c:pt idx="46">
                  <c:v>1.1257044642871783</c:v>
                </c:pt>
                <c:pt idx="47">
                  <c:v>1.1467019214741185</c:v>
                </c:pt>
                <c:pt idx="48">
                  <c:v>1.1675843181938959</c:v>
                </c:pt>
                <c:pt idx="49">
                  <c:v>1.1883521225282294</c:v>
                </c:pt>
                <c:pt idx="50">
                  <c:v>1.2090058008344613</c:v>
                </c:pt>
                <c:pt idx="51">
                  <c:v>1.229545817751692</c:v>
                </c:pt>
                <c:pt idx="52">
                  <c:v>1.2499726362068095</c:v>
                </c:pt>
                <c:pt idx="53">
                  <c:v>1.2702867174204862</c:v>
                </c:pt>
                <c:pt idx="54">
                  <c:v>1.2904885209132608</c:v>
                </c:pt>
                <c:pt idx="55">
                  <c:v>1.3105785045115077</c:v>
                </c:pt>
                <c:pt idx="56">
                  <c:v>1.330557124353394</c:v>
                </c:pt>
                <c:pt idx="57">
                  <c:v>1.3504248348948451</c:v>
                </c:pt>
                <c:pt idx="58">
                  <c:v>1.3701820889154881</c:v>
                </c:pt>
                <c:pt idx="59">
                  <c:v>1.3898293375245387</c:v>
                </c:pt>
                <c:pt idx="60">
                  <c:v>1.4093670301667292</c:v>
                </c:pt>
                <c:pt idx="61">
                  <c:v>1.4287956146281324</c:v>
                </c:pt>
                <c:pt idx="62">
                  <c:v>1.4481155370420602</c:v>
                </c:pt>
                <c:pt idx="63">
                  <c:v>1.4673272418948677</c:v>
                </c:pt>
                <c:pt idx="64">
                  <c:v>1.4864311720317609</c:v>
                </c:pt>
                <c:pt idx="65">
                  <c:v>1.5054277686626225</c:v>
                </c:pt>
                <c:pt idx="66">
                  <c:v>1.5243174713677128</c:v>
                </c:pt>
                <c:pt idx="67">
                  <c:v>1.5431007181035135</c:v>
                </c:pt>
                <c:pt idx="68">
                  <c:v>1.5617779452083855</c:v>
                </c:pt>
                <c:pt idx="69">
                  <c:v>1.5803495874083051</c:v>
                </c:pt>
                <c:pt idx="70">
                  <c:v>1.5988160778225566</c:v>
                </c:pt>
                <c:pt idx="71">
                  <c:v>1.617177847969419</c:v>
                </c:pt>
                <c:pt idx="72">
                  <c:v>1.6354353277717912</c:v>
                </c:pt>
                <c:pt idx="73">
                  <c:v>1.6535889455628201</c:v>
                </c:pt>
                <c:pt idx="74">
                  <c:v>1.6716391280915754</c:v>
                </c:pt>
                <c:pt idx="75">
                  <c:v>1.6895863005285623</c:v>
                </c:pt>
                <c:pt idx="76">
                  <c:v>1.7074308864713483</c:v>
                </c:pt>
                <c:pt idx="77">
                  <c:v>1.7251733079501097</c:v>
                </c:pt>
                <c:pt idx="78">
                  <c:v>1.7428139854331466</c:v>
                </c:pt>
                <c:pt idx="79">
                  <c:v>1.7603533378324361</c:v>
                </c:pt>
                <c:pt idx="80">
                  <c:v>1.7777917825090999</c:v>
                </c:pt>
                <c:pt idx="81">
                  <c:v>1.7951297352789073</c:v>
                </c:pt>
                <c:pt idx="82">
                  <c:v>1.8123676104177058</c:v>
                </c:pt>
                <c:pt idx="83">
                  <c:v>1.8295058206669008</c:v>
                </c:pt>
                <c:pt idx="84">
                  <c:v>1.8465447772388508</c:v>
                </c:pt>
                <c:pt idx="85">
                  <c:v>1.863484889822276</c:v>
                </c:pt>
                <c:pt idx="86">
                  <c:v>1.8803265665876445</c:v>
                </c:pt>
                <c:pt idx="87">
                  <c:v>1.8970702141925671</c:v>
                </c:pt>
                <c:pt idx="88">
                  <c:v>1.9137162377870833</c:v>
                </c:pt>
                <c:pt idx="89">
                  <c:v>1.9302650410190587</c:v>
                </c:pt>
                <c:pt idx="90">
                  <c:v>1.9467170260394564</c:v>
                </c:pt>
                <c:pt idx="91">
                  <c:v>1.9630725935076345</c:v>
                </c:pt>
                <c:pt idx="92">
                  <c:v>1.9793321425966361</c:v>
                </c:pt>
                <c:pt idx="93">
                  <c:v>1.9954960709984437</c:v>
                </c:pt>
                <c:pt idx="94">
                  <c:v>2.0115647749291963</c:v>
                </c:pt>
                <c:pt idx="95">
                  <c:v>2.0275386491344278</c:v>
                </c:pt>
                <c:pt idx="96">
                  <c:v>2.0434180868942757</c:v>
                </c:pt>
                <c:pt idx="97">
                  <c:v>2.0592034800286587</c:v>
                </c:pt>
                <c:pt idx="98">
                  <c:v>2.0748952189024195</c:v>
                </c:pt>
                <c:pt idx="99">
                  <c:v>2.0904936924305133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F0-4440-BCEC-C8A8EFE2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334303"/>
        <c:axId val="288327231"/>
      </c:lineChart>
      <c:catAx>
        <c:axId val="2883343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无风险利率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8327231"/>
        <c:crosses val="autoZero"/>
        <c:auto val="1"/>
        <c:lblAlgn val="ctr"/>
        <c:lblOffset val="100"/>
        <c:tickLblSkip val="9"/>
        <c:noMultiLvlLbl val="0"/>
      </c:catAx>
      <c:valAx>
        <c:axId val="288327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833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'差值-资产价格'!$V$18</c:f>
              <c:strCache>
                <c:ptCount val="1"/>
                <c:pt idx="0">
                  <c:v>差值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'差值-资产价格'!$U$19:$U$118</c:f>
              <c:numCache>
                <c:formatCode>General</c:formatCode>
                <c:ptCount val="100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0.65000000000000013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0.90000000000000013</c:v>
                </c:pt>
                <c:pt idx="18">
                  <c:v>0.95000000000000007</c:v>
                </c:pt>
                <c:pt idx="19">
                  <c:v>1</c:v>
                </c:pt>
                <c:pt idx="20">
                  <c:v>1.05</c:v>
                </c:pt>
                <c:pt idx="21">
                  <c:v>1.1000000000000001</c:v>
                </c:pt>
                <c:pt idx="22">
                  <c:v>1.1500000000000001</c:v>
                </c:pt>
                <c:pt idx="23">
                  <c:v>1.2000000000000002</c:v>
                </c:pt>
                <c:pt idx="24">
                  <c:v>1.2500000000000002</c:v>
                </c:pt>
                <c:pt idx="25">
                  <c:v>1.3</c:v>
                </c:pt>
                <c:pt idx="26">
                  <c:v>1.35</c:v>
                </c:pt>
                <c:pt idx="27">
                  <c:v>1.4000000000000001</c:v>
                </c:pt>
                <c:pt idx="28">
                  <c:v>1.4500000000000002</c:v>
                </c:pt>
                <c:pt idx="29">
                  <c:v>1.5000000000000002</c:v>
                </c:pt>
                <c:pt idx="30">
                  <c:v>1.55</c:v>
                </c:pt>
                <c:pt idx="31">
                  <c:v>1.6</c:v>
                </c:pt>
                <c:pt idx="32">
                  <c:v>1.6500000000000001</c:v>
                </c:pt>
                <c:pt idx="33">
                  <c:v>1.7000000000000002</c:v>
                </c:pt>
                <c:pt idx="34">
                  <c:v>1.7500000000000002</c:v>
                </c:pt>
                <c:pt idx="35">
                  <c:v>1.8</c:v>
                </c:pt>
                <c:pt idx="36">
                  <c:v>1.85</c:v>
                </c:pt>
                <c:pt idx="37">
                  <c:v>1.9000000000000001</c:v>
                </c:pt>
                <c:pt idx="38">
                  <c:v>1.9500000000000002</c:v>
                </c:pt>
                <c:pt idx="39">
                  <c:v>2</c:v>
                </c:pt>
                <c:pt idx="40">
                  <c:v>2.0499999999999998</c:v>
                </c:pt>
                <c:pt idx="41">
                  <c:v>2.1</c:v>
                </c:pt>
                <c:pt idx="42">
                  <c:v>2.15</c:v>
                </c:pt>
                <c:pt idx="43">
                  <c:v>2.1999999999999997</c:v>
                </c:pt>
                <c:pt idx="44">
                  <c:v>2.25</c:v>
                </c:pt>
                <c:pt idx="45">
                  <c:v>2.2999999999999998</c:v>
                </c:pt>
                <c:pt idx="46">
                  <c:v>2.35</c:v>
                </c:pt>
                <c:pt idx="47">
                  <c:v>2.4</c:v>
                </c:pt>
                <c:pt idx="48">
                  <c:v>2.4500000000000002</c:v>
                </c:pt>
                <c:pt idx="49">
                  <c:v>2.5</c:v>
                </c:pt>
                <c:pt idx="50">
                  <c:v>2.5499999999999998</c:v>
                </c:pt>
                <c:pt idx="51">
                  <c:v>2.6</c:v>
                </c:pt>
                <c:pt idx="52">
                  <c:v>2.65</c:v>
                </c:pt>
                <c:pt idx="53">
                  <c:v>2.7</c:v>
                </c:pt>
                <c:pt idx="54">
                  <c:v>2.75</c:v>
                </c:pt>
                <c:pt idx="55">
                  <c:v>2.8</c:v>
                </c:pt>
                <c:pt idx="56">
                  <c:v>2.85</c:v>
                </c:pt>
                <c:pt idx="57">
                  <c:v>2.9</c:v>
                </c:pt>
                <c:pt idx="58">
                  <c:v>2.95</c:v>
                </c:pt>
                <c:pt idx="59">
                  <c:v>3</c:v>
                </c:pt>
                <c:pt idx="60">
                  <c:v>3.05</c:v>
                </c:pt>
                <c:pt idx="61">
                  <c:v>3.1</c:v>
                </c:pt>
                <c:pt idx="62">
                  <c:v>3.15</c:v>
                </c:pt>
                <c:pt idx="63">
                  <c:v>3.2</c:v>
                </c:pt>
                <c:pt idx="64">
                  <c:v>3.25</c:v>
                </c:pt>
                <c:pt idx="65">
                  <c:v>3.3</c:v>
                </c:pt>
                <c:pt idx="66">
                  <c:v>3.35</c:v>
                </c:pt>
                <c:pt idx="67">
                  <c:v>3.4</c:v>
                </c:pt>
                <c:pt idx="68">
                  <c:v>3.45</c:v>
                </c:pt>
                <c:pt idx="69">
                  <c:v>3.5</c:v>
                </c:pt>
                <c:pt idx="70">
                  <c:v>3.55</c:v>
                </c:pt>
                <c:pt idx="71">
                  <c:v>3.6</c:v>
                </c:pt>
                <c:pt idx="72">
                  <c:v>3.65</c:v>
                </c:pt>
                <c:pt idx="73">
                  <c:v>3.7</c:v>
                </c:pt>
                <c:pt idx="74">
                  <c:v>3.75</c:v>
                </c:pt>
                <c:pt idx="75">
                  <c:v>3.8</c:v>
                </c:pt>
                <c:pt idx="76">
                  <c:v>3.85</c:v>
                </c:pt>
                <c:pt idx="77">
                  <c:v>3.9</c:v>
                </c:pt>
                <c:pt idx="78">
                  <c:v>3.95</c:v>
                </c:pt>
                <c:pt idx="79">
                  <c:v>4</c:v>
                </c:pt>
                <c:pt idx="80">
                  <c:v>4.05</c:v>
                </c:pt>
                <c:pt idx="81">
                  <c:v>4.0999999999999996</c:v>
                </c:pt>
                <c:pt idx="82">
                  <c:v>4.1500000000000004</c:v>
                </c:pt>
                <c:pt idx="83">
                  <c:v>4.2</c:v>
                </c:pt>
                <c:pt idx="84">
                  <c:v>4.25</c:v>
                </c:pt>
                <c:pt idx="85">
                  <c:v>4.3</c:v>
                </c:pt>
                <c:pt idx="86">
                  <c:v>4.3499999999999996</c:v>
                </c:pt>
                <c:pt idx="87">
                  <c:v>4.4000000000000004</c:v>
                </c:pt>
                <c:pt idx="88">
                  <c:v>4.45</c:v>
                </c:pt>
                <c:pt idx="89">
                  <c:v>4.5</c:v>
                </c:pt>
                <c:pt idx="90">
                  <c:v>4.55</c:v>
                </c:pt>
                <c:pt idx="91">
                  <c:v>4.5999999999999996</c:v>
                </c:pt>
                <c:pt idx="92">
                  <c:v>4.6500000000000004</c:v>
                </c:pt>
                <c:pt idx="93">
                  <c:v>4.7</c:v>
                </c:pt>
                <c:pt idx="94">
                  <c:v>4.75</c:v>
                </c:pt>
                <c:pt idx="95">
                  <c:v>4.8</c:v>
                </c:pt>
                <c:pt idx="96">
                  <c:v>4.8500000000000005</c:v>
                </c:pt>
                <c:pt idx="97">
                  <c:v>4.9000000000000004</c:v>
                </c:pt>
                <c:pt idx="98">
                  <c:v>4.95</c:v>
                </c:pt>
                <c:pt idx="99">
                  <c:v>5</c:v>
                </c:pt>
              </c:numCache>
            </c:numRef>
          </c:cat>
          <c:val>
            <c:numRef>
              <c:f>'差值-资产价格'!$V$19:$V$118</c:f>
              <c:numCache>
                <c:formatCode>General</c:formatCode>
                <c:ptCount val="100"/>
                <c:pt idx="0">
                  <c:v>1.2537073109272434E-2</c:v>
                </c:pt>
                <c:pt idx="1">
                  <c:v>3.5345160208835935E-2</c:v>
                </c:pt>
                <c:pt idx="2">
                  <c:v>6.4722579678401004E-2</c:v>
                </c:pt>
                <c:pt idx="3">
                  <c:v>9.9323741876961691E-2</c:v>
                </c:pt>
                <c:pt idx="4">
                  <c:v>0.13835899989463485</c:v>
                </c:pt>
                <c:pt idx="5">
                  <c:v>0.18128788336850121</c:v>
                </c:pt>
                <c:pt idx="6">
                  <c:v>0.22770817950811661</c:v>
                </c:pt>
                <c:pt idx="7">
                  <c:v>0.27730416542257075</c:v>
                </c:pt>
                <c:pt idx="8">
                  <c:v>0.32981863629250441</c:v>
                </c:pt>
                <c:pt idx="9">
                  <c:v>0.3850362469515396</c:v>
                </c:pt>
                <c:pt idx="10">
                  <c:v>0.4427728720068913</c:v>
                </c:pt>
                <c:pt idx="11">
                  <c:v>0.50286844016198629</c:v>
                </c:pt>
                <c:pt idx="12">
                  <c:v>0.56518190310404393</c:v>
                </c:pt>
                <c:pt idx="13">
                  <c:v>0.62958758223988553</c:v>
                </c:pt>
                <c:pt idx="14">
                  <c:v>0.69597244122664392</c:v>
                </c:pt>
                <c:pt idx="15">
                  <c:v>0.7642340016121949</c:v>
                </c:pt>
                <c:pt idx="16">
                  <c:v>0.83427871794340192</c:v>
                </c:pt>
                <c:pt idx="17">
                  <c:v>0.90602068912809841</c:v>
                </c:pt>
                <c:pt idx="18">
                  <c:v>0.97938062105378521</c:v>
                </c:pt>
                <c:pt idx="19">
                  <c:v>1.0542849804018104</c:v>
                </c:pt>
                <c:pt idx="20">
                  <c:v>1.130665296308468</c:v>
                </c:pt>
                <c:pt idx="21">
                  <c:v>1.2084575779974145</c:v>
                </c:pt>
                <c:pt idx="22">
                  <c:v>1.2876018245497178</c:v>
                </c:pt>
                <c:pt idx="23">
                  <c:v>1.3680416087239564</c:v>
                </c:pt>
                <c:pt idx="24">
                  <c:v>1.4497237209123739</c:v>
                </c:pt>
                <c:pt idx="25">
                  <c:v>1.5325978623985321</c:v>
                </c:pt>
                <c:pt idx="26">
                  <c:v>1.6166163793855048</c:v>
                </c:pt>
                <c:pt idx="27">
                  <c:v>1.7017340310082929</c:v>
                </c:pt>
                <c:pt idx="28">
                  <c:v>1.7879077858819485</c:v>
                </c:pt>
                <c:pt idx="29">
                  <c:v>1.8750966427724407</c:v>
                </c:pt>
                <c:pt idx="30">
                  <c:v>1.9632614717877459</c:v>
                </c:pt>
                <c:pt idx="31">
                  <c:v>2.0523648731265993</c:v>
                </c:pt>
                <c:pt idx="32">
                  <c:v>2.1423710509311888</c:v>
                </c:pt>
                <c:pt idx="33">
                  <c:v>2.2332457001997312</c:v>
                </c:pt>
                <c:pt idx="34">
                  <c:v>2.3249559050437583</c:v>
                </c:pt>
                <c:pt idx="35">
                  <c:v>2.4174700468452173</c:v>
                </c:pt>
                <c:pt idx="36">
                  <c:v>2.5107577210883534</c:v>
                </c:pt>
                <c:pt idx="37">
                  <c:v>2.604789661822096</c:v>
                </c:pt>
                <c:pt idx="38">
                  <c:v>2.6995376728609557</c:v>
                </c:pt>
                <c:pt idx="39">
                  <c:v>2.7949745649554671</c:v>
                </c:pt>
                <c:pt idx="40">
                  <c:v>2.8910740982706713</c:v>
                </c:pt>
                <c:pt idx="41">
                  <c:v>2.9878109295973658</c:v>
                </c:pt>
                <c:pt idx="42">
                  <c:v>3.0851605637977997</c:v>
                </c:pt>
                <c:pt idx="43">
                  <c:v>3.1830993090484441</c:v>
                </c:pt>
                <c:pt idx="44">
                  <c:v>3.2816042354992163</c:v>
                </c:pt>
                <c:pt idx="45">
                  <c:v>3.3806531370124446</c:v>
                </c:pt>
                <c:pt idx="46">
                  <c:v>3.480224495686727</c:v>
                </c:pt>
                <c:pt idx="47">
                  <c:v>3.5802974489033375</c:v>
                </c:pt>
                <c:pt idx="48">
                  <c:v>3.6808517586643603</c:v>
                </c:pt>
                <c:pt idx="49">
                  <c:v>3.7818677830153717</c:v>
                </c:pt>
                <c:pt idx="50">
                  <c:v>3.8833264493699531</c:v>
                </c:pt>
                <c:pt idx="51">
                  <c:v>3.9852092295718364</c:v>
                </c:pt>
                <c:pt idx="52">
                  <c:v>4.0874981165472946</c:v>
                </c:pt>
                <c:pt idx="53">
                  <c:v>4.1901756024168151</c:v>
                </c:pt>
                <c:pt idx="54">
                  <c:v>4.2932246579466735</c:v>
                </c:pt>
                <c:pt idx="55">
                  <c:v>4.3966287132341577</c:v>
                </c:pt>
                <c:pt idx="56">
                  <c:v>4.5003716395298241</c:v>
                </c:pt>
                <c:pt idx="57">
                  <c:v>4.6044377321090195</c:v>
                </c:pt>
                <c:pt idx="58">
                  <c:v>4.7088116941142957</c:v>
                </c:pt>
                <c:pt idx="59">
                  <c:v>4.8134786212962055</c:v>
                </c:pt>
                <c:pt idx="60">
                  <c:v>4.9184239875873246</c:v>
                </c:pt>
                <c:pt idx="61">
                  <c:v>5.023633631449961</c:v>
                </c:pt>
                <c:pt idx="62">
                  <c:v>5.1290937429430841</c:v>
                </c:pt>
                <c:pt idx="63">
                  <c:v>5.2347908514587687</c:v>
                </c:pt>
                <c:pt idx="64">
                  <c:v>5.3407118140824466</c:v>
                </c:pt>
                <c:pt idx="65">
                  <c:v>5.4468438045357885</c:v>
                </c:pt>
                <c:pt idx="66">
                  <c:v>5.5531743026631091</c:v>
                </c:pt>
                <c:pt idx="67">
                  <c:v>5.6596910844268251</c:v>
                </c:pt>
                <c:pt idx="68">
                  <c:v>5.7663822123787583</c:v>
                </c:pt>
                <c:pt idx="69">
                  <c:v>5.8732360265780841</c:v>
                </c:pt>
                <c:pt idx="70">
                  <c:v>5.9802411359280683</c:v>
                </c:pt>
                <c:pt idx="71">
                  <c:v>6.0873864099056902</c:v>
                </c:pt>
                <c:pt idx="72">
                  <c:v>6.1946609706612037</c:v>
                </c:pt>
                <c:pt idx="73">
                  <c:v>6.302054185465316</c:v>
                </c:pt>
                <c:pt idx="74">
                  <c:v>6.4095556594838285</c:v>
                </c:pt>
                <c:pt idx="75">
                  <c:v>6.5171552288610073</c:v>
                </c:pt>
                <c:pt idx="76">
                  <c:v>6.6248429540942197</c:v>
                </c:pt>
                <c:pt idx="77">
                  <c:v>6.7326091136832105</c:v>
                </c:pt>
                <c:pt idx="78">
                  <c:v>6.8404441980393784</c:v>
                </c:pt>
                <c:pt idx="79">
                  <c:v>6.9483389036405327</c:v>
                </c:pt>
                <c:pt idx="80">
                  <c:v>7.0562841274181807</c:v>
                </c:pt>
                <c:pt idx="81">
                  <c:v>7.1642709613648989</c:v>
                </c:pt>
                <c:pt idx="82">
                  <c:v>7.2722906873504698</c:v>
                </c:pt>
                <c:pt idx="83">
                  <c:v>7.3803347721357468</c:v>
                </c:pt>
                <c:pt idx="84">
                  <c:v>7.4883948625744452</c:v>
                </c:pt>
                <c:pt idx="85">
                  <c:v>7.5964627809933276</c:v>
                </c:pt>
                <c:pt idx="86">
                  <c:v>7.7045305207417485</c:v>
                </c:pt>
                <c:pt idx="87">
                  <c:v>7.8125902419027042</c:v>
                </c:pt>
                <c:pt idx="88">
                  <c:v>7.9206342671570056</c:v>
                </c:pt>
                <c:pt idx="89">
                  <c:v>8.028655077793573</c:v>
                </c:pt>
                <c:pt idx="90">
                  <c:v>8.1366453098592615</c:v>
                </c:pt>
                <c:pt idx="91">
                  <c:v>8.2445977504406542</c:v>
                </c:pt>
                <c:pt idx="92">
                  <c:v>8.3525053340731716</c:v>
                </c:pt>
                <c:pt idx="93">
                  <c:v>8.4603611392704678</c:v>
                </c:pt>
                <c:pt idx="94">
                  <c:v>8.5681583851692906</c:v>
                </c:pt>
                <c:pt idx="95">
                  <c:v>8.6758904282846245</c:v>
                </c:pt>
                <c:pt idx="96">
                  <c:v>8.7835507593700513</c:v>
                </c:pt>
                <c:pt idx="97">
                  <c:v>8.8911330003789857</c:v>
                </c:pt>
                <c:pt idx="98">
                  <c:v>8.9986309015222616</c:v>
                </c:pt>
                <c:pt idx="99">
                  <c:v>9.1060383384179246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20-40AA-9ADB-5E8CC3886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5712927"/>
        <c:axId val="285713759"/>
      </c:lineChart>
      <c:catAx>
        <c:axId val="28571292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到期期限</a:t>
                </a:r>
                <a:endParaRPr lang="en-US" alt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5713759"/>
        <c:crosses val="autoZero"/>
        <c:auto val="1"/>
        <c:lblAlgn val="ctr"/>
        <c:lblOffset val="100"/>
        <c:tickLblSkip val="9"/>
        <c:noMultiLvlLbl val="0"/>
      </c:catAx>
      <c:valAx>
        <c:axId val="28571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5712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</xdr:row>
      <xdr:rowOff>3810</xdr:rowOff>
    </xdr:from>
    <xdr:to>
      <xdr:col>5</xdr:col>
      <xdr:colOff>22860</xdr:colOff>
      <xdr:row>57</xdr:row>
      <xdr:rowOff>3810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1DD34E5-E8AC-2BF0-3029-3EE0C1A71F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342900</xdr:colOff>
      <xdr:row>52</xdr:row>
      <xdr:rowOff>41910</xdr:rowOff>
    </xdr:from>
    <xdr:to>
      <xdr:col>10</xdr:col>
      <xdr:colOff>373380</xdr:colOff>
      <xdr:row>67</xdr:row>
      <xdr:rowOff>41910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3A57C5C8-EE2C-F6B1-28B1-7CAC8AD6F9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160020</xdr:colOff>
      <xdr:row>26</xdr:row>
      <xdr:rowOff>148590</xdr:rowOff>
    </xdr:from>
    <xdr:to>
      <xdr:col>15</xdr:col>
      <xdr:colOff>411480</xdr:colOff>
      <xdr:row>41</xdr:row>
      <xdr:rowOff>148590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B530D78F-6324-555F-1771-5DD184585D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502920</xdr:colOff>
      <xdr:row>21</xdr:row>
      <xdr:rowOff>34290</xdr:rowOff>
    </xdr:from>
    <xdr:to>
      <xdr:col>21</xdr:col>
      <xdr:colOff>137160</xdr:colOff>
      <xdr:row>36</xdr:row>
      <xdr:rowOff>34290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CB3C09A1-49C3-8A3D-F305-DD04A67A33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472440</xdr:colOff>
      <xdr:row>40</xdr:row>
      <xdr:rowOff>80010</xdr:rowOff>
    </xdr:from>
    <xdr:to>
      <xdr:col>25</xdr:col>
      <xdr:colOff>106680</xdr:colOff>
      <xdr:row>55</xdr:row>
      <xdr:rowOff>80010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18E05B32-E5AF-5908-4331-4B00C1D2B4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97"/>
  <sheetViews>
    <sheetView zoomScaleNormal="100" workbookViewId="0">
      <selection activeCell="B3" sqref="B3:B8"/>
    </sheetView>
  </sheetViews>
  <sheetFormatPr defaultColWidth="9" defaultRowHeight="14.4"/>
  <cols>
    <col min="1" max="1" width="18.77734375" style="2" bestFit="1" customWidth="1"/>
    <col min="2" max="16384" width="9" style="2"/>
  </cols>
  <sheetData>
    <row r="1" spans="1:9">
      <c r="A1" s="7" t="s">
        <v>0</v>
      </c>
      <c r="B1" s="7"/>
      <c r="C1" s="7"/>
      <c r="D1" s="7"/>
      <c r="E1" s="7"/>
    </row>
    <row r="2" spans="1:9">
      <c r="A2" s="7" t="s">
        <v>1</v>
      </c>
      <c r="B2" s="7"/>
      <c r="C2" s="7"/>
      <c r="D2" s="7"/>
      <c r="E2" s="7"/>
    </row>
    <row r="3" spans="1:9">
      <c r="A3" s="3" t="s">
        <v>2</v>
      </c>
      <c r="B3" s="3">
        <v>300</v>
      </c>
      <c r="C3" s="1"/>
      <c r="E3" s="1"/>
    </row>
    <row r="4" spans="1:9">
      <c r="A4" s="3" t="s">
        <v>3</v>
      </c>
      <c r="B4" s="3">
        <v>0.3</v>
      </c>
      <c r="C4" s="1"/>
      <c r="E4" s="1"/>
      <c r="I4" s="1"/>
    </row>
    <row r="5" spans="1:9">
      <c r="A5" s="3" t="s">
        <v>4</v>
      </c>
      <c r="B5" s="3">
        <v>0.08</v>
      </c>
      <c r="C5" s="1"/>
    </row>
    <row r="6" spans="1:9">
      <c r="A6" s="3" t="s">
        <v>5</v>
      </c>
      <c r="B6" s="3">
        <v>0.08</v>
      </c>
      <c r="C6" s="1"/>
    </row>
    <row r="7" spans="1:9">
      <c r="A7" s="3" t="s">
        <v>6</v>
      </c>
      <c r="B7" s="3">
        <f>4/12</f>
        <v>0.33333333333333331</v>
      </c>
      <c r="C7" s="1"/>
    </row>
    <row r="8" spans="1:9">
      <c r="A8" s="3" t="s">
        <v>7</v>
      </c>
      <c r="B8" s="3">
        <v>300</v>
      </c>
      <c r="C8" s="1"/>
    </row>
    <row r="10" spans="1:9">
      <c r="A10" s="5" t="s">
        <v>15</v>
      </c>
      <c r="B10" s="4">
        <f>BS_put(bs_s,bs_sigma,bs_rf,bs_q,bs_T,bs_X)</f>
        <v>20.158961943426561</v>
      </c>
    </row>
    <row r="11" spans="1:9">
      <c r="A11" s="5" t="s">
        <v>16</v>
      </c>
      <c r="B11" s="4">
        <f>BS_call(bs_s,bs_sigma,bs_rf,bs_q,bs_T,bs_X)</f>
        <v>20.158961943426561</v>
      </c>
    </row>
    <row r="56" spans="5:5">
      <c r="E56" s="1"/>
    </row>
    <row r="57" spans="5:5">
      <c r="E57" s="1"/>
    </row>
    <row r="58" spans="5:5">
      <c r="E58" s="1"/>
    </row>
    <row r="59" spans="5:5">
      <c r="E59" s="1"/>
    </row>
    <row r="60" spans="5:5">
      <c r="E60" s="1"/>
    </row>
    <row r="61" spans="5:5">
      <c r="E61" s="1"/>
    </row>
    <row r="62" spans="5:5">
      <c r="E62" s="1"/>
    </row>
    <row r="63" spans="5:5">
      <c r="E63" s="1"/>
    </row>
    <row r="64" spans="5:5">
      <c r="E64" s="1"/>
    </row>
    <row r="65" spans="5:5">
      <c r="E65" s="1"/>
    </row>
    <row r="66" spans="5:5">
      <c r="E66" s="1"/>
    </row>
    <row r="67" spans="5:5">
      <c r="E67" s="1"/>
    </row>
    <row r="68" spans="5:5">
      <c r="E68" s="1"/>
    </row>
    <row r="69" spans="5:5">
      <c r="E69" s="1"/>
    </row>
    <row r="70" spans="5:5">
      <c r="E70" s="1"/>
    </row>
    <row r="71" spans="5:5">
      <c r="E71" s="1"/>
    </row>
    <row r="72" spans="5:5">
      <c r="E72" s="1"/>
    </row>
    <row r="73" spans="5:5">
      <c r="E73" s="1"/>
    </row>
    <row r="74" spans="5:5">
      <c r="E74" s="1"/>
    </row>
    <row r="75" spans="5:5">
      <c r="E75" s="1"/>
    </row>
    <row r="76" spans="5:5">
      <c r="E76" s="1"/>
    </row>
    <row r="77" spans="5:5">
      <c r="E77" s="1"/>
    </row>
    <row r="78" spans="5:5">
      <c r="E78" s="1"/>
    </row>
    <row r="79" spans="5:5">
      <c r="E79" s="1"/>
    </row>
    <row r="80" spans="5:5">
      <c r="E80" s="1"/>
    </row>
    <row r="81" spans="5:5">
      <c r="E81" s="1"/>
    </row>
    <row r="82" spans="5:5">
      <c r="E82" s="1"/>
    </row>
    <row r="83" spans="5:5">
      <c r="E83" s="1"/>
    </row>
    <row r="84" spans="5:5">
      <c r="E84" s="1"/>
    </row>
    <row r="85" spans="5:5">
      <c r="E85" s="1"/>
    </row>
    <row r="86" spans="5:5">
      <c r="E86" s="1"/>
    </row>
    <row r="87" spans="5:5">
      <c r="E87" s="1"/>
    </row>
    <row r="88" spans="5:5">
      <c r="E88" s="1"/>
    </row>
    <row r="89" spans="5:5">
      <c r="E89" s="1"/>
    </row>
    <row r="90" spans="5:5">
      <c r="E90" s="1"/>
    </row>
    <row r="91" spans="5:5">
      <c r="E91" s="1"/>
    </row>
    <row r="92" spans="5:5">
      <c r="E92" s="1"/>
    </row>
    <row r="93" spans="5:5">
      <c r="E93" s="1"/>
    </row>
    <row r="94" spans="5:5">
      <c r="E94" s="1"/>
    </row>
    <row r="95" spans="5:5">
      <c r="E95" s="1"/>
    </row>
    <row r="96" spans="5:5">
      <c r="E96" s="1"/>
    </row>
    <row r="97" spans="5:5">
      <c r="E97" s="1"/>
    </row>
  </sheetData>
  <mergeCells count="2">
    <mergeCell ref="A1:E1"/>
    <mergeCell ref="A2:E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7"/>
  <sheetViews>
    <sheetView zoomScale="115" zoomScaleNormal="115" workbookViewId="0">
      <selection activeCell="D18" sqref="A1:XFD1048576"/>
    </sheetView>
  </sheetViews>
  <sheetFormatPr defaultColWidth="9" defaultRowHeight="14.4"/>
  <cols>
    <col min="1" max="1" width="26.33203125" style="2" bestFit="1" customWidth="1"/>
    <col min="2" max="4" width="9" style="2"/>
    <col min="5" max="5" width="13" style="2" bestFit="1" customWidth="1"/>
    <col min="6" max="6" width="11.33203125" style="2" customWidth="1"/>
    <col min="7" max="7" width="8.44140625" style="2" customWidth="1"/>
    <col min="8" max="8" width="6.44140625" style="2" bestFit="1" customWidth="1"/>
    <col min="9" max="16384" width="9" style="2"/>
  </cols>
  <sheetData>
    <row r="1" spans="1:7">
      <c r="A1" s="7" t="s">
        <v>13</v>
      </c>
      <c r="B1" s="7"/>
      <c r="C1" s="7"/>
      <c r="D1" s="7"/>
      <c r="E1" s="7"/>
      <c r="F1" s="7"/>
      <c r="G1" s="7"/>
    </row>
    <row r="2" spans="1:7">
      <c r="A2" s="7" t="s">
        <v>14</v>
      </c>
      <c r="B2" s="7"/>
      <c r="C2" s="7"/>
      <c r="D2" s="7"/>
      <c r="E2" s="7"/>
      <c r="F2" s="7"/>
      <c r="G2" s="7"/>
    </row>
    <row r="3" spans="1:7">
      <c r="A3" s="3" t="s">
        <v>8</v>
      </c>
      <c r="B3" s="3">
        <v>300</v>
      </c>
      <c r="C3" s="1"/>
      <c r="E3" s="1"/>
    </row>
    <row r="4" spans="1:7">
      <c r="A4" s="3" t="s">
        <v>3</v>
      </c>
      <c r="B4" s="3">
        <v>0.3</v>
      </c>
      <c r="C4" s="1"/>
      <c r="D4" s="1"/>
    </row>
    <row r="5" spans="1:7">
      <c r="A5" s="3" t="s">
        <v>10</v>
      </c>
      <c r="B5" s="3">
        <v>0.08</v>
      </c>
      <c r="C5" s="1"/>
      <c r="D5" s="1"/>
    </row>
    <row r="6" spans="1:7">
      <c r="A6" s="3" t="s">
        <v>5</v>
      </c>
      <c r="B6" s="3">
        <v>0.08</v>
      </c>
      <c r="C6" s="1"/>
      <c r="D6" s="1"/>
    </row>
    <row r="7" spans="1:7">
      <c r="A7" s="3" t="s">
        <v>11</v>
      </c>
      <c r="B7" s="3">
        <v>0.33333333333333331</v>
      </c>
      <c r="C7" s="1"/>
      <c r="D7" s="1"/>
      <c r="E7" s="6"/>
    </row>
    <row r="8" spans="1:7">
      <c r="A8" s="3" t="s">
        <v>12</v>
      </c>
      <c r="B8" s="3">
        <v>300</v>
      </c>
      <c r="C8" s="1"/>
      <c r="D8" s="1"/>
      <c r="E8" s="6"/>
    </row>
    <row r="9" spans="1:7">
      <c r="A9" s="3" t="s">
        <v>9</v>
      </c>
      <c r="B9" s="3">
        <v>4</v>
      </c>
      <c r="D9" s="1"/>
    </row>
    <row r="10" spans="1:7">
      <c r="D10" s="1"/>
    </row>
    <row r="11" spans="1:7">
      <c r="A11" s="5" t="s">
        <v>17</v>
      </c>
      <c r="B11" s="4">
        <f>BinaryTree_call("e",S0,Sigma,rf,q,T,X,N)</f>
        <v>18.94913843125677</v>
      </c>
      <c r="D11" s="1"/>
    </row>
    <row r="12" spans="1:7">
      <c r="A12" s="5" t="s">
        <v>19</v>
      </c>
      <c r="B12" s="4">
        <f>BinaryTree_put("e",S0,Sigma,rf,q,T,X,N)</f>
        <v>18.949138431256735</v>
      </c>
      <c r="D12" s="1"/>
    </row>
    <row r="13" spans="1:7">
      <c r="D13" s="1"/>
    </row>
    <row r="14" spans="1:7">
      <c r="A14" s="5" t="s">
        <v>18</v>
      </c>
      <c r="B14" s="4">
        <f>BinaryTree_call("a",S0,Sigma,rf,q,T,X,N)</f>
        <v>19.161006141941488</v>
      </c>
      <c r="D14" s="1"/>
    </row>
    <row r="15" spans="1:7">
      <c r="A15" s="5" t="s">
        <v>20</v>
      </c>
      <c r="B15" s="4">
        <f>BinaryTree_put("a",S0,Sigma,rf,q,T,X,N)</f>
        <v>19.161006141941485</v>
      </c>
      <c r="D15" s="1"/>
    </row>
    <row r="16" spans="1:7">
      <c r="D16" s="1"/>
    </row>
    <row r="17" spans="4:4">
      <c r="D17" s="1"/>
    </row>
    <row r="18" spans="4:4">
      <c r="D18" s="1"/>
    </row>
    <row r="19" spans="4:4">
      <c r="D19" s="1"/>
    </row>
    <row r="20" spans="4:4">
      <c r="D20" s="1"/>
    </row>
    <row r="21" spans="4:4">
      <c r="D21" s="1"/>
    </row>
    <row r="22" spans="4:4">
      <c r="D22" s="1"/>
    </row>
    <row r="23" spans="4:4">
      <c r="D23" s="1"/>
    </row>
    <row r="24" spans="4:4">
      <c r="D24" s="1"/>
    </row>
    <row r="25" spans="4:4">
      <c r="D25" s="1"/>
    </row>
    <row r="26" spans="4:4">
      <c r="D26" s="1"/>
    </row>
    <row r="27" spans="4:4">
      <c r="D27" s="1"/>
    </row>
  </sheetData>
  <mergeCells count="2">
    <mergeCell ref="A1:G1"/>
    <mergeCell ref="A2:G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X119"/>
  <sheetViews>
    <sheetView tabSelected="1" topLeftCell="E3" workbookViewId="0">
      <selection activeCell="W84" sqref="W84"/>
    </sheetView>
  </sheetViews>
  <sheetFormatPr defaultColWidth="9" defaultRowHeight="14.4"/>
  <cols>
    <col min="1" max="1" width="26.33203125" style="2" bestFit="1" customWidth="1"/>
    <col min="2" max="4" width="9" style="2"/>
    <col min="5" max="5" width="13" style="2" bestFit="1" customWidth="1"/>
    <col min="6" max="6" width="11.33203125" style="2" customWidth="1"/>
    <col min="7" max="7" width="8.44140625" style="2" customWidth="1"/>
    <col min="8" max="8" width="6.44140625" style="2" bestFit="1" customWidth="1"/>
    <col min="9" max="16384" width="9" style="2"/>
  </cols>
  <sheetData>
    <row r="1" spans="1:7">
      <c r="A1" s="7" t="s">
        <v>13</v>
      </c>
      <c r="B1" s="7"/>
      <c r="C1" s="7"/>
      <c r="D1" s="7"/>
      <c r="E1" s="7"/>
      <c r="F1" s="7"/>
      <c r="G1" s="7"/>
    </row>
    <row r="2" spans="1:7">
      <c r="A2" s="7" t="s">
        <v>14</v>
      </c>
      <c r="B2" s="7"/>
      <c r="C2" s="7"/>
      <c r="D2" s="7"/>
      <c r="E2" s="7"/>
      <c r="F2" s="7"/>
      <c r="G2" s="7"/>
    </row>
    <row r="3" spans="1:7">
      <c r="A3" s="3" t="s">
        <v>8</v>
      </c>
      <c r="B3" s="3">
        <v>300</v>
      </c>
      <c r="C3" s="1"/>
      <c r="E3" s="1"/>
    </row>
    <row r="4" spans="1:7">
      <c r="A4" s="3" t="s">
        <v>3</v>
      </c>
      <c r="B4" s="3">
        <v>0.3</v>
      </c>
      <c r="C4" s="1"/>
      <c r="D4" s="1"/>
    </row>
    <row r="5" spans="1:7">
      <c r="A5" s="3" t="s">
        <v>10</v>
      </c>
      <c r="B5" s="3">
        <v>0.08</v>
      </c>
      <c r="C5" s="1"/>
      <c r="D5" s="1"/>
    </row>
    <row r="6" spans="1:7">
      <c r="A6" s="3" t="s">
        <v>5</v>
      </c>
      <c r="B6" s="3">
        <v>0.08</v>
      </c>
      <c r="C6" s="1"/>
      <c r="D6" s="1"/>
    </row>
    <row r="7" spans="1:7">
      <c r="A7" s="3" t="s">
        <v>11</v>
      </c>
      <c r="B7" s="3">
        <v>0.33333333333333331</v>
      </c>
      <c r="C7" s="1"/>
      <c r="D7" s="1"/>
      <c r="E7" s="6"/>
    </row>
    <row r="8" spans="1:7">
      <c r="A8" s="3" t="s">
        <v>12</v>
      </c>
      <c r="B8" s="3">
        <v>300</v>
      </c>
      <c r="C8" s="1"/>
      <c r="D8" s="1"/>
      <c r="E8" s="6"/>
    </row>
    <row r="9" spans="1:7">
      <c r="A9" s="3" t="s">
        <v>9</v>
      </c>
      <c r="B9" s="3">
        <v>4</v>
      </c>
      <c r="D9" s="1"/>
    </row>
    <row r="10" spans="1:7">
      <c r="D10" s="1"/>
    </row>
    <row r="11" spans="1:7">
      <c r="A11" s="5" t="s">
        <v>17</v>
      </c>
      <c r="B11" s="4">
        <f>BinaryTree_call("e",S0,Sigma,rf,q,T,X,N)</f>
        <v>18.94913843125677</v>
      </c>
      <c r="D11" s="1"/>
    </row>
    <row r="12" spans="1:7">
      <c r="A12" s="5" t="s">
        <v>19</v>
      </c>
      <c r="B12" s="4">
        <f>BinaryTree_put("e",S0,Sigma,rf,q,T,X,N)</f>
        <v>18.949138431256735</v>
      </c>
      <c r="D12" s="4">
        <f>BinaryTree_put("e",S0,Sigma,rf,q,T,X,N)</f>
        <v>18.949138431256735</v>
      </c>
      <c r="E12" s="4">
        <f>BinaryTree_put("a",S0,Sigma,rf,q,T,X,N)</f>
        <v>19.161006141941485</v>
      </c>
    </row>
    <row r="13" spans="1:7">
      <c r="D13" s="1"/>
    </row>
    <row r="14" spans="1:7">
      <c r="A14" s="5" t="s">
        <v>18</v>
      </c>
      <c r="B14" s="4">
        <f>BinaryTree_call("a",S0,Sigma,rf,q,T,X,N)</f>
        <v>19.161006141941488</v>
      </c>
      <c r="D14" s="1"/>
    </row>
    <row r="15" spans="1:7">
      <c r="A15" s="5" t="s">
        <v>20</v>
      </c>
      <c r="B15" s="4">
        <f>BinaryTree_put("a",S0,Sigma,rf,q,T,X,N)</f>
        <v>19.161006141941485</v>
      </c>
      <c r="D15" s="1"/>
    </row>
    <row r="16" spans="1:7">
      <c r="D16" s="1"/>
    </row>
    <row r="17" spans="1:24">
      <c r="D17" s="1"/>
    </row>
    <row r="18" spans="1:24">
      <c r="A18" s="3" t="s">
        <v>8</v>
      </c>
      <c r="B18" s="1" t="s">
        <v>23</v>
      </c>
      <c r="C18" s="8" t="s">
        <v>21</v>
      </c>
      <c r="D18" s="2" t="s">
        <v>22</v>
      </c>
      <c r="F18" s="3" t="s">
        <v>12</v>
      </c>
      <c r="G18" s="1" t="s">
        <v>23</v>
      </c>
      <c r="H18" s="8" t="s">
        <v>21</v>
      </c>
      <c r="I18" s="2" t="s">
        <v>22</v>
      </c>
      <c r="K18" s="3" t="s">
        <v>3</v>
      </c>
      <c r="L18" s="1" t="s">
        <v>23</v>
      </c>
      <c r="M18" s="8" t="s">
        <v>21</v>
      </c>
      <c r="N18" s="2" t="s">
        <v>22</v>
      </c>
      <c r="P18" s="3" t="s">
        <v>10</v>
      </c>
      <c r="Q18" s="1" t="s">
        <v>23</v>
      </c>
      <c r="R18" s="8" t="s">
        <v>21</v>
      </c>
      <c r="S18" s="2" t="s">
        <v>22</v>
      </c>
      <c r="U18" s="3" t="s">
        <v>11</v>
      </c>
      <c r="V18" s="1" t="s">
        <v>23</v>
      </c>
      <c r="W18" s="8" t="s">
        <v>21</v>
      </c>
      <c r="X18" s="2" t="s">
        <v>22</v>
      </c>
    </row>
    <row r="19" spans="1:24">
      <c r="A19" s="2">
        <v>200</v>
      </c>
      <c r="B19" s="1">
        <f>D19-C19</f>
        <v>2.6314250646854731</v>
      </c>
      <c r="C19" s="4">
        <f>BinaryTree_put("e",A19,Sigma,rf,q,T,X,N)</f>
        <v>97.368574935314527</v>
      </c>
      <c r="D19" s="4">
        <f>BinaryTree_put("a",A19,Sigma,rf,q,T,X,N)</f>
        <v>100</v>
      </c>
      <c r="F19" s="2">
        <v>200</v>
      </c>
      <c r="G19" s="1">
        <f>I19-H19</f>
        <v>0</v>
      </c>
      <c r="H19" s="4">
        <f>BinaryTree_put("e",S0,Sigma,rf,q,T,F19,N)</f>
        <v>0</v>
      </c>
      <c r="I19" s="4">
        <f>BinaryTree_put("a",S0,Sigma,rf,q,T,F19,N)</f>
        <v>0</v>
      </c>
      <c r="K19" s="2">
        <v>0.01</v>
      </c>
      <c r="L19" s="1">
        <f>N19-M19</f>
        <v>7.0693031511337434E-3</v>
      </c>
      <c r="M19" s="4">
        <f>BinaryTree_put("e",S0,K19,rf,q,T,X,N)</f>
        <v>0.63242656731188407</v>
      </c>
      <c r="N19" s="4">
        <f>BinaryTree_put("a",S0,K19,rf,q,T,X,N)</f>
        <v>0.63949587046301781</v>
      </c>
      <c r="P19" s="2">
        <v>0.01</v>
      </c>
      <c r="Q19" s="1">
        <f>S19-R19</f>
        <v>2.6966515108831857E-2</v>
      </c>
      <c r="R19" s="4">
        <f>BinaryTree_put("e",S0,Sigma,P19,P19,T,X,N)</f>
        <v>19.396483727066251</v>
      </c>
      <c r="S19" s="4">
        <f>BinaryTree_put("a",S0,Sigma,P19,P19,T,X,N)</f>
        <v>19.423450242175083</v>
      </c>
      <c r="U19" s="2">
        <v>0.05</v>
      </c>
      <c r="V19" s="1">
        <f>X19-W19</f>
        <v>1.2537073109272434E-2</v>
      </c>
      <c r="W19" s="4">
        <f>BinaryTree_put("e",S0,Sigma,rf,q,U19,X,N)</f>
        <v>7.5151937141764034</v>
      </c>
      <c r="X19" s="4">
        <f>BinaryTree_put("a",S0,Sigma,rf,q,U19,X,N)</f>
        <v>7.5277307872856758</v>
      </c>
    </row>
    <row r="20" spans="1:24">
      <c r="A20" s="2">
        <v>202</v>
      </c>
      <c r="B20" s="1">
        <f>D20-C20</f>
        <v>2.5787965633917906</v>
      </c>
      <c r="C20" s="4">
        <f>BinaryTree_put("e",A20,Sigma,rf,q,T,X,N)</f>
        <v>95.421203436608209</v>
      </c>
      <c r="D20" s="4">
        <f>BinaryTree_put("a",A20,Sigma,rf,q,T,X,N)</f>
        <v>98</v>
      </c>
      <c r="F20" s="2">
        <v>202</v>
      </c>
      <c r="G20" s="1">
        <f>I20-H20</f>
        <v>0</v>
      </c>
      <c r="H20" s="4">
        <f>BinaryTree_put("e",S0,Sigma,rf,q,T,F20,N)</f>
        <v>0</v>
      </c>
      <c r="I20" s="4">
        <f>BinaryTree_put("a",S0,Sigma,rf,q,T,F20,N)</f>
        <v>0</v>
      </c>
      <c r="K20" s="2">
        <v>0.02</v>
      </c>
      <c r="L20" s="1">
        <f>N20-M20</f>
        <v>1.4138559220999936E-2</v>
      </c>
      <c r="M20" s="4">
        <f>BinaryTree_put("e",S0,K20,rf,q,T,X,N)</f>
        <v>1.2648478644334142</v>
      </c>
      <c r="N20" s="4">
        <f>BinaryTree_put("a",S0,K20,rf,q,T,X,N)</f>
        <v>1.2789864236544142</v>
      </c>
      <c r="P20" s="2">
        <v>0.02</v>
      </c>
      <c r="Q20" s="1">
        <f>S20-R20</f>
        <v>5.3793907871963142E-2</v>
      </c>
      <c r="R20" s="4">
        <f>BinaryTree_put("e",S0,Sigma,P20,P20,T,X,N)</f>
        <v>19.33193641992062</v>
      </c>
      <c r="S20" s="4">
        <f>BinaryTree_put("a",S0,Sigma,P20,P20,T,X,N)</f>
        <v>19.385730327792583</v>
      </c>
      <c r="U20" s="2">
        <v>0.1</v>
      </c>
      <c r="V20" s="1">
        <f>X20-W20</f>
        <v>3.5345160208835935E-2</v>
      </c>
      <c r="W20" s="4">
        <f>BinaryTree_put("e",S0,Sigma,rf,q,U20,X,N)</f>
        <v>10.583677418749895</v>
      </c>
      <c r="X20" s="4">
        <f>BinaryTree_put("a",S0,Sigma,rf,q,U20,X,N)</f>
        <v>10.619022578958731</v>
      </c>
    </row>
    <row r="21" spans="1:24">
      <c r="A21" s="2">
        <v>204</v>
      </c>
      <c r="B21" s="1">
        <f>D21-C21</f>
        <v>2.5261680620980798</v>
      </c>
      <c r="C21" s="4">
        <f>BinaryTree_put("e",A21,Sigma,rf,q,T,X,N)</f>
        <v>93.47383193790192</v>
      </c>
      <c r="D21" s="4">
        <f>BinaryTree_put("a",A21,Sigma,rf,q,T,X,N)</f>
        <v>96</v>
      </c>
      <c r="F21" s="2">
        <v>204</v>
      </c>
      <c r="G21" s="1">
        <f>I21-H21</f>
        <v>0</v>
      </c>
      <c r="H21" s="4">
        <f>BinaryTree_put("e",S0,Sigma,rf,q,T,F21,N)</f>
        <v>0</v>
      </c>
      <c r="I21" s="4">
        <f>BinaryTree_put("a",S0,Sigma,rf,q,T,F21,N)</f>
        <v>0</v>
      </c>
      <c r="K21" s="2">
        <v>0.03</v>
      </c>
      <c r="L21" s="1">
        <f>N21-M21</f>
        <v>2.1207721129546053E-2</v>
      </c>
      <c r="M21" s="4">
        <f>BinaryTree_put("e",S0,K21,rf,q,T,X,N)</f>
        <v>1.8972586213281453</v>
      </c>
      <c r="N21" s="4">
        <f>BinaryTree_put("a",S0,K21,rf,q,T,X,N)</f>
        <v>1.9184663424576913</v>
      </c>
      <c r="P21" s="2">
        <v>0.03</v>
      </c>
      <c r="Q21" s="1">
        <f>S21-R21</f>
        <v>8.0482734674095724E-2</v>
      </c>
      <c r="R21" s="4">
        <f>BinaryTree_put("e",S0,Sigma,P21,P21,T,X,N)</f>
        <v>19.267603912267429</v>
      </c>
      <c r="S21" s="4">
        <f>BinaryTree_put("a",S0,Sigma,P21,P21,T,X,N)</f>
        <v>19.348086646941525</v>
      </c>
      <c r="U21" s="2">
        <v>0.15000000000000002</v>
      </c>
      <c r="V21" s="1">
        <f>X21-W21</f>
        <v>6.4722579678401004E-2</v>
      </c>
      <c r="W21" s="4">
        <f>BinaryTree_put("e",S0,Sigma,rf,q,U21,X,N)</f>
        <v>12.908139725437019</v>
      </c>
      <c r="X21" s="4">
        <f>BinaryTree_put("a",S0,Sigma,rf,q,U21,X,N)</f>
        <v>12.97286230511542</v>
      </c>
    </row>
    <row r="22" spans="1:24">
      <c r="A22" s="2">
        <v>206</v>
      </c>
      <c r="B22" s="1">
        <f>D22-C22</f>
        <v>2.4735395608043689</v>
      </c>
      <c r="C22" s="4">
        <f>BinaryTree_put("e",A22,Sigma,rf,q,T,X,N)</f>
        <v>91.526460439195631</v>
      </c>
      <c r="D22" s="4">
        <f>BinaryTree_put("a",A22,Sigma,rf,q,T,X,N)</f>
        <v>94</v>
      </c>
      <c r="F22" s="2">
        <v>206</v>
      </c>
      <c r="G22" s="1">
        <f>I22-H22</f>
        <v>0</v>
      </c>
      <c r="H22" s="4">
        <f>BinaryTree_put("e",S0,Sigma,rf,q,T,F22,N)</f>
        <v>0</v>
      </c>
      <c r="I22" s="4">
        <f>BinaryTree_put("a",S0,Sigma,rf,q,T,F22,N)</f>
        <v>0</v>
      </c>
      <c r="K22" s="2">
        <v>0.04</v>
      </c>
      <c r="L22" s="1">
        <f>N22-M22</f>
        <v>2.8276741799162952E-2</v>
      </c>
      <c r="M22" s="4">
        <f>BinaryTree_put("e",S0,K22,rf,q,T,X,N)</f>
        <v>2.5296535682668604</v>
      </c>
      <c r="N22" s="4">
        <f>BinaryTree_put("a",S0,K22,rf,q,T,X,N)</f>
        <v>2.5579303100660233</v>
      </c>
      <c r="P22" s="2">
        <v>0.04</v>
      </c>
      <c r="Q22" s="1">
        <f>S22-R22</f>
        <v>0.1070335498649726</v>
      </c>
      <c r="R22" s="4">
        <f>BinaryTree_put("e",S0,Sigma,P22,P22,T,X,N)</f>
        <v>19.203485489300384</v>
      </c>
      <c r="S22" s="4">
        <f>BinaryTree_put("a",S0,Sigma,P22,P22,T,X,N)</f>
        <v>19.310519039165357</v>
      </c>
      <c r="U22" s="2">
        <v>0.2</v>
      </c>
      <c r="V22" s="1">
        <f>X22-W22</f>
        <v>9.9323741876961691E-2</v>
      </c>
      <c r="W22" s="4">
        <f>BinaryTree_put("e",S0,Sigma,rf,q,U22,X,N)</f>
        <v>14.842753559432582</v>
      </c>
      <c r="X22" s="4">
        <f>BinaryTree_put("a",S0,Sigma,rf,q,U22,X,N)</f>
        <v>14.942077301309544</v>
      </c>
    </row>
    <row r="23" spans="1:24">
      <c r="A23" s="2">
        <v>208</v>
      </c>
      <c r="B23" s="1">
        <f>D23-C23</f>
        <v>2.4209110595106864</v>
      </c>
      <c r="C23" s="4">
        <f>BinaryTree_put("e",A23,Sigma,rf,q,T,X,N)</f>
        <v>89.579088940489314</v>
      </c>
      <c r="D23" s="4">
        <f>BinaryTree_put("a",A23,Sigma,rf,q,T,X,N)</f>
        <v>92</v>
      </c>
      <c r="F23" s="2">
        <v>208</v>
      </c>
      <c r="G23" s="1">
        <f>I23-H23</f>
        <v>0</v>
      </c>
      <c r="H23" s="4">
        <f>BinaryTree_put("e",S0,Sigma,rf,q,T,F23,N)</f>
        <v>0</v>
      </c>
      <c r="I23" s="4">
        <f>BinaryTree_put("a",S0,Sigma,rf,q,T,F23,N)</f>
        <v>0</v>
      </c>
      <c r="K23" s="2">
        <v>0.05</v>
      </c>
      <c r="L23" s="1">
        <f>N23-M23</f>
        <v>3.5345574155968063E-2</v>
      </c>
      <c r="M23" s="4">
        <f>BinaryTree_put("e",S0,K23,rf,q,T,X,N)</f>
        <v>3.1620274359814768</v>
      </c>
      <c r="N23" s="4">
        <f>BinaryTree_put("a",S0,K23,rf,q,T,X,N)</f>
        <v>3.1973730101374449</v>
      </c>
      <c r="P23" s="2">
        <v>0.05</v>
      </c>
      <c r="Q23" s="1">
        <f>S23-R23</f>
        <v>0.1334469057664478</v>
      </c>
      <c r="R23" s="4">
        <f>BinaryTree_put("e",S0,Sigma,P23,P23,T,X,N)</f>
        <v>19.139580438591899</v>
      </c>
      <c r="S23" s="4">
        <f>BinaryTree_put("a",S0,Sigma,P23,P23,T,X,N)</f>
        <v>19.273027344358347</v>
      </c>
      <c r="U23" s="2">
        <v>0.25</v>
      </c>
      <c r="V23" s="1">
        <f>X23-W23</f>
        <v>0.13835899989463485</v>
      </c>
      <c r="W23" s="4">
        <f>BinaryTree_put("e",S0,Sigma,rf,q,U23,X,N)</f>
        <v>16.525360813764248</v>
      </c>
      <c r="X23" s="4">
        <f>BinaryTree_put("a",S0,Sigma,rf,q,U23,X,N)</f>
        <v>16.663719813658883</v>
      </c>
    </row>
    <row r="24" spans="1:24">
      <c r="A24" s="2">
        <v>210</v>
      </c>
      <c r="B24" s="1">
        <f>D24-C24</f>
        <v>2.3682825582169613</v>
      </c>
      <c r="C24" s="4">
        <f>BinaryTree_put("e",A24,Sigma,rf,q,T,X,N)</f>
        <v>87.631717441783039</v>
      </c>
      <c r="D24" s="4">
        <f>BinaryTree_put("a",A24,Sigma,rf,q,T,X,N)</f>
        <v>90</v>
      </c>
      <c r="F24" s="2">
        <v>210</v>
      </c>
      <c r="G24" s="1">
        <f>I24-H24</f>
        <v>0</v>
      </c>
      <c r="H24" s="4">
        <f>BinaryTree_put("e",S0,Sigma,rf,q,T,F24,N)</f>
        <v>0</v>
      </c>
      <c r="I24" s="4">
        <f>BinaryTree_put("a",S0,Sigma,rf,q,T,F24,N)</f>
        <v>0</v>
      </c>
      <c r="K24" s="2">
        <v>6.0000000000000005E-2</v>
      </c>
      <c r="L24" s="1">
        <f>N24-M24</f>
        <v>4.2414171130860989E-2</v>
      </c>
      <c r="M24" s="4">
        <f>BinaryTree_put("e",S0,K24,rf,q,T,X,N)</f>
        <v>3.7943749558187494</v>
      </c>
      <c r="N24" s="4">
        <f>BinaryTree_put("a",S0,K24,rf,q,T,X,N)</f>
        <v>3.8367891269496104</v>
      </c>
      <c r="P24" s="2">
        <v>6.0000000000000005E-2</v>
      </c>
      <c r="Q24" s="1">
        <f>S24-R24</f>
        <v>0.15972335267965931</v>
      </c>
      <c r="R24" s="4">
        <f>BinaryTree_put("e",S0,Sigma,P24,P24,T,X,N)</f>
        <v>19.075888050085194</v>
      </c>
      <c r="S24" s="4">
        <f>BinaryTree_put("a",S0,Sigma,P24,P24,T,X,N)</f>
        <v>19.235611402764853</v>
      </c>
      <c r="U24" s="2">
        <v>0.3</v>
      </c>
      <c r="V24" s="1">
        <f>X24-W24</f>
        <v>0.18128788336850121</v>
      </c>
      <c r="W24" s="4">
        <f>BinaryTree_put("e",S0,Sigma,rf,q,U24,X,N)</f>
        <v>18.026983357770671</v>
      </c>
      <c r="X24" s="4">
        <f>BinaryTree_put("a",S0,Sigma,rf,q,U24,X,N)</f>
        <v>18.208271241139173</v>
      </c>
    </row>
    <row r="25" spans="1:24">
      <c r="A25" s="2">
        <v>212</v>
      </c>
      <c r="B25" s="1">
        <f>D25-C25</f>
        <v>2.315654056923222</v>
      </c>
      <c r="C25" s="4">
        <f>BinaryTree_put("e",A25,Sigma,rf,q,T,X,N)</f>
        <v>85.684345943076778</v>
      </c>
      <c r="D25" s="4">
        <f>BinaryTree_put("a",A25,Sigma,rf,q,T,X,N)</f>
        <v>88</v>
      </c>
      <c r="F25" s="2">
        <v>212</v>
      </c>
      <c r="G25" s="1">
        <f>I25-H25</f>
        <v>0</v>
      </c>
      <c r="H25" s="4">
        <f>BinaryTree_put("e",S0,Sigma,rf,q,T,F25,N)</f>
        <v>0</v>
      </c>
      <c r="I25" s="4">
        <f>BinaryTree_put("a",S0,Sigma,rf,q,T,F25,N)</f>
        <v>0</v>
      </c>
      <c r="K25" s="2">
        <v>6.9999999999999993E-2</v>
      </c>
      <c r="L25" s="1">
        <f>N25-M25</f>
        <v>4.9482485661028086E-2</v>
      </c>
      <c r="M25" s="4">
        <f>BinaryTree_put("e",S0,K25,rf,q,T,X,N)</f>
        <v>4.426690859893732</v>
      </c>
      <c r="N25" s="4">
        <f>BinaryTree_put("a",S0,K25,rf,q,T,X,N)</f>
        <v>4.4761733455547601</v>
      </c>
      <c r="P25" s="2">
        <v>6.9999999999999993E-2</v>
      </c>
      <c r="Q25" s="1">
        <f>S25-R25</f>
        <v>0.18586343889210255</v>
      </c>
      <c r="R25" s="4">
        <f>BinaryTree_put("e",S0,Sigma,P25,P25,T,X,N)</f>
        <v>19.012407616086417</v>
      </c>
      <c r="S25" s="4">
        <f>BinaryTree_put("a",S0,Sigma,P25,P25,T,X,N)</f>
        <v>19.19827105497852</v>
      </c>
      <c r="U25" s="2">
        <v>0.35000000000000003</v>
      </c>
      <c r="V25" s="1">
        <f>X25-W25</f>
        <v>0.22770817950811661</v>
      </c>
      <c r="W25" s="4">
        <f>BinaryTree_put("e",S0,Sigma,rf,q,U25,X,N)</f>
        <v>19.39000644948781</v>
      </c>
      <c r="X25" s="4">
        <f>BinaryTree_put("a",S0,Sigma,rf,q,U25,X,N)</f>
        <v>19.617714628995927</v>
      </c>
    </row>
    <row r="26" spans="1:24">
      <c r="A26" s="2">
        <v>214</v>
      </c>
      <c r="B26" s="1">
        <f>D26-C26</f>
        <v>2.1308579742512137</v>
      </c>
      <c r="C26" s="4">
        <f>BinaryTree_put("e",A26,Sigma,rf,q,T,X,N)</f>
        <v>83.869142025748786</v>
      </c>
      <c r="D26" s="4">
        <f>BinaryTree_put("a",A26,Sigma,rf,q,T,X,N)</f>
        <v>86</v>
      </c>
      <c r="F26" s="2">
        <v>214</v>
      </c>
      <c r="G26" s="1">
        <f>I26-H26</f>
        <v>0</v>
      </c>
      <c r="H26" s="4">
        <f>BinaryTree_put("e",S0,Sigma,rf,q,T,F26,N)</f>
        <v>0.13216758137835116</v>
      </c>
      <c r="I26" s="4">
        <f>BinaryTree_put("a",S0,Sigma,rf,q,T,F26,N)</f>
        <v>0.13216758137835116</v>
      </c>
      <c r="K26" s="2">
        <v>0.08</v>
      </c>
      <c r="L26" s="1">
        <f>N26-M26</f>
        <v>5.655047069086816E-2</v>
      </c>
      <c r="M26" s="4">
        <f>BinaryTree_put("e",S0,K26,rf,q,T,X,N)</f>
        <v>5.0589698812435548</v>
      </c>
      <c r="N26" s="4">
        <f>BinaryTree_put("a",S0,K26,rf,q,T,X,N)</f>
        <v>5.115520351934423</v>
      </c>
      <c r="P26" s="2">
        <v>0.08</v>
      </c>
      <c r="Q26" s="1">
        <f>S26-R26</f>
        <v>0.21186771068474997</v>
      </c>
      <c r="R26" s="4">
        <f>BinaryTree_put("e",S0,Sigma,P26,P26,T,X,N)</f>
        <v>18.949138431256735</v>
      </c>
      <c r="S26" s="4">
        <f>BinaryTree_put("a",S0,Sigma,P26,P26,T,X,N)</f>
        <v>19.161006141941485</v>
      </c>
      <c r="U26" s="2">
        <v>0.4</v>
      </c>
      <c r="V26" s="1">
        <f>X26-W26</f>
        <v>0.27730416542257075</v>
      </c>
      <c r="W26" s="4">
        <f>BinaryTree_put("e",S0,Sigma,rf,q,U26,X,N)</f>
        <v>20.642174482569313</v>
      </c>
      <c r="X26" s="4">
        <f>BinaryTree_put("a",S0,Sigma,rf,q,U26,X,N)</f>
        <v>20.919478647991884</v>
      </c>
    </row>
    <row r="27" spans="1:24">
      <c r="A27" s="2">
        <v>216</v>
      </c>
      <c r="B27" s="1">
        <f>D27-C27</f>
        <v>1.9340435897591846</v>
      </c>
      <c r="C27" s="4">
        <f>BinaryTree_put("e",A27,Sigma,rf,q,T,X,N)</f>
        <v>82.065956410240815</v>
      </c>
      <c r="D27" s="4">
        <f>BinaryTree_put("a",A27,Sigma,rf,q,T,X,N)</f>
        <v>84</v>
      </c>
      <c r="F27" s="2">
        <v>216</v>
      </c>
      <c r="G27" s="1">
        <f>I27-H27</f>
        <v>0</v>
      </c>
      <c r="H27" s="4">
        <f>BinaryTree_put("e",S0,Sigma,rf,q,T,F27,N)</f>
        <v>0.27635346457663523</v>
      </c>
      <c r="I27" s="4">
        <f>BinaryTree_put("a",S0,Sigma,rf,q,T,F27,N)</f>
        <v>0.27635346457663523</v>
      </c>
      <c r="K27" s="2">
        <v>0.09</v>
      </c>
      <c r="L27" s="1">
        <f>N27-M27</f>
        <v>6.361807917344553E-2</v>
      </c>
      <c r="M27" s="4">
        <f>BinaryTree_put("e",S0,K27,rf,q,T,X,N)</f>
        <v>5.6912067539806905</v>
      </c>
      <c r="N27" s="4">
        <f>BinaryTree_put("a",S0,K27,rf,q,T,X,N)</f>
        <v>5.7548248331541361</v>
      </c>
      <c r="P27" s="2">
        <v>0.09</v>
      </c>
      <c r="Q27" s="1">
        <f>S27-R27</f>
        <v>0.23773671233898597</v>
      </c>
      <c r="R27" s="4">
        <f>BinaryTree_put("e",S0,Sigma,P27,P27,T,X,N)</f>
        <v>18.886079792604583</v>
      </c>
      <c r="S27" s="4">
        <f>BinaryTree_put("a",S0,Sigma,P27,P27,T,X,N)</f>
        <v>19.123816504943569</v>
      </c>
      <c r="U27" s="2">
        <v>0.45</v>
      </c>
      <c r="V27" s="1">
        <f>X27-W27</f>
        <v>0.32981863629250441</v>
      </c>
      <c r="W27" s="4">
        <f>BinaryTree_put("e",S0,Sigma,rf,q,U27,X,N)</f>
        <v>21.802848666336889</v>
      </c>
      <c r="X27" s="4">
        <f>BinaryTree_put("a",S0,Sigma,rf,q,U27,X,N)</f>
        <v>22.132667302629393</v>
      </c>
    </row>
    <row r="28" spans="1:24">
      <c r="A28" s="2">
        <v>218</v>
      </c>
      <c r="B28" s="1">
        <f>D28-C28</f>
        <v>1.737229205267198</v>
      </c>
      <c r="C28" s="4">
        <f>BinaryTree_put("e",A28,Sigma,rf,q,T,X,N)</f>
        <v>80.262770794732802</v>
      </c>
      <c r="D28" s="4">
        <f>BinaryTree_put("a",A28,Sigma,rf,q,T,X,N)</f>
        <v>82</v>
      </c>
      <c r="F28" s="2">
        <v>218</v>
      </c>
      <c r="G28" s="1">
        <f>I28-H28</f>
        <v>0</v>
      </c>
      <c r="H28" s="4">
        <f>BinaryTree_put("e",S0,Sigma,rf,q,T,F28,N)</f>
        <v>0.42053934777491936</v>
      </c>
      <c r="I28" s="4">
        <f>BinaryTree_put("a",S0,Sigma,rf,q,T,F28,N)</f>
        <v>0.42053934777491936</v>
      </c>
      <c r="K28" s="2">
        <v>9.9999999999999992E-2</v>
      </c>
      <c r="L28" s="1">
        <f>N28-M28</f>
        <v>7.0685264071584264E-2</v>
      </c>
      <c r="M28" s="4">
        <f>BinaryTree_put("e",S0,K28,rf,q,T,X,N)</f>
        <v>6.3233962134467765</v>
      </c>
      <c r="N28" s="4">
        <f>BinaryTree_put("a",S0,K28,rf,q,T,X,N)</f>
        <v>6.3940814775183608</v>
      </c>
      <c r="P28" s="2">
        <v>9.9999999999999992E-2</v>
      </c>
      <c r="Q28" s="1">
        <f>S28-R28</f>
        <v>0.26347098614378339</v>
      </c>
      <c r="R28" s="4">
        <f>BinaryTree_put("e",S0,Sigma,P28,P28,T,X,N)</f>
        <v>18.823230999477769</v>
      </c>
      <c r="S28" s="4">
        <f>BinaryTree_put("a",S0,Sigma,P28,P28,T,X,N)</f>
        <v>19.086701985621552</v>
      </c>
      <c r="U28" s="2">
        <v>0.5</v>
      </c>
      <c r="V28" s="1">
        <f>X28-W28</f>
        <v>0.3850362469515396</v>
      </c>
      <c r="W28" s="4">
        <f>BinaryTree_put("e",S0,Sigma,rf,q,U28,X,N)</f>
        <v>22.886191987425338</v>
      </c>
      <c r="X28" s="4">
        <f>BinaryTree_put("a",S0,Sigma,rf,q,U28,X,N)</f>
        <v>23.271228234376878</v>
      </c>
    </row>
    <row r="29" spans="1:24">
      <c r="A29" s="2">
        <v>220</v>
      </c>
      <c r="B29" s="1">
        <f>D29-C29</f>
        <v>1.5404148207751973</v>
      </c>
      <c r="C29" s="4">
        <f>BinaryTree_put("e",A29,Sigma,rf,q,T,X,N)</f>
        <v>78.459585179224803</v>
      </c>
      <c r="D29" s="4">
        <f>BinaryTree_put("a",A29,Sigma,rf,q,T,X,N)</f>
        <v>80</v>
      </c>
      <c r="F29" s="2">
        <v>220</v>
      </c>
      <c r="G29" s="1">
        <f>I29-H29</f>
        <v>0</v>
      </c>
      <c r="H29" s="4">
        <f>BinaryTree_put("e",S0,Sigma,rf,q,T,F29,N)</f>
        <v>0.56472523097320326</v>
      </c>
      <c r="I29" s="4">
        <f>BinaryTree_put("a",S0,Sigma,rf,q,T,F29,N)</f>
        <v>0.56472523097320326</v>
      </c>
      <c r="K29" s="2">
        <v>0.11</v>
      </c>
      <c r="L29" s="1">
        <f>N29-M29</f>
        <v>7.7751978359096086E-2</v>
      </c>
      <c r="M29" s="4">
        <f>BinaryTree_put("e",S0,K29,rf,q,T,X,N)</f>
        <v>6.9555329963656698</v>
      </c>
      <c r="N29" s="4">
        <f>BinaryTree_put("a",S0,K29,rf,q,T,X,N)</f>
        <v>7.0332849747247659</v>
      </c>
      <c r="P29" s="2">
        <v>0.11</v>
      </c>
      <c r="Q29" s="1">
        <f>S29-R29</f>
        <v>0.28907107240260288</v>
      </c>
      <c r="R29" s="4">
        <f>BinaryTree_put("e",S0,Sigma,P29,P29,T,X,N)</f>
        <v>18.760591353555704</v>
      </c>
      <c r="S29" s="4">
        <f>BinaryTree_put("a",S0,Sigma,P29,P29,T,X,N)</f>
        <v>19.049662425958306</v>
      </c>
      <c r="U29" s="2">
        <v>0.55000000000000004</v>
      </c>
      <c r="V29" s="1">
        <f>X29-W29</f>
        <v>0.4427728720068913</v>
      </c>
      <c r="W29" s="4">
        <f>BinaryTree_put("e",S0,Sigma,rf,q,U29,X,N)</f>
        <v>23.902946934692633</v>
      </c>
      <c r="X29" s="4">
        <f>BinaryTree_put("a",S0,Sigma,rf,q,U29,X,N)</f>
        <v>24.345719806699524</v>
      </c>
    </row>
    <row r="30" spans="1:24">
      <c r="A30" s="2">
        <v>222</v>
      </c>
      <c r="B30" s="1">
        <f>D30-C30</f>
        <v>1.3436004362832108</v>
      </c>
      <c r="C30" s="4">
        <f>BinaryTree_put("e",A30,Sigma,rf,q,T,X,N)</f>
        <v>76.656399563716789</v>
      </c>
      <c r="D30" s="4">
        <f>BinaryTree_put("a",A30,Sigma,rf,q,T,X,N)</f>
        <v>78</v>
      </c>
      <c r="F30" s="2">
        <v>222</v>
      </c>
      <c r="G30" s="1">
        <f>I30-H30</f>
        <v>0</v>
      </c>
      <c r="H30" s="4">
        <f>BinaryTree_put("e",S0,Sigma,rf,q,T,F30,N)</f>
        <v>0.70891111417148744</v>
      </c>
      <c r="I30" s="4">
        <f>BinaryTree_put("a",S0,Sigma,rf,q,T,F30,N)</f>
        <v>0.70891111417148744</v>
      </c>
      <c r="K30" s="2">
        <v>0.12</v>
      </c>
      <c r="L30" s="1">
        <f>N30-M30</f>
        <v>8.4818175022083331E-2</v>
      </c>
      <c r="M30" s="4">
        <f>BinaryTree_put("e",S0,K30,rf,q,T,X,N)</f>
        <v>7.5876118409970568</v>
      </c>
      <c r="N30" s="4">
        <f>BinaryTree_put("a",S0,K30,rf,q,T,X,N)</f>
        <v>7.6724300160191401</v>
      </c>
      <c r="P30" s="2">
        <v>0.12</v>
      </c>
      <c r="Q30" s="1">
        <f>S30-R30</f>
        <v>0.31453750944038461</v>
      </c>
      <c r="R30" s="4">
        <f>BinaryTree_put("e",S0,Sigma,P30,P30,T,X,N)</f>
        <v>18.698160158841699</v>
      </c>
      <c r="S30" s="4">
        <f>BinaryTree_put("a",S0,Sigma,P30,P30,T,X,N)</f>
        <v>19.012697668282083</v>
      </c>
      <c r="U30" s="2">
        <v>0.60000000000000009</v>
      </c>
      <c r="V30" s="1">
        <f>X30-W30</f>
        <v>0.50286844016198629</v>
      </c>
      <c r="W30" s="4">
        <f>BinaryTree_put("e",S0,Sigma,rf,q,U30,X,N)</f>
        <v>24.861499113709115</v>
      </c>
      <c r="X30" s="4">
        <f>BinaryTree_put("a",S0,Sigma,rf,q,U30,X,N)</f>
        <v>25.364367553871102</v>
      </c>
    </row>
    <row r="31" spans="1:24">
      <c r="A31" s="2">
        <v>224</v>
      </c>
      <c r="B31" s="1">
        <f>D31-C31</f>
        <v>1.2616481337342265</v>
      </c>
      <c r="C31" s="4">
        <f>BinaryTree_put("e",A31,Sigma,rf,q,T,X,N)</f>
        <v>74.853213948208776</v>
      </c>
      <c r="D31" s="4">
        <f>BinaryTree_put("a",A31,Sigma,rf,q,T,X,N)</f>
        <v>76.114862081943002</v>
      </c>
      <c r="F31" s="2">
        <v>224</v>
      </c>
      <c r="G31" s="1">
        <f>I31-H31</f>
        <v>0</v>
      </c>
      <c r="H31" s="4">
        <f>BinaryTree_put("e",S0,Sigma,rf,q,T,F31,N)</f>
        <v>0.85309699736977151</v>
      </c>
      <c r="I31" s="4">
        <f>BinaryTree_put("a",S0,Sigma,rf,q,T,F31,N)</f>
        <v>0.85309699736977151</v>
      </c>
      <c r="K31" s="2">
        <v>0.13</v>
      </c>
      <c r="L31" s="1">
        <f>N31-M31</f>
        <v>9.1883807060099798E-2</v>
      </c>
      <c r="M31" s="4">
        <f>BinaryTree_put("e",S0,K31,rf,q,T,X,N)</f>
        <v>8.219627487289463</v>
      </c>
      <c r="N31" s="4">
        <f>BinaryTree_put("a",S0,K31,rf,q,T,X,N)</f>
        <v>8.3115112943495628</v>
      </c>
      <c r="P31" s="2">
        <v>0.13</v>
      </c>
      <c r="Q31" s="1">
        <f>S31-R31</f>
        <v>0.3398708336105507</v>
      </c>
      <c r="R31" s="4">
        <f>BinaryTree_put("e",S0,Sigma,P31,P31,T,X,N)</f>
        <v>18.635936721655145</v>
      </c>
      <c r="S31" s="4">
        <f>BinaryTree_put("a",S0,Sigma,P31,P31,T,X,N)</f>
        <v>18.975807555265696</v>
      </c>
      <c r="U31" s="2">
        <v>0.65000000000000013</v>
      </c>
      <c r="V31" s="1">
        <f>X31-W31</f>
        <v>0.56518190310404393</v>
      </c>
      <c r="W31" s="4">
        <f>BinaryTree_put("e",S0,Sigma,rf,q,U31,X,N)</f>
        <v>25.76854914293202</v>
      </c>
      <c r="X31" s="4">
        <f>BinaryTree_put("a",S0,Sigma,rf,q,U31,X,N)</f>
        <v>26.333731046036064</v>
      </c>
    </row>
    <row r="32" spans="1:24">
      <c r="A32" s="2">
        <v>226</v>
      </c>
      <c r="B32" s="1">
        <f>D32-C32</f>
        <v>1.2346115910519728</v>
      </c>
      <c r="C32" s="4">
        <f>BinaryTree_put("e",A32,Sigma,rf,q,T,X,N)</f>
        <v>73.050028332700776</v>
      </c>
      <c r="D32" s="4">
        <f>BinaryTree_put("a",A32,Sigma,rf,q,T,X,N)</f>
        <v>74.284639923752749</v>
      </c>
      <c r="F32" s="2">
        <v>226</v>
      </c>
      <c r="G32" s="1">
        <f>I32-H32</f>
        <v>0</v>
      </c>
      <c r="H32" s="4">
        <f>BinaryTree_put("e",S0,Sigma,rf,q,T,F32,N)</f>
        <v>0.9972828805680557</v>
      </c>
      <c r="I32" s="4">
        <f>BinaryTree_put("a",S0,Sigma,rf,q,T,F32,N)</f>
        <v>0.9972828805680557</v>
      </c>
      <c r="K32" s="2">
        <v>0.14000000000000001</v>
      </c>
      <c r="L32" s="1">
        <f>N32-M32</f>
        <v>9.8948827487390645E-2</v>
      </c>
      <c r="M32" s="4">
        <f>BinaryTree_put("e",S0,K32,rf,q,T,X,N)</f>
        <v>8.8515746770335841</v>
      </c>
      <c r="N32" s="4">
        <f>BinaryTree_put("a",S0,K32,rf,q,T,X,N)</f>
        <v>8.9505235045209748</v>
      </c>
      <c r="P32" s="2">
        <v>0.14000000000000001</v>
      </c>
      <c r="Q32" s="1">
        <f>S32-R32</f>
        <v>0.36507157930185841</v>
      </c>
      <c r="R32" s="4">
        <f>BinaryTree_put("e",S0,Sigma,P32,P32,T,X,N)</f>
        <v>18.573920350623904</v>
      </c>
      <c r="S32" s="4">
        <f>BinaryTree_put("a",S0,Sigma,P32,P32,T,X,N)</f>
        <v>18.938991929925763</v>
      </c>
      <c r="U32" s="2">
        <v>0.70000000000000007</v>
      </c>
      <c r="V32" s="1">
        <f>X32-W32</f>
        <v>0.62958758223988553</v>
      </c>
      <c r="W32" s="4">
        <f>BinaryTree_put("e",S0,Sigma,rf,q,U32,X,N)</f>
        <v>26.629556084783015</v>
      </c>
      <c r="X32" s="4">
        <f>BinaryTree_put("a",S0,Sigma,rf,q,U32,X,N)</f>
        <v>27.259143667022901</v>
      </c>
    </row>
    <row r="33" spans="1:24">
      <c r="A33" s="2">
        <v>228</v>
      </c>
      <c r="B33" s="1">
        <f>D33-C33</f>
        <v>1.2075750483697192</v>
      </c>
      <c r="C33" s="4">
        <f>BinaryTree_put("e",A33,Sigma,rf,q,T,X,N)</f>
        <v>71.246842717192777</v>
      </c>
      <c r="D33" s="4">
        <f>BinaryTree_put("a",A33,Sigma,rf,q,T,X,N)</f>
        <v>72.454417765562496</v>
      </c>
      <c r="F33" s="2">
        <v>228</v>
      </c>
      <c r="G33" s="1">
        <f>I33-H33</f>
        <v>0</v>
      </c>
      <c r="H33" s="4">
        <f>BinaryTree_put("e",S0,Sigma,rf,q,T,F33,N)</f>
        <v>1.1414687637663401</v>
      </c>
      <c r="I33" s="4">
        <f>BinaryTree_put("a",S0,Sigma,rf,q,T,F33,N)</f>
        <v>1.1414687637663401</v>
      </c>
      <c r="K33" s="2">
        <v>0.15000000000000002</v>
      </c>
      <c r="L33" s="1">
        <f>N33-M33</f>
        <v>0.10601318933408699</v>
      </c>
      <c r="M33" s="4">
        <f>BinaryTree_put("e",S0,K33,rf,q,T,X,N)</f>
        <v>9.4834481540151536</v>
      </c>
      <c r="N33" s="4">
        <f>BinaryTree_put("a",S0,K33,rf,q,T,X,N)</f>
        <v>9.5894613433492406</v>
      </c>
      <c r="P33" s="2">
        <v>0.15000000000000002</v>
      </c>
      <c r="Q33" s="1">
        <f>S33-R33</f>
        <v>0.39014027894537051</v>
      </c>
      <c r="R33" s="4">
        <f>BinaryTree_put("e",S0,Sigma,P33,P33,T,X,N)</f>
        <v>18.512110356676537</v>
      </c>
      <c r="S33" s="4">
        <f>BinaryTree_put("a",S0,Sigma,P33,P33,T,X,N)</f>
        <v>18.902250635621908</v>
      </c>
      <c r="U33" s="2">
        <v>0.75000000000000011</v>
      </c>
      <c r="V33" s="1">
        <f>X33-W33</f>
        <v>0.69597244122664392</v>
      </c>
      <c r="W33" s="4">
        <f>BinaryTree_put("e",S0,Sigma,rf,q,U33,X,N)</f>
        <v>27.449040838801803</v>
      </c>
      <c r="X33" s="4">
        <f>BinaryTree_put("a",S0,Sigma,rf,q,U33,X,N)</f>
        <v>28.145013280028447</v>
      </c>
    </row>
    <row r="34" spans="1:24">
      <c r="A34" s="2">
        <v>230</v>
      </c>
      <c r="B34" s="1">
        <f>D34-C34</f>
        <v>1.1805385056874798</v>
      </c>
      <c r="C34" s="4">
        <f>BinaryTree_put("e",A34,Sigma,rf,q,T,X,N)</f>
        <v>69.443657101684764</v>
      </c>
      <c r="D34" s="4">
        <f>BinaryTree_put("a",A34,Sigma,rf,q,T,X,N)</f>
        <v>70.624195607372243</v>
      </c>
      <c r="F34" s="2">
        <v>230</v>
      </c>
      <c r="G34" s="1">
        <f>I34-H34</f>
        <v>0</v>
      </c>
      <c r="H34" s="4">
        <f>BinaryTree_put("e",S0,Sigma,rf,q,T,F34,N)</f>
        <v>1.2856546469646237</v>
      </c>
      <c r="I34" s="4">
        <f>BinaryTree_put("a",S0,Sigma,rf,q,T,F34,N)</f>
        <v>1.2856546469646237</v>
      </c>
      <c r="K34" s="2">
        <v>0.16</v>
      </c>
      <c r="L34" s="1">
        <f>N34-M34</f>
        <v>0.11307684564744136</v>
      </c>
      <c r="M34" s="4">
        <f>BinaryTree_put("e",S0,K34,rf,q,T,X,N)</f>
        <v>10.115242664168045</v>
      </c>
      <c r="N34" s="4">
        <f>BinaryTree_put("a",S0,K34,rf,q,T,X,N)</f>
        <v>10.228319509815487</v>
      </c>
      <c r="P34" s="2">
        <v>0.16</v>
      </c>
      <c r="Q34" s="1">
        <f>S34-R34</f>
        <v>0.41507746302130144</v>
      </c>
      <c r="R34" s="4">
        <f>BinaryTree_put("e",S0,Sigma,P34,P34,T,X,N)</f>
        <v>18.450506053034694</v>
      </c>
      <c r="S34" s="4">
        <f>BinaryTree_put("a",S0,Sigma,P34,P34,T,X,N)</f>
        <v>18.865583516055995</v>
      </c>
      <c r="U34" s="2">
        <v>0.8</v>
      </c>
      <c r="V34" s="1">
        <f>X34-W34</f>
        <v>0.7642340016121949</v>
      </c>
      <c r="W34" s="4">
        <f>BinaryTree_put("e",S0,Sigma,rf,q,U34,X,N)</f>
        <v>28.230800093699361</v>
      </c>
      <c r="X34" s="4">
        <f>BinaryTree_put("a",S0,Sigma,rf,q,U34,X,N)</f>
        <v>28.995034095311556</v>
      </c>
    </row>
    <row r="35" spans="1:24">
      <c r="A35" s="2">
        <v>232</v>
      </c>
      <c r="B35" s="1">
        <f>D35-C35</f>
        <v>1.1535019630052261</v>
      </c>
      <c r="C35" s="4">
        <f>BinaryTree_put("e",A35,Sigma,rf,q,T,X,N)</f>
        <v>67.64047148617675</v>
      </c>
      <c r="D35" s="4">
        <f>BinaryTree_put("a",A35,Sigma,rf,q,T,X,N)</f>
        <v>68.793973449181976</v>
      </c>
      <c r="F35" s="2">
        <v>232</v>
      </c>
      <c r="G35" s="1">
        <f>I35-H35</f>
        <v>0</v>
      </c>
      <c r="H35" s="4">
        <f>BinaryTree_put("e",S0,Sigma,rf,q,T,F35,N)</f>
        <v>1.4298405301629078</v>
      </c>
      <c r="I35" s="4">
        <f>BinaryTree_put("a",S0,Sigma,rf,q,T,F35,N)</f>
        <v>1.4298405301629078</v>
      </c>
      <c r="K35" s="2">
        <v>0.17</v>
      </c>
      <c r="L35" s="1">
        <f>N35-M35</f>
        <v>0.12013974949312534</v>
      </c>
      <c r="M35" s="4">
        <f>BinaryTree_put("e",S0,K35,rf,q,T,X,N)</f>
        <v>10.746952955726952</v>
      </c>
      <c r="N35" s="4">
        <f>BinaryTree_put("a",S0,K35,rf,q,T,X,N)</f>
        <v>10.867092705220077</v>
      </c>
      <c r="P35" s="2">
        <v>0.17</v>
      </c>
      <c r="Q35" s="1">
        <f>S35-R35</f>
        <v>0.43988366006589175</v>
      </c>
      <c r="R35" s="4">
        <f>BinaryTree_put("e",S0,Sigma,P35,P35,T,X,N)</f>
        <v>18.389106755205482</v>
      </c>
      <c r="S35" s="4">
        <f>BinaryTree_put("a",S0,Sigma,P35,P35,T,X,N)</f>
        <v>18.828990415271374</v>
      </c>
      <c r="U35" s="2">
        <v>0.85000000000000009</v>
      </c>
      <c r="V35" s="1">
        <f>X35-W35</f>
        <v>0.83427871794340192</v>
      </c>
      <c r="W35" s="4">
        <f>BinaryTree_put("e",S0,Sigma,rf,q,U35,X,N)</f>
        <v>28.978061139705567</v>
      </c>
      <c r="X35" s="4">
        <f>BinaryTree_put("a",S0,Sigma,rf,q,U35,X,N)</f>
        <v>29.812339857648968</v>
      </c>
    </row>
    <row r="36" spans="1:24">
      <c r="A36" s="2">
        <v>234</v>
      </c>
      <c r="B36" s="1">
        <f>D36-C36</f>
        <v>1.1264654203229583</v>
      </c>
      <c r="C36" s="4">
        <f>BinaryTree_put("e",A36,Sigma,rf,q,T,X,N)</f>
        <v>65.837285870668765</v>
      </c>
      <c r="D36" s="4">
        <f>BinaryTree_put("a",A36,Sigma,rf,q,T,X,N)</f>
        <v>66.963751290991723</v>
      </c>
      <c r="F36" s="2">
        <v>234</v>
      </c>
      <c r="G36" s="1">
        <f>I36-H36</f>
        <v>0</v>
      </c>
      <c r="H36" s="4">
        <f>BinaryTree_put("e",S0,Sigma,rf,q,T,F36,N)</f>
        <v>1.5740264133611916</v>
      </c>
      <c r="I36" s="4">
        <f>BinaryTree_put("a",S0,Sigma,rf,q,T,F36,N)</f>
        <v>1.5740264133611916</v>
      </c>
      <c r="K36" s="2">
        <v>0.18000000000000002</v>
      </c>
      <c r="L36" s="1">
        <f>N36-M36</f>
        <v>0.12720185395626338</v>
      </c>
      <c r="M36" s="4">
        <f>BinaryTree_put("e",S0,K36,rf,q,T,X,N)</f>
        <v>11.378573779380172</v>
      </c>
      <c r="N36" s="4">
        <f>BinaryTree_put("a",S0,K36,rf,q,T,X,N)</f>
        <v>11.505775633336436</v>
      </c>
      <c r="P36" s="2">
        <v>0.18000000000000002</v>
      </c>
      <c r="Q36" s="1">
        <f>S36-R36</f>
        <v>0.46455939667822221</v>
      </c>
      <c r="R36" s="4">
        <f>BinaryTree_put("e",S0,Sigma,P36,P36,T,X,N)</f>
        <v>18.327911780973853</v>
      </c>
      <c r="S36" s="4">
        <f>BinaryTree_put("a",S0,Sigma,P36,P36,T,X,N)</f>
        <v>18.792471177652075</v>
      </c>
      <c r="U36" s="2">
        <v>0.90000000000000013</v>
      </c>
      <c r="V36" s="1">
        <f>X36-W36</f>
        <v>0.90602068912809841</v>
      </c>
      <c r="W36" s="4">
        <f>BinaryTree_put("e",S0,Sigma,rf,q,U36,X,N)</f>
        <v>29.693596401496222</v>
      </c>
      <c r="X36" s="4">
        <f>BinaryTree_put("a",S0,Sigma,rf,q,U36,X,N)</f>
        <v>30.599617090624321</v>
      </c>
    </row>
    <row r="37" spans="1:24">
      <c r="A37" s="2">
        <v>236</v>
      </c>
      <c r="B37" s="1">
        <f>D37-C37</f>
        <v>1.0994288776407046</v>
      </c>
      <c r="C37" s="4">
        <f>BinaryTree_put("e",A37,Sigma,rf,q,T,X,N)</f>
        <v>64.034100255160752</v>
      </c>
      <c r="D37" s="4">
        <f>BinaryTree_put("a",A37,Sigma,rf,q,T,X,N)</f>
        <v>65.133529132801456</v>
      </c>
      <c r="F37" s="2">
        <v>236</v>
      </c>
      <c r="G37" s="1">
        <f>I37-H37</f>
        <v>0</v>
      </c>
      <c r="H37" s="4">
        <f>BinaryTree_put("e",S0,Sigma,rf,q,T,F37,N)</f>
        <v>1.7182122965594759</v>
      </c>
      <c r="I37" s="4">
        <f>BinaryTree_put("a",S0,Sigma,rf,q,T,F37,N)</f>
        <v>1.7182122965594759</v>
      </c>
      <c r="K37" s="2">
        <v>0.19</v>
      </c>
      <c r="L37" s="1">
        <f>N37-M37</f>
        <v>0.13426311214278286</v>
      </c>
      <c r="M37" s="4">
        <f>BinaryTree_put("e",S0,K37,rf,q,T,X,N)</f>
        <v>12.01009988842211</v>
      </c>
      <c r="N37" s="4">
        <f>BinaryTree_put("a",S0,K37,rf,q,T,X,N)</f>
        <v>12.144363000564892</v>
      </c>
      <c r="P37" s="2">
        <v>0.19</v>
      </c>
      <c r="Q37" s="1">
        <f>S37-R37</f>
        <v>0.48910519752704573</v>
      </c>
      <c r="R37" s="4">
        <f>BinaryTree_put("e",S0,Sigma,P37,P37,T,X,N)</f>
        <v>18.26692045039502</v>
      </c>
      <c r="S37" s="4">
        <f>BinaryTree_put("a",S0,Sigma,P37,P37,T,X,N)</f>
        <v>18.756025647922066</v>
      </c>
      <c r="U37" s="2">
        <v>0.95000000000000007</v>
      </c>
      <c r="V37" s="1">
        <f>X37-W37</f>
        <v>0.97938062105378521</v>
      </c>
      <c r="W37" s="4">
        <f>BinaryTree_put("e",S0,Sigma,rf,q,U37,X,N)</f>
        <v>30.379809825423663</v>
      </c>
      <c r="X37" s="4">
        <f>BinaryTree_put("a",S0,Sigma,rf,q,U37,X,N)</f>
        <v>31.359190446477449</v>
      </c>
    </row>
    <row r="38" spans="1:24">
      <c r="A38" s="2">
        <v>238</v>
      </c>
      <c r="B38" s="1">
        <f>D38-C38</f>
        <v>1.0723923349584439</v>
      </c>
      <c r="C38" s="4">
        <f>BinaryTree_put("e",A38,Sigma,rf,q,T,X,N)</f>
        <v>62.230914639652759</v>
      </c>
      <c r="D38" s="4">
        <f>BinaryTree_put("a",A38,Sigma,rf,q,T,X,N)</f>
        <v>63.303306974611203</v>
      </c>
      <c r="F38" s="2">
        <v>238</v>
      </c>
      <c r="G38" s="1">
        <f>I38-H38</f>
        <v>0</v>
      </c>
      <c r="H38" s="4">
        <f>BinaryTree_put("e",S0,Sigma,rf,q,T,F38,N)</f>
        <v>1.8623981797577596</v>
      </c>
      <c r="I38" s="4">
        <f>BinaryTree_put("a",S0,Sigma,rf,q,T,F38,N)</f>
        <v>1.8623981797577596</v>
      </c>
      <c r="K38" s="2">
        <v>0.2</v>
      </c>
      <c r="L38" s="1">
        <f>N38-M38</f>
        <v>0.1413234771806966</v>
      </c>
      <c r="M38" s="4">
        <f>BinaryTree_put("e",S0,K38,rf,q,T,X,N)</f>
        <v>12.641526038905505</v>
      </c>
      <c r="N38" s="4">
        <f>BinaryTree_put("a",S0,K38,rf,q,T,X,N)</f>
        <v>12.782849516086202</v>
      </c>
      <c r="P38" s="2">
        <v>0.2</v>
      </c>
      <c r="Q38" s="1">
        <f>S38-R38</f>
        <v>0.51352158535757297</v>
      </c>
      <c r="R38" s="4">
        <f>BinaryTree_put("e",S0,Sigma,P38,P38,T,X,N)</f>
        <v>18.206132085786894</v>
      </c>
      <c r="S38" s="4">
        <f>BinaryTree_put("a",S0,Sigma,P38,P38,T,X,N)</f>
        <v>18.719653671144467</v>
      </c>
      <c r="U38" s="2">
        <v>1</v>
      </c>
      <c r="V38" s="1">
        <f>X38-W38</f>
        <v>1.0542849804018104</v>
      </c>
      <c r="W38" s="4">
        <f>BinaryTree_put("e",S0,Sigma,rf,q,U38,X,N)</f>
        <v>31.03880315443665</v>
      </c>
      <c r="X38" s="4">
        <f>BinaryTree_put("a",S0,Sigma,rf,q,U38,X,N)</f>
        <v>32.09308813483846</v>
      </c>
    </row>
    <row r="39" spans="1:24">
      <c r="A39" s="2">
        <v>240</v>
      </c>
      <c r="B39" s="1">
        <f>D39-C39</f>
        <v>1.0453557922762045</v>
      </c>
      <c r="C39" s="4">
        <f>BinaryTree_put("e",A39,Sigma,rf,q,T,X,N)</f>
        <v>60.427729024144739</v>
      </c>
      <c r="D39" s="4">
        <f>BinaryTree_put("a",A39,Sigma,rf,q,T,X,N)</f>
        <v>61.473084816420943</v>
      </c>
      <c r="F39" s="2">
        <v>240</v>
      </c>
      <c r="G39" s="1">
        <f>I39-H39</f>
        <v>0</v>
      </c>
      <c r="H39" s="4">
        <f>BinaryTree_put("e",S0,Sigma,rf,q,T,F39,N)</f>
        <v>2.0065840629560441</v>
      </c>
      <c r="I39" s="4">
        <f>BinaryTree_put("a",S0,Sigma,rf,q,T,F39,N)</f>
        <v>2.0065840629560441</v>
      </c>
      <c r="K39" s="2">
        <v>0.21000000000000002</v>
      </c>
      <c r="L39" s="1">
        <f>N39-M39</f>
        <v>0.14838290222109585</v>
      </c>
      <c r="M39" s="4">
        <f>BinaryTree_put("e",S0,K39,rf,q,T,X,N)</f>
        <v>13.272846989794118</v>
      </c>
      <c r="N39" s="4">
        <f>BinaryTree_put("a",S0,K39,rf,q,T,X,N)</f>
        <v>13.421229892015214</v>
      </c>
      <c r="P39" s="2">
        <v>0.21000000000000002</v>
      </c>
      <c r="Q39" s="1">
        <f>S39-R39</f>
        <v>0.53780908099821545</v>
      </c>
      <c r="R39" s="4">
        <f>BinaryTree_put("e",S0,Sigma,P39,P39,T,X,N)</f>
        <v>18.145546011722587</v>
      </c>
      <c r="S39" s="4">
        <f>BinaryTree_put("a",S0,Sigma,P39,P39,T,X,N)</f>
        <v>18.683355092720802</v>
      </c>
      <c r="U39" s="2">
        <v>1.05</v>
      </c>
      <c r="V39" s="1">
        <f>X39-W39</f>
        <v>1.130665296308468</v>
      </c>
      <c r="W39" s="4">
        <f>BinaryTree_put("e",S0,Sigma,rf,q,U39,X,N)</f>
        <v>31.672427544746473</v>
      </c>
      <c r="X39" s="4">
        <f>BinaryTree_put("a",S0,Sigma,rf,q,U39,X,N)</f>
        <v>32.803092841054941</v>
      </c>
    </row>
    <row r="40" spans="1:24">
      <c r="A40" s="2">
        <v>242</v>
      </c>
      <c r="B40" s="1">
        <f>D40-C40</f>
        <v>1.0183192495939508</v>
      </c>
      <c r="C40" s="4">
        <f>BinaryTree_put("e",A40,Sigma,rf,q,T,X,N)</f>
        <v>58.624543408636725</v>
      </c>
      <c r="D40" s="4">
        <f>BinaryTree_put("a",A40,Sigma,rf,q,T,X,N)</f>
        <v>59.642862658230676</v>
      </c>
      <c r="F40" s="2">
        <v>242</v>
      </c>
      <c r="G40" s="1">
        <f>I40-H40</f>
        <v>0</v>
      </c>
      <c r="H40" s="4">
        <f>BinaryTree_put("e",S0,Sigma,rf,q,T,F40,N)</f>
        <v>2.1507699461543281</v>
      </c>
      <c r="I40" s="4">
        <f>BinaryTree_put("a",S0,Sigma,rf,q,T,F40,N)</f>
        <v>2.1507699461543281</v>
      </c>
      <c r="K40" s="2">
        <v>0.22</v>
      </c>
      <c r="L40" s="1">
        <f>N40-M40</f>
        <v>0.15544134043960511</v>
      </c>
      <c r="M40" s="4">
        <f>BinaryTree_put("e",S0,K40,rf,q,T,X,N)</f>
        <v>13.90405750311422</v>
      </c>
      <c r="N40" s="4">
        <f>BinaryTree_put("a",S0,K40,rf,q,T,X,N)</f>
        <v>14.059498843553826</v>
      </c>
      <c r="P40" s="2">
        <v>0.22</v>
      </c>
      <c r="Q40" s="1">
        <f>S40-R40</f>
        <v>0.56196820336735342</v>
      </c>
      <c r="R40" s="4">
        <f>BinaryTree_put("e",S0,Sigma,P40,P40,T,X,N)</f>
        <v>18.085161555022861</v>
      </c>
      <c r="S40" s="4">
        <f>BinaryTree_put("a",S0,Sigma,P40,P40,T,X,N)</f>
        <v>18.647129758390214</v>
      </c>
      <c r="U40" s="2">
        <v>1.1000000000000001</v>
      </c>
      <c r="V40" s="1">
        <f>X40-W40</f>
        <v>1.2084575779974145</v>
      </c>
      <c r="W40" s="4">
        <f>BinaryTree_put("e",S0,Sigma,rf,q,U40,X,N)</f>
        <v>32.282324310309974</v>
      </c>
      <c r="X40" s="4">
        <f>BinaryTree_put("a",S0,Sigma,rf,q,U40,X,N)</f>
        <v>33.490781888307389</v>
      </c>
    </row>
    <row r="41" spans="1:24">
      <c r="A41" s="2">
        <v>244</v>
      </c>
      <c r="B41" s="1">
        <f>D41-C41</f>
        <v>0.99128270691171139</v>
      </c>
      <c r="C41" s="4">
        <f>BinaryTree_put("e",A41,Sigma,rf,q,T,X,N)</f>
        <v>56.821357793128719</v>
      </c>
      <c r="D41" s="4">
        <f>BinaryTree_put("a",A41,Sigma,rf,q,T,X,N)</f>
        <v>57.81264050004043</v>
      </c>
      <c r="F41" s="2">
        <v>244</v>
      </c>
      <c r="G41" s="1">
        <f>I41-H41</f>
        <v>0</v>
      </c>
      <c r="H41" s="4">
        <f>BinaryTree_put("e",S0,Sigma,rf,q,T,F41,N)</f>
        <v>2.2949558293526131</v>
      </c>
      <c r="I41" s="4">
        <f>BinaryTree_put("a",S0,Sigma,rf,q,T,F41,N)</f>
        <v>2.2949558293526131</v>
      </c>
      <c r="K41" s="2">
        <v>0.23</v>
      </c>
      <c r="L41" s="1">
        <f>N41-M41</f>
        <v>0.16249874503739825</v>
      </c>
      <c r="M41" s="4">
        <f>BinaryTree_put("e",S0,K41,rf,q,T,X,N)</f>
        <v>14.535152344107107</v>
      </c>
      <c r="N41" s="4">
        <f>BinaryTree_put("a",S0,K41,rf,q,T,X,N)</f>
        <v>14.697651089144506</v>
      </c>
      <c r="P41" s="2">
        <v>0.23</v>
      </c>
      <c r="Q41" s="1">
        <f>S41-R41</f>
        <v>0.58599946948002568</v>
      </c>
      <c r="R41" s="4">
        <f>BinaryTree_put("e",S0,Sigma,P41,P41,T,X,N)</f>
        <v>18.024978044748707</v>
      </c>
      <c r="S41" s="4">
        <f>BinaryTree_put("a",S0,Sigma,P41,P41,T,X,N)</f>
        <v>18.610977514228733</v>
      </c>
      <c r="U41" s="2">
        <v>1.1500000000000001</v>
      </c>
      <c r="V41" s="1">
        <f>X41-W41</f>
        <v>1.2876018245497178</v>
      </c>
      <c r="W41" s="4">
        <f>BinaryTree_put("e",S0,Sigma,rf,q,U41,X,N)</f>
        <v>32.869957475835584</v>
      </c>
      <c r="X41" s="4">
        <f>BinaryTree_put("a",S0,Sigma,rf,q,U41,X,N)</f>
        <v>34.157559300385302</v>
      </c>
    </row>
    <row r="42" spans="1:24">
      <c r="A42" s="2">
        <v>246</v>
      </c>
      <c r="B42" s="1">
        <f>D42-C42</f>
        <v>0.96424616422945064</v>
      </c>
      <c r="C42" s="4">
        <f>BinaryTree_put("e",A42,Sigma,rf,q,T,X,N)</f>
        <v>55.018172177620706</v>
      </c>
      <c r="D42" s="4">
        <f>BinaryTree_put("a",A42,Sigma,rf,q,T,X,N)</f>
        <v>55.982418341850156</v>
      </c>
      <c r="F42" s="2">
        <v>246</v>
      </c>
      <c r="G42" s="1">
        <f>I42-H42</f>
        <v>0</v>
      </c>
      <c r="H42" s="4">
        <f>BinaryTree_put("e",S0,Sigma,rf,q,T,F42,N)</f>
        <v>2.4391417125508963</v>
      </c>
      <c r="I42" s="4">
        <f>BinaryTree_put("a",S0,Sigma,rf,q,T,F42,N)</f>
        <v>2.4391417125508963</v>
      </c>
      <c r="K42" s="2">
        <v>0.24000000000000002</v>
      </c>
      <c r="L42" s="1">
        <f>N42-M42</f>
        <v>0.1695550692425325</v>
      </c>
      <c r="M42" s="4">
        <f>BinaryTree_put("e",S0,K42,rf,q,T,X,N)</f>
        <v>15.166126281380352</v>
      </c>
      <c r="N42" s="4">
        <f>BinaryTree_put("a",S0,K42,rf,q,T,X,N)</f>
        <v>15.335681350622885</v>
      </c>
      <c r="P42" s="2">
        <v>0.24000000000000002</v>
      </c>
      <c r="Q42" s="1">
        <f>S42-R42</f>
        <v>0.6099033944546477</v>
      </c>
      <c r="R42" s="4">
        <f>BinaryTree_put("e",S0,Sigma,P42,P42,T,X,N)</f>
        <v>17.964994812193822</v>
      </c>
      <c r="S42" s="4">
        <f>BinaryTree_put("a",S0,Sigma,P42,P42,T,X,N)</f>
        <v>18.57489820664847</v>
      </c>
      <c r="U42" s="2">
        <v>1.2000000000000002</v>
      </c>
      <c r="V42" s="1">
        <f>X42-W42</f>
        <v>1.3680416087239564</v>
      </c>
      <c r="W42" s="4">
        <f>BinaryTree_put("e",S0,Sigma,rf,q,U42,X,N)</f>
        <v>33.436640070319413</v>
      </c>
      <c r="X42" s="4">
        <f>BinaryTree_put("a",S0,Sigma,rf,q,U42,X,N)</f>
        <v>34.80468167904337</v>
      </c>
    </row>
    <row r="43" spans="1:24">
      <c r="A43" s="2">
        <v>248</v>
      </c>
      <c r="B43" s="1">
        <f>D43-C43</f>
        <v>0.937209621547197</v>
      </c>
      <c r="C43" s="4">
        <f>BinaryTree_put("e",A43,Sigma,rf,q,T,X,N)</f>
        <v>53.214986562112713</v>
      </c>
      <c r="D43" s="4">
        <f>BinaryTree_put("a",A43,Sigma,rf,q,T,X,N)</f>
        <v>54.15219618365991</v>
      </c>
      <c r="F43" s="2">
        <v>248</v>
      </c>
      <c r="G43" s="1">
        <f>I43-H43</f>
        <v>0</v>
      </c>
      <c r="H43" s="4">
        <f>BinaryTree_put("e",S0,Sigma,rf,q,T,F43,N)</f>
        <v>2.5833275957491804</v>
      </c>
      <c r="I43" s="4">
        <f>BinaryTree_put("a",S0,Sigma,rf,q,T,F43,N)</f>
        <v>2.5833275957491804</v>
      </c>
      <c r="K43" s="2">
        <v>0.25</v>
      </c>
      <c r="L43" s="1">
        <f>N43-M43</f>
        <v>0.17661026631108356</v>
      </c>
      <c r="M43" s="4">
        <f>BinaryTree_put("e",S0,K43,rf,q,T,X,N)</f>
        <v>15.796974087059617</v>
      </c>
      <c r="N43" s="4">
        <f>BinaryTree_put("a",S0,K43,rf,q,T,X,N)</f>
        <v>15.9735843533707</v>
      </c>
      <c r="P43" s="2">
        <v>0.25</v>
      </c>
      <c r="Q43" s="1">
        <f>S43-R43</f>
        <v>0.63368049151967654</v>
      </c>
      <c r="R43" s="4">
        <f>BinaryTree_put("e",S0,Sigma,P43,P43,T,X,N)</f>
        <v>17.905211190877232</v>
      </c>
      <c r="S43" s="4">
        <f>BinaryTree_put("a",S0,Sigma,P43,P43,T,X,N)</f>
        <v>18.538891682396908</v>
      </c>
      <c r="U43" s="2">
        <v>1.2500000000000002</v>
      </c>
      <c r="V43" s="1">
        <f>X43-W43</f>
        <v>1.4497237209123739</v>
      </c>
      <c r="W43" s="4">
        <f>BinaryTree_put("e",S0,Sigma,rf,q,U43,X,N)</f>
        <v>33.983555575973192</v>
      </c>
      <c r="X43" s="4">
        <f>BinaryTree_put("a",S0,Sigma,rf,q,U43,X,N)</f>
        <v>35.433279296885566</v>
      </c>
    </row>
    <row r="44" spans="1:24">
      <c r="A44" s="2">
        <v>250</v>
      </c>
      <c r="B44" s="1">
        <f>D44-C44</f>
        <v>0.91017307886492915</v>
      </c>
      <c r="C44" s="4">
        <f>BinaryTree_put("e",A44,Sigma,rf,q,T,X,N)</f>
        <v>51.411800946604728</v>
      </c>
      <c r="D44" s="4">
        <f>BinaryTree_put("a",A44,Sigma,rf,q,T,X,N)</f>
        <v>52.321974025469657</v>
      </c>
      <c r="F44" s="2">
        <v>250</v>
      </c>
      <c r="G44" s="1">
        <f>I44-H44</f>
        <v>0</v>
      </c>
      <c r="H44" s="4">
        <f>BinaryTree_put("e",S0,Sigma,rf,q,T,F44,N)</f>
        <v>2.727513478947464</v>
      </c>
      <c r="I44" s="4">
        <f>BinaryTree_put("a",S0,Sigma,rf,q,T,F44,N)</f>
        <v>2.727513478947464</v>
      </c>
      <c r="K44" s="2">
        <v>0.26</v>
      </c>
      <c r="L44" s="1">
        <f>N44-M44</f>
        <v>0.18366428952845837</v>
      </c>
      <c r="M44" s="4">
        <f>BinaryTree_put("e",S0,K44,rf,q,T,X,N)</f>
        <v>16.427690536939867</v>
      </c>
      <c r="N44" s="4">
        <f>BinaryTree_put("a",S0,K44,rf,q,T,X,N)</f>
        <v>16.611354826468325</v>
      </c>
      <c r="P44" s="2">
        <v>0.26</v>
      </c>
      <c r="Q44" s="1">
        <f>S44-R44</f>
        <v>0.65733127202023667</v>
      </c>
      <c r="R44" s="4">
        <f>BinaryTree_put("e",S0,Sigma,P44,P44,T,X,N)</f>
        <v>17.845626516535862</v>
      </c>
      <c r="S44" s="4">
        <f>BinaryTree_put("a",S0,Sigma,P44,P44,T,X,N)</f>
        <v>18.502957788556099</v>
      </c>
      <c r="U44" s="2">
        <v>1.3</v>
      </c>
      <c r="V44" s="1">
        <f>X44-W44</f>
        <v>1.5325978623985321</v>
      </c>
      <c r="W44" s="4">
        <f>BinaryTree_put("e",S0,Sigma,rf,q,U44,X,N)</f>
        <v>34.511775583799491</v>
      </c>
      <c r="X44" s="4">
        <f>BinaryTree_put("a",S0,Sigma,rf,q,U44,X,N)</f>
        <v>36.044373446198023</v>
      </c>
    </row>
    <row r="45" spans="1:24">
      <c r="A45" s="2">
        <v>252</v>
      </c>
      <c r="B45" s="1">
        <f>D45-C45</f>
        <v>0.88313653618268972</v>
      </c>
      <c r="C45" s="4">
        <f>BinaryTree_put("e",A45,Sigma,rf,q,T,X,N)</f>
        <v>49.608615331096694</v>
      </c>
      <c r="D45" s="4">
        <f>BinaryTree_put("a",A45,Sigma,rf,q,T,X,N)</f>
        <v>50.491751867279383</v>
      </c>
      <c r="F45" s="2">
        <v>252</v>
      </c>
      <c r="G45" s="1">
        <f>I45-H45</f>
        <v>0</v>
      </c>
      <c r="H45" s="4">
        <f>BinaryTree_put("e",S0,Sigma,rf,q,T,F45,N)</f>
        <v>2.8716993621457489</v>
      </c>
      <c r="I45" s="4">
        <f>BinaryTree_put("a",S0,Sigma,rf,q,T,F45,N)</f>
        <v>2.8716993621457489</v>
      </c>
      <c r="K45" s="2">
        <v>0.27</v>
      </c>
      <c r="L45" s="1">
        <f>N45-M45</f>
        <v>0.19071709221045197</v>
      </c>
      <c r="M45" s="4">
        <f>BinaryTree_put("e",S0,K45,rf,q,T,X,N)</f>
        <v>17.058270410636634</v>
      </c>
      <c r="N45" s="4">
        <f>BinaryTree_put("a",S0,K45,rf,q,T,X,N)</f>
        <v>17.248987502847086</v>
      </c>
      <c r="P45" s="2">
        <v>0.27</v>
      </c>
      <c r="Q45" s="1">
        <f>S45-R45</f>
        <v>0.6808562454247884</v>
      </c>
      <c r="R45" s="4">
        <f>BinaryTree_put("e",S0,Sigma,P45,P45,T,X,N)</f>
        <v>17.786240127117164</v>
      </c>
      <c r="S45" s="4">
        <f>BinaryTree_put("a",S0,Sigma,P45,P45,T,X,N)</f>
        <v>18.467096372541953</v>
      </c>
      <c r="U45" s="2">
        <v>1.35</v>
      </c>
      <c r="V45" s="1">
        <f>X45-W45</f>
        <v>1.6166163793855048</v>
      </c>
      <c r="W45" s="4">
        <f>BinaryTree_put("e",S0,Sigma,rf,q,U45,X,N)</f>
        <v>35.022274447289938</v>
      </c>
      <c r="X45" s="4">
        <f>BinaryTree_put("a",S0,Sigma,rf,q,U45,X,N)</f>
        <v>36.638890826675443</v>
      </c>
    </row>
    <row r="46" spans="1:24">
      <c r="A46" s="2">
        <v>254</v>
      </c>
      <c r="B46" s="1">
        <f>D46-C46</f>
        <v>0.63196284432083871</v>
      </c>
      <c r="C46" s="4">
        <f>BinaryTree_put("e",A46,Sigma,rf,q,T,X,N)</f>
        <v>48.257759101061254</v>
      </c>
      <c r="D46" s="4">
        <f>BinaryTree_put("a",A46,Sigma,rf,q,T,X,N)</f>
        <v>48.889721945382092</v>
      </c>
      <c r="F46" s="2">
        <v>254</v>
      </c>
      <c r="G46" s="1">
        <f>I46-H46</f>
        <v>2.092947133268952E-2</v>
      </c>
      <c r="H46" s="4">
        <f>BinaryTree_put("e",S0,Sigma,rf,q,T,F46,N)</f>
        <v>3.4682146308165973</v>
      </c>
      <c r="I46" s="4">
        <f>BinaryTree_put("a",S0,Sigma,rf,q,T,F46,N)</f>
        <v>3.4891441021492868</v>
      </c>
      <c r="K46" s="2">
        <v>0.28000000000000003</v>
      </c>
      <c r="L46" s="1">
        <f>N46-M46</f>
        <v>0.1977686277045656</v>
      </c>
      <c r="M46" s="4">
        <f>BinaryTree_put("e",S0,K46,rf,q,T,X,N)</f>
        <v>17.688708491736861</v>
      </c>
      <c r="N46" s="4">
        <f>BinaryTree_put("a",S0,K46,rf,q,T,X,N)</f>
        <v>17.886477119441427</v>
      </c>
      <c r="P46" s="2">
        <v>0.28000000000000003</v>
      </c>
      <c r="Q46" s="1">
        <f>S46-R46</f>
        <v>0.70425591933168974</v>
      </c>
      <c r="R46" s="4">
        <f>BinaryTree_put("e",S0,Sigma,P46,P46,T,X,N)</f>
        <v>17.727051362771753</v>
      </c>
      <c r="S46" s="4">
        <f>BinaryTree_put("a",S0,Sigma,P46,P46,T,X,N)</f>
        <v>18.431307282103443</v>
      </c>
      <c r="U46" s="2">
        <v>1.4000000000000001</v>
      </c>
      <c r="V46" s="1">
        <f>X46-W46</f>
        <v>1.7017340310082929</v>
      </c>
      <c r="W46" s="4">
        <f>BinaryTree_put("e",S0,Sigma,rf,q,U46,X,N)</f>
        <v>35.515941537369301</v>
      </c>
      <c r="X46" s="4">
        <f>BinaryTree_put("a",S0,Sigma,rf,q,U46,X,N)</f>
        <v>37.217675568377594</v>
      </c>
    </row>
    <row r="47" spans="1:24">
      <c r="A47" s="2">
        <v>256</v>
      </c>
      <c r="B47" s="1">
        <f>D47-C47</f>
        <v>0.47936498749477607</v>
      </c>
      <c r="C47" s="4">
        <f>BinaryTree_put("e",A47,Sigma,rf,q,T,X,N)</f>
        <v>46.983471245852378</v>
      </c>
      <c r="D47" s="4">
        <f>BinaryTree_put("a",A47,Sigma,rf,q,T,X,N)</f>
        <v>47.462836233347154</v>
      </c>
      <c r="F47" s="2">
        <v>256</v>
      </c>
      <c r="G47" s="1">
        <f>I47-H47</f>
        <v>2.2778362945478747E-2</v>
      </c>
      <c r="H47" s="4">
        <f>BinaryTree_put("e",S0,Sigma,rf,q,T,F47,N)</f>
        <v>4.1412982743139937</v>
      </c>
      <c r="I47" s="4">
        <f>BinaryTree_put("a",S0,Sigma,rf,q,T,F47,N)</f>
        <v>4.1640766372594724</v>
      </c>
      <c r="K47" s="2">
        <v>0.29000000000000004</v>
      </c>
      <c r="L47" s="1">
        <f>N47-M47</f>
        <v>0.20481884939118444</v>
      </c>
      <c r="M47" s="4">
        <f>BinaryTree_put("e",S0,K47,rf,q,T,X,N)</f>
        <v>18.318999567949682</v>
      </c>
      <c r="N47" s="4">
        <f>BinaryTree_put("a",S0,K47,rf,q,T,X,N)</f>
        <v>18.523818417340866</v>
      </c>
      <c r="P47" s="2">
        <v>0.29000000000000004</v>
      </c>
      <c r="Q47" s="1">
        <f>S47-R47</f>
        <v>0.7275307994758009</v>
      </c>
      <c r="R47" s="4">
        <f>BinaryTree_put("e",S0,Sigma,P47,P47,T,X,N)</f>
        <v>17.668059565846075</v>
      </c>
      <c r="S47" s="4">
        <f>BinaryTree_put("a",S0,Sigma,P47,P47,T,X,N)</f>
        <v>18.395590365321876</v>
      </c>
      <c r="U47" s="2">
        <v>1.4500000000000002</v>
      </c>
      <c r="V47" s="1">
        <f>X47-W47</f>
        <v>1.7879077858819485</v>
      </c>
      <c r="W47" s="4">
        <f>BinaryTree_put("e",S0,Sigma,rf,q,U47,X,N)</f>
        <v>35.993591563300114</v>
      </c>
      <c r="X47" s="4">
        <f>BinaryTree_put("a",S0,Sigma,rf,q,U47,X,N)</f>
        <v>37.781499349182063</v>
      </c>
    </row>
    <row r="48" spans="1:24">
      <c r="A48" s="2">
        <v>258</v>
      </c>
      <c r="B48" s="1">
        <f>D48-C48</f>
        <v>0.40278042290478311</v>
      </c>
      <c r="C48" s="4">
        <f>BinaryTree_put("e",A48,Sigma,rf,q,T,X,N)</f>
        <v>45.709183390643481</v>
      </c>
      <c r="D48" s="4">
        <f>BinaryTree_put("a",A48,Sigma,rf,q,T,X,N)</f>
        <v>46.111963813548265</v>
      </c>
      <c r="F48" s="2">
        <v>258</v>
      </c>
      <c r="G48" s="1">
        <f>I48-H48</f>
        <v>2.4627254558264866E-2</v>
      </c>
      <c r="H48" s="4">
        <f>BinaryTree_put("e",S0,Sigma,rf,q,T,F48,N)</f>
        <v>4.8143819178113931</v>
      </c>
      <c r="I48" s="4">
        <f>BinaryTree_put("a",S0,Sigma,rf,q,T,F48,N)</f>
        <v>4.839009172369658</v>
      </c>
      <c r="K48" s="2">
        <v>0.3</v>
      </c>
      <c r="L48" s="1">
        <f>N48-M48</f>
        <v>0.21186771068474997</v>
      </c>
      <c r="M48" s="4">
        <f>BinaryTree_put("e",S0,K48,rf,q,T,X,N)</f>
        <v>18.949138431256735</v>
      </c>
      <c r="N48" s="4">
        <f>BinaryTree_put("a",S0,K48,rf,q,T,X,N)</f>
        <v>19.161006141941485</v>
      </c>
      <c r="P48" s="2">
        <v>0.3</v>
      </c>
      <c r="Q48" s="1">
        <f>S48-R48</f>
        <v>0.75068138973501775</v>
      </c>
      <c r="R48" s="4">
        <f>BinaryTree_put("e",S0,Sigma,P48,P48,T,X,N)</f>
        <v>17.609264080875132</v>
      </c>
      <c r="S48" s="4">
        <f>BinaryTree_put("a",S0,Sigma,P48,P48,T,X,N)</f>
        <v>18.35994547061015</v>
      </c>
      <c r="U48" s="2">
        <v>1.5000000000000002</v>
      </c>
      <c r="V48" s="1">
        <f>X48-W48</f>
        <v>1.8750966427724407</v>
      </c>
      <c r="W48" s="4">
        <f>BinaryTree_put("e",S0,Sigma,rf,q,U48,X,N)</f>
        <v>36.455973321294778</v>
      </c>
      <c r="X48" s="4">
        <f>BinaryTree_put("a",S0,Sigma,rf,q,U48,X,N)</f>
        <v>38.331069964067218</v>
      </c>
    </row>
    <row r="49" spans="1:24">
      <c r="A49" s="2">
        <v>260</v>
      </c>
      <c r="B49" s="1">
        <f>D49-C49</f>
        <v>0.39368934137049649</v>
      </c>
      <c r="C49" s="4">
        <f>BinaryTree_put("e",A49,Sigma,rf,q,T,X,N)</f>
        <v>44.434895535434599</v>
      </c>
      <c r="D49" s="4">
        <f>BinaryTree_put("a",A49,Sigma,rf,q,T,X,N)</f>
        <v>44.828584876805095</v>
      </c>
      <c r="F49" s="2">
        <v>260</v>
      </c>
      <c r="G49" s="1">
        <f>I49-H49</f>
        <v>2.6476146171054538E-2</v>
      </c>
      <c r="H49" s="4">
        <f>BinaryTree_put("e",S0,Sigma,rf,q,T,F49,N)</f>
        <v>5.487465561308789</v>
      </c>
      <c r="I49" s="4">
        <f>BinaryTree_put("a",S0,Sigma,rf,q,T,F49,N)</f>
        <v>5.5139417074798436</v>
      </c>
      <c r="K49" s="2">
        <v>0.31</v>
      </c>
      <c r="L49" s="1">
        <f>N49-M49</f>
        <v>0.21891516503495012</v>
      </c>
      <c r="M49" s="4">
        <f>BinaryTree_put("e",S0,K49,rf,q,T,X,N)</f>
        <v>19.579119878062674</v>
      </c>
      <c r="N49" s="4">
        <f>BinaryTree_put("a",S0,K49,rf,q,T,X,N)</f>
        <v>19.798035043097624</v>
      </c>
      <c r="P49" s="2">
        <v>0.31</v>
      </c>
      <c r="Q49" s="1">
        <f>S49-R49</f>
        <v>0.77370819213684427</v>
      </c>
      <c r="R49" s="4">
        <f>BinaryTree_put("e",S0,Sigma,P49,P49,T,X,N)</f>
        <v>17.550664254575135</v>
      </c>
      <c r="S49" s="4">
        <f>BinaryTree_put("a",S0,Sigma,P49,P49,T,X,N)</f>
        <v>18.32437244671198</v>
      </c>
      <c r="U49" s="2">
        <v>1.55</v>
      </c>
      <c r="V49" s="1">
        <f>X49-W49</f>
        <v>1.9632614717877459</v>
      </c>
      <c r="W49" s="4">
        <f>BinaryTree_put("e",S0,Sigma,rf,q,U49,X,N)</f>
        <v>36.903777155096861</v>
      </c>
      <c r="X49" s="4">
        <f>BinaryTree_put("a",S0,Sigma,rf,q,U49,X,N)</f>
        <v>38.867038626884607</v>
      </c>
    </row>
    <row r="50" spans="1:24">
      <c r="A50" s="2">
        <v>262</v>
      </c>
      <c r="B50" s="1">
        <f>D50-C50</f>
        <v>0.38459825983620277</v>
      </c>
      <c r="C50" s="4">
        <f>BinaryTree_put("e",A50,Sigma,rf,q,T,X,N)</f>
        <v>43.160607680225695</v>
      </c>
      <c r="D50" s="4">
        <f>BinaryTree_put("a",A50,Sigma,rf,q,T,X,N)</f>
        <v>43.545205940061898</v>
      </c>
      <c r="F50" s="2">
        <v>262</v>
      </c>
      <c r="G50" s="1">
        <f>I50-H50</f>
        <v>2.8325037783842433E-2</v>
      </c>
      <c r="H50" s="4">
        <f>BinaryTree_put("e",S0,Sigma,rf,q,T,F50,N)</f>
        <v>6.1605492048061858</v>
      </c>
      <c r="I50" s="4">
        <f>BinaryTree_put("a",S0,Sigma,rf,q,T,F50,N)</f>
        <v>6.1888742425900283</v>
      </c>
      <c r="K50" s="2">
        <v>0.32</v>
      </c>
      <c r="L50" s="1">
        <f>N50-M50</f>
        <v>0.22596116592798765</v>
      </c>
      <c r="M50" s="4">
        <f>BinaryTree_put("e",S0,K50,rf,q,T,X,N)</f>
        <v>20.208938709344899</v>
      </c>
      <c r="N50" s="4">
        <f>BinaryTree_put("a",S0,K50,rf,q,T,X,N)</f>
        <v>20.434899875272887</v>
      </c>
      <c r="P50" s="2">
        <v>0.32</v>
      </c>
      <c r="Q50" s="1">
        <f>S50-R50</f>
        <v>0.79661170686486571</v>
      </c>
      <c r="R50" s="4">
        <f>BinaryTree_put("e",S0,Sigma,P50,P50,T,X,N)</f>
        <v>17.49225943583631</v>
      </c>
      <c r="S50" s="4">
        <f>BinaryTree_put("a",S0,Sigma,P50,P50,T,X,N)</f>
        <v>18.288871142701176</v>
      </c>
      <c r="U50" s="2">
        <v>1.6</v>
      </c>
      <c r="V50" s="1">
        <f>X50-W50</f>
        <v>2.0523648731265993</v>
      </c>
      <c r="W50" s="4">
        <f>BinaryTree_put("e",S0,Sigma,rf,q,U50,X,N)</f>
        <v>37.337641353872606</v>
      </c>
      <c r="X50" s="4">
        <f>BinaryTree_put("a",S0,Sigma,rf,q,U50,X,N)</f>
        <v>39.390006226999205</v>
      </c>
    </row>
    <row r="51" spans="1:24">
      <c r="A51" s="2">
        <v>264</v>
      </c>
      <c r="B51" s="1">
        <f>D51-C51</f>
        <v>0.37550717830191616</v>
      </c>
      <c r="C51" s="4">
        <f>BinaryTree_put("e",A51,Sigma,rf,q,T,X,N)</f>
        <v>41.886319825016805</v>
      </c>
      <c r="D51" s="4">
        <f>BinaryTree_put("a",A51,Sigma,rf,q,T,X,N)</f>
        <v>42.261827003318722</v>
      </c>
      <c r="F51" s="2">
        <v>264</v>
      </c>
      <c r="G51" s="1">
        <f>I51-H51</f>
        <v>3.0173929396628552E-2</v>
      </c>
      <c r="H51" s="4">
        <f>BinaryTree_put("e",S0,Sigma,rf,q,T,F51,N)</f>
        <v>6.8336328483035853</v>
      </c>
      <c r="I51" s="4">
        <f>BinaryTree_put("a",S0,Sigma,rf,q,T,F51,N)</f>
        <v>6.8638067777002139</v>
      </c>
      <c r="K51" s="2">
        <v>0.33</v>
      </c>
      <c r="L51" s="1">
        <f>N51-M51</f>
        <v>0.23300566688776314</v>
      </c>
      <c r="M51" s="4">
        <f>BinaryTree_put("e",S0,K51,rf,q,T,X,N)</f>
        <v>20.838589730803378</v>
      </c>
      <c r="N51" s="4">
        <f>BinaryTree_put("a",S0,K51,rf,q,T,X,N)</f>
        <v>21.071595397691141</v>
      </c>
      <c r="P51" s="2">
        <v>0.33</v>
      </c>
      <c r="Q51" s="1">
        <f>S51-R51</f>
        <v>0.81939243226527125</v>
      </c>
      <c r="R51" s="4">
        <f>BinaryTree_put("e",S0,Sigma,P51,P51,T,X,N)</f>
        <v>17.434048975715616</v>
      </c>
      <c r="S51" s="4">
        <f>BinaryTree_put("a",S0,Sigma,P51,P51,T,X,N)</f>
        <v>18.253441407980887</v>
      </c>
      <c r="U51" s="2">
        <v>1.6500000000000001</v>
      </c>
      <c r="V51" s="1">
        <f>X51-W51</f>
        <v>2.1423710509311888</v>
      </c>
      <c r="W51" s="4">
        <f>BinaryTree_put("e",S0,Sigma,rf,q,U51,X,N)</f>
        <v>37.758157667501891</v>
      </c>
      <c r="X51" s="4">
        <f>BinaryTree_put("a",S0,Sigma,rf,q,U51,X,N)</f>
        <v>39.90052871843308</v>
      </c>
    </row>
    <row r="52" spans="1:24">
      <c r="A52" s="2">
        <v>266</v>
      </c>
      <c r="B52" s="1">
        <f>D52-C52</f>
        <v>0.36641609676762954</v>
      </c>
      <c r="C52" s="4">
        <f>BinaryTree_put("e",A52,Sigma,rf,q,T,X,N)</f>
        <v>40.612031969807916</v>
      </c>
      <c r="D52" s="4">
        <f>BinaryTree_put("a",A52,Sigma,rf,q,T,X,N)</f>
        <v>40.978448066575545</v>
      </c>
      <c r="F52" s="2">
        <v>266</v>
      </c>
      <c r="G52" s="1">
        <f>I52-H52</f>
        <v>3.2022821009418223E-2</v>
      </c>
      <c r="H52" s="4">
        <f>BinaryTree_put("e",S0,Sigma,rf,q,T,F52,N)</f>
        <v>7.5067164918009821</v>
      </c>
      <c r="I52" s="4">
        <f>BinaryTree_put("a",S0,Sigma,rf,q,T,F52,N)</f>
        <v>7.5387393128104003</v>
      </c>
      <c r="K52" s="2">
        <v>0.34</v>
      </c>
      <c r="L52" s="1">
        <f>N52-M52</f>
        <v>0.24004862147693018</v>
      </c>
      <c r="M52" s="4">
        <f>BinaryTree_put("e",S0,K52,rf,q,T,X,N)</f>
        <v>21.468067753010317</v>
      </c>
      <c r="N52" s="4">
        <f>BinaryTree_put("a",S0,K52,rf,q,T,X,N)</f>
        <v>21.708116374487247</v>
      </c>
      <c r="P52" s="2">
        <v>0.34</v>
      </c>
      <c r="Q52" s="1">
        <f>S52-R52</f>
        <v>0.84205086485326675</v>
      </c>
      <c r="R52" s="4">
        <f>BinaryTree_put("e",S0,Sigma,P52,P52,T,X,N)</f>
        <v>17.37603222742958</v>
      </c>
      <c r="S52" s="4">
        <f>BinaryTree_put("a",S0,Sigma,P52,P52,T,X,N)</f>
        <v>18.218083092282846</v>
      </c>
      <c r="U52" s="2">
        <v>1.7000000000000002</v>
      </c>
      <c r="V52" s="1">
        <f>X52-W52</f>
        <v>2.2332457001997312</v>
      </c>
      <c r="W52" s="4">
        <f>BinaryTree_put("e",S0,Sigma,rf,q,U52,X,N)</f>
        <v>38.16587608429348</v>
      </c>
      <c r="X52" s="4">
        <f>BinaryTree_put("a",S0,Sigma,rf,q,U52,X,N)</f>
        <v>40.399121784493211</v>
      </c>
    </row>
    <row r="53" spans="1:24">
      <c r="A53" s="2">
        <v>268</v>
      </c>
      <c r="B53" s="1">
        <f>D53-C53</f>
        <v>0.35732501523335003</v>
      </c>
      <c r="C53" s="4">
        <f>BinaryTree_put("e",A53,Sigma,rf,q,T,X,N)</f>
        <v>39.337744114599012</v>
      </c>
      <c r="D53" s="4">
        <f>BinaryTree_put("a",A53,Sigma,rf,q,T,X,N)</f>
        <v>39.695069129832362</v>
      </c>
      <c r="F53" s="2">
        <v>268</v>
      </c>
      <c r="G53" s="1">
        <f>I53-H53</f>
        <v>3.3871712622207895E-2</v>
      </c>
      <c r="H53" s="4">
        <f>BinaryTree_put("e",S0,Sigma,rf,q,T,F53,N)</f>
        <v>8.1798001352983789</v>
      </c>
      <c r="I53" s="4">
        <f>BinaryTree_put("a",S0,Sigma,rf,q,T,F53,N)</f>
        <v>8.2136718479205868</v>
      </c>
      <c r="K53" s="2">
        <v>0.35000000000000003</v>
      </c>
      <c r="L53" s="1">
        <f>N53-M53</f>
        <v>0.24708998329828802</v>
      </c>
      <c r="M53" s="4">
        <f>BinaryTree_put("e",S0,K53,rf,q,T,X,N)</f>
        <v>22.097367591559053</v>
      </c>
      <c r="N53" s="4">
        <f>BinaryTree_put("a",S0,K53,rf,q,T,X,N)</f>
        <v>22.344457574857341</v>
      </c>
      <c r="P53" s="2">
        <v>0.35000000000000003</v>
      </c>
      <c r="Q53" s="1">
        <f>S53-R53</f>
        <v>0.8645874993196081</v>
      </c>
      <c r="R53" s="4">
        <f>BinaryTree_put("e",S0,Sigma,P53,P53,T,X,N)</f>
        <v>17.318208546347051</v>
      </c>
      <c r="S53" s="4">
        <f>BinaryTree_put("a",S0,Sigma,P53,P53,T,X,N)</f>
        <v>18.18279604566666</v>
      </c>
      <c r="U53" s="2">
        <v>1.7500000000000002</v>
      </c>
      <c r="V53" s="1">
        <f>X53-W53</f>
        <v>2.3249559050437583</v>
      </c>
      <c r="W53" s="4">
        <f>BinaryTree_put("e",S0,Sigma,rf,q,U53,X,N)</f>
        <v>38.561308988742063</v>
      </c>
      <c r="X53" s="4">
        <f>BinaryTree_put("a",S0,Sigma,rf,q,U53,X,N)</f>
        <v>40.886264893785821</v>
      </c>
    </row>
    <row r="54" spans="1:24">
      <c r="A54" s="2">
        <v>270</v>
      </c>
      <c r="B54" s="1">
        <f>D54-C54</f>
        <v>0.34823393369905631</v>
      </c>
      <c r="C54" s="4">
        <f>BinaryTree_put("e",A54,Sigma,rf,q,T,X,N)</f>
        <v>38.063456259390151</v>
      </c>
      <c r="D54" s="4">
        <f>BinaryTree_put("a",A54,Sigma,rf,q,T,X,N)</f>
        <v>38.411690193089207</v>
      </c>
      <c r="F54" s="2">
        <v>270</v>
      </c>
      <c r="G54" s="1">
        <f>I54-H54</f>
        <v>3.5720604234994013E-2</v>
      </c>
      <c r="H54" s="4">
        <f>BinaryTree_put("e",S0,Sigma,rf,q,T,F54,N)</f>
        <v>8.8528837787957784</v>
      </c>
      <c r="I54" s="4">
        <f>BinaryTree_put("a",S0,Sigma,rf,q,T,F54,N)</f>
        <v>8.8886043830307724</v>
      </c>
      <c r="K54" s="2">
        <v>0.36000000000000004</v>
      </c>
      <c r="L54" s="1">
        <f>N54-M54</f>
        <v>0.25412970599582252</v>
      </c>
      <c r="M54" s="4">
        <f>BinaryTree_put("e",S0,K54,rf,q,T,X,N)</f>
        <v>22.726484067213246</v>
      </c>
      <c r="N54" s="4">
        <f>BinaryTree_put("a",S0,K54,rf,q,T,X,N)</f>
        <v>22.980613773209068</v>
      </c>
      <c r="P54" s="2">
        <v>0.36000000000000004</v>
      </c>
      <c r="Q54" s="1">
        <f>S54-R54</f>
        <v>0.88700282853693935</v>
      </c>
      <c r="R54" s="4">
        <f>BinaryTree_put("e",S0,Sigma,P54,P54,T,X,N)</f>
        <v>17.260577289982098</v>
      </c>
      <c r="S54" s="4">
        <f>BinaryTree_put("a",S0,Sigma,P54,P54,T,X,N)</f>
        <v>18.147580118519038</v>
      </c>
      <c r="U54" s="2">
        <v>1.8</v>
      </c>
      <c r="V54" s="1">
        <f>X54-W54</f>
        <v>2.4174700468452173</v>
      </c>
      <c r="W54" s="4">
        <f>BinaryTree_put("e",S0,Sigma,rf,q,U54,X,N)</f>
        <v>38.944934795350868</v>
      </c>
      <c r="X54" s="4">
        <f>BinaryTree_put("a",S0,Sigma,rf,q,U54,X,N)</f>
        <v>41.362404842196085</v>
      </c>
    </row>
    <row r="55" spans="1:24">
      <c r="A55" s="2">
        <v>272</v>
      </c>
      <c r="B55" s="1">
        <f>D55-C55</f>
        <v>0.3391428521647839</v>
      </c>
      <c r="C55" s="4">
        <f>BinaryTree_put("e",A55,Sigma,rf,q,T,X,N)</f>
        <v>36.789168404181233</v>
      </c>
      <c r="D55" s="4">
        <f>BinaryTree_put("a",A55,Sigma,rf,q,T,X,N)</f>
        <v>37.128311256346016</v>
      </c>
      <c r="F55" s="2">
        <v>272</v>
      </c>
      <c r="G55" s="1">
        <f>I55-H55</f>
        <v>3.7569495847781909E-2</v>
      </c>
      <c r="H55" s="4">
        <f>BinaryTree_put("e",S0,Sigma,rf,q,T,F55,N)</f>
        <v>9.5259674222931743</v>
      </c>
      <c r="I55" s="4">
        <f>BinaryTree_put("a",S0,Sigma,rf,q,T,F55,N)</f>
        <v>9.5635369181409562</v>
      </c>
      <c r="K55" s="2">
        <v>0.37</v>
      </c>
      <c r="L55" s="1">
        <f>N55-M55</f>
        <v>0.26116774325600645</v>
      </c>
      <c r="M55" s="4">
        <f>BinaryTree_put("e",S0,K55,rf,q,T,X,N)</f>
        <v>23.355412006055261</v>
      </c>
      <c r="N55" s="4">
        <f>BinaryTree_put("a",S0,K55,rf,q,T,X,N)</f>
        <v>23.616579749311267</v>
      </c>
      <c r="P55" s="2">
        <v>0.37</v>
      </c>
      <c r="Q55" s="1">
        <f>S55-R55</f>
        <v>0.9092973435662266</v>
      </c>
      <c r="R55" s="4">
        <f>BinaryTree_put("e",S0,Sigma,P55,P55,T,X,N)</f>
        <v>17.203137817986843</v>
      </c>
      <c r="S55" s="4">
        <f>BinaryTree_put("a",S0,Sigma,P55,P55,T,X,N)</f>
        <v>18.112435161553069</v>
      </c>
      <c r="U55" s="2">
        <v>1.85</v>
      </c>
      <c r="V55" s="1">
        <f>X55-W55</f>
        <v>2.5107577210883534</v>
      </c>
      <c r="W55" s="4">
        <f>BinaryTree_put("e",S0,Sigma,rf,q,U55,X,N)</f>
        <v>39.317201137408269</v>
      </c>
      <c r="X55" s="4">
        <f>BinaryTree_put("a",S0,Sigma,rf,q,U55,X,N)</f>
        <v>41.827958858496622</v>
      </c>
    </row>
    <row r="56" spans="1:24">
      <c r="A56" s="2">
        <v>274</v>
      </c>
      <c r="B56" s="1">
        <f>D56-C56</f>
        <v>0.33005177063049729</v>
      </c>
      <c r="C56" s="4">
        <f>BinaryTree_put("e",A56,Sigma,rf,q,T,X,N)</f>
        <v>35.514880548972329</v>
      </c>
      <c r="D56" s="4">
        <f>BinaryTree_put("a",A56,Sigma,rf,q,T,X,N)</f>
        <v>35.844932319602826</v>
      </c>
      <c r="F56" s="2">
        <v>274</v>
      </c>
      <c r="G56" s="1">
        <f>I56-H56</f>
        <v>3.941838746057158E-2</v>
      </c>
      <c r="H56" s="4">
        <f>BinaryTree_put("e",S0,Sigma,rf,q,T,F56,N)</f>
        <v>10.199051065790572</v>
      </c>
      <c r="I56" s="4">
        <f>BinaryTree_put("a",S0,Sigma,rf,q,T,F56,N)</f>
        <v>10.238469453251144</v>
      </c>
      <c r="K56" s="2">
        <v>0.38</v>
      </c>
      <c r="L56" s="1">
        <f>N56-M56</f>
        <v>0.26820404880883331</v>
      </c>
      <c r="M56" s="4">
        <f>BinaryTree_put("e",S0,K56,rf,q,T,X,N)</f>
        <v>23.984146239634828</v>
      </c>
      <c r="N56" s="4">
        <f>BinaryTree_put("a",S0,K56,rf,q,T,X,N)</f>
        <v>24.252350288443662</v>
      </c>
      <c r="P56" s="2">
        <v>0.38</v>
      </c>
      <c r="Q56" s="1">
        <f>S56-R56</f>
        <v>0.9314715336631707</v>
      </c>
      <c r="R56" s="4">
        <f>BinaryTree_put("e",S0,Sigma,P56,P56,T,X,N)</f>
        <v>17.145889492144317</v>
      </c>
      <c r="S56" s="4">
        <f>BinaryTree_put("a",S0,Sigma,P56,P56,T,X,N)</f>
        <v>18.077361025807487</v>
      </c>
      <c r="U56" s="2">
        <v>1.9000000000000001</v>
      </c>
      <c r="V56" s="1">
        <f>X56-W56</f>
        <v>2.604789661822096</v>
      </c>
      <c r="W56" s="4">
        <f>BinaryTree_put("e",S0,Sigma,rf,q,U56,X,N)</f>
        <v>39.678527675907397</v>
      </c>
      <c r="X56" s="4">
        <f>BinaryTree_put("a",S0,Sigma,rf,q,U56,X,N)</f>
        <v>42.283317337729493</v>
      </c>
    </row>
    <row r="57" spans="1:24">
      <c r="A57" s="2">
        <v>276</v>
      </c>
      <c r="B57" s="1">
        <f>D57-C57</f>
        <v>0.32096068909619646</v>
      </c>
      <c r="C57" s="4">
        <f>BinaryTree_put("e",A57,Sigma,rf,q,T,X,N)</f>
        <v>34.240592693763453</v>
      </c>
      <c r="D57" s="4">
        <f>BinaryTree_put("a",A57,Sigma,rf,q,T,X,N)</f>
        <v>34.56155338285965</v>
      </c>
      <c r="F57" s="2">
        <v>276</v>
      </c>
      <c r="G57" s="1">
        <f>I57-H57</f>
        <v>4.1267279073357699E-2</v>
      </c>
      <c r="H57" s="4">
        <f>BinaryTree_put("e",S0,Sigma,rf,q,T,F57,N)</f>
        <v>10.87213470928797</v>
      </c>
      <c r="I57" s="4">
        <f>BinaryTree_put("a",S0,Sigma,rf,q,T,F57,N)</f>
        <v>10.913401988361327</v>
      </c>
      <c r="K57" s="2">
        <v>0.39</v>
      </c>
      <c r="L57" s="1">
        <f>N57-M57</f>
        <v>0.27523857642917449</v>
      </c>
      <c r="M57" s="4">
        <f>BinaryTree_put("e",S0,K57,rf,q,T,X,N)</f>
        <v>24.612681605116784</v>
      </c>
      <c r="N57" s="4">
        <f>BinaryTree_put("a",S0,K57,rf,q,T,X,N)</f>
        <v>24.887920181545958</v>
      </c>
      <c r="P57" s="2">
        <v>0.39</v>
      </c>
      <c r="Q57" s="1">
        <f>S57-R57</f>
        <v>0.95352588628448487</v>
      </c>
      <c r="R57" s="4">
        <f>BinaryTree_put("e",S0,Sigma,P57,P57,T,X,N)</f>
        <v>17.088831676361444</v>
      </c>
      <c r="S57" s="4">
        <f>BinaryTree_put("a",S0,Sigma,P57,P57,T,X,N)</f>
        <v>18.042357562645929</v>
      </c>
      <c r="U57" s="2">
        <v>1.9500000000000002</v>
      </c>
      <c r="V57" s="1">
        <f>X57-W57</f>
        <v>2.6995376728609557</v>
      </c>
      <c r="W57" s="4">
        <f>BinaryTree_put("e",S0,Sigma,rf,q,U57,X,N)</f>
        <v>40.029308582777077</v>
      </c>
      <c r="X57" s="4">
        <f>BinaryTree_put("a",S0,Sigma,rf,q,U57,X,N)</f>
        <v>42.728846255638032</v>
      </c>
    </row>
    <row r="58" spans="1:24">
      <c r="A58" s="2">
        <v>278</v>
      </c>
      <c r="B58" s="1">
        <f>D58-C58</f>
        <v>0.31186960756190985</v>
      </c>
      <c r="C58" s="4">
        <f>BinaryTree_put("e",A58,Sigma,rf,q,T,X,N)</f>
        <v>32.966304838554564</v>
      </c>
      <c r="D58" s="4">
        <f>BinaryTree_put("a",A58,Sigma,rf,q,T,X,N)</f>
        <v>33.278174446116473</v>
      </c>
      <c r="F58" s="2">
        <v>278</v>
      </c>
      <c r="G58" s="1">
        <f>I58-H58</f>
        <v>4.311617068614737E-2</v>
      </c>
      <c r="H58" s="4">
        <f>BinaryTree_put("e",S0,Sigma,rf,q,T,F58,N)</f>
        <v>11.545218352785369</v>
      </c>
      <c r="I58" s="4">
        <f>BinaryTree_put("a",S0,Sigma,rf,q,T,F58,N)</f>
        <v>11.588334523471516</v>
      </c>
      <c r="K58" s="2">
        <v>0.4</v>
      </c>
      <c r="L58" s="1">
        <f>N58-M58</f>
        <v>0.28227127993788059</v>
      </c>
      <c r="M58" s="4">
        <f>BinaryTree_put("e",S0,K58,rf,q,T,X,N)</f>
        <v>25.241012945429027</v>
      </c>
      <c r="N58" s="4">
        <f>BinaryTree_put("a",S0,K58,rf,q,T,X,N)</f>
        <v>25.523284225366908</v>
      </c>
      <c r="P58" s="2">
        <v>0.4</v>
      </c>
      <c r="Q58" s="1">
        <f>S58-R58</f>
        <v>0.97546088709430379</v>
      </c>
      <c r="R58" s="4">
        <f>BinaryTree_put("e",S0,Sigma,P58,P58,T,X,N)</f>
        <v>17.031963736661901</v>
      </c>
      <c r="S58" s="4">
        <f>BinaryTree_put("a",S0,Sigma,P58,P58,T,X,N)</f>
        <v>18.007424623756204</v>
      </c>
      <c r="U58" s="2">
        <v>2</v>
      </c>
      <c r="V58" s="1">
        <f>X58-W58</f>
        <v>2.7949745649554671</v>
      </c>
      <c r="W58" s="4">
        <f>BinaryTree_put("e",S0,Sigma,rf,q,U58,X,N)</f>
        <v>40.369914743670385</v>
      </c>
      <c r="X58" s="4">
        <f>BinaryTree_put("a",S0,Sigma,rf,q,U58,X,N)</f>
        <v>43.164889308625852</v>
      </c>
    </row>
    <row r="59" spans="1:24">
      <c r="A59" s="2">
        <v>280</v>
      </c>
      <c r="B59" s="1">
        <f>D59-C59</f>
        <v>0.30277852602763389</v>
      </c>
      <c r="C59" s="4">
        <f>BinaryTree_put("e",A59,Sigma,rf,q,T,X,N)</f>
        <v>31.692016983345653</v>
      </c>
      <c r="D59" s="4">
        <f>BinaryTree_put("a",A59,Sigma,rf,q,T,X,N)</f>
        <v>31.994795509373287</v>
      </c>
      <c r="F59" s="2">
        <v>280</v>
      </c>
      <c r="G59" s="1">
        <f>I59-H59</f>
        <v>4.4965062298933489E-2</v>
      </c>
      <c r="H59" s="4">
        <f>BinaryTree_put("e",S0,Sigma,rf,q,T,F59,N)</f>
        <v>12.218301996282765</v>
      </c>
      <c r="I59" s="4">
        <f>BinaryTree_put("a",S0,Sigma,rf,q,T,F59,N)</f>
        <v>12.263267058581699</v>
      </c>
      <c r="K59" s="2">
        <v>0.41000000000000003</v>
      </c>
      <c r="L59" s="1">
        <f>N59-M59</f>
        <v>0.2893021132028899</v>
      </c>
      <c r="M59" s="4">
        <f>BinaryTree_put("e",S0,K59,rf,q,T,X,N)</f>
        <v>25.869135109409729</v>
      </c>
      <c r="N59" s="4">
        <f>BinaryTree_put("a",S0,K59,rf,q,T,X,N)</f>
        <v>26.158437222612619</v>
      </c>
      <c r="P59" s="2">
        <v>0.41000000000000003</v>
      </c>
      <c r="Q59" s="1">
        <f>S59-R59</f>
        <v>0.99727701997047546</v>
      </c>
      <c r="R59" s="4">
        <f>BinaryTree_put("e",S0,Sigma,P59,P59,T,X,N)</f>
        <v>16.975285041179092</v>
      </c>
      <c r="S59" s="4">
        <f>BinaryTree_put("a",S0,Sigma,P59,P59,T,X,N)</f>
        <v>17.972562061149567</v>
      </c>
      <c r="U59" s="2">
        <v>2.0499999999999998</v>
      </c>
      <c r="V59" s="1">
        <f>X59-W59</f>
        <v>2.8910740982706713</v>
      </c>
      <c r="W59" s="4">
        <f>BinaryTree_put("e",S0,Sigma,rf,q,U59,X,N)</f>
        <v>40.70069571829081</v>
      </c>
      <c r="X59" s="4">
        <f>BinaryTree_put("a",S0,Sigma,rf,q,U59,X,N)</f>
        <v>43.591769816561481</v>
      </c>
    </row>
    <row r="60" spans="1:24">
      <c r="A60" s="2">
        <v>282</v>
      </c>
      <c r="B60" s="1">
        <f>D60-C60</f>
        <v>0.29368744449334017</v>
      </c>
      <c r="C60" s="4">
        <f>BinaryTree_put("e",A60,Sigma,rf,q,T,X,N)</f>
        <v>30.417729128136774</v>
      </c>
      <c r="D60" s="4">
        <f>BinaryTree_put("a",A60,Sigma,rf,q,T,X,N)</f>
        <v>30.711416572630114</v>
      </c>
      <c r="F60" s="2">
        <v>282</v>
      </c>
      <c r="G60" s="1">
        <f>I60-H60</f>
        <v>4.6813953911724937E-2</v>
      </c>
      <c r="H60" s="4">
        <f>BinaryTree_put("e",S0,Sigma,rf,q,T,F60,N)</f>
        <v>12.891385639780163</v>
      </c>
      <c r="I60" s="4">
        <f>BinaryTree_put("a",S0,Sigma,rf,q,T,F60,N)</f>
        <v>12.938199593691888</v>
      </c>
      <c r="K60" s="2">
        <v>0.42000000000000004</v>
      </c>
      <c r="L60" s="1">
        <f>N60-M60</f>
        <v>0.29633103014051798</v>
      </c>
      <c r="M60" s="4">
        <f>BinaryTree_put("e",S0,K60,rf,q,T,X,N)</f>
        <v>26.497042951954541</v>
      </c>
      <c r="N60" s="4">
        <f>BinaryTree_put("a",S0,K60,rf,q,T,X,N)</f>
        <v>26.793373982095058</v>
      </c>
      <c r="P60" s="2">
        <v>0.42000000000000004</v>
      </c>
      <c r="Q60" s="1">
        <f>S60-R60</f>
        <v>1.0189747670108176</v>
      </c>
      <c r="R60" s="4">
        <f>BinaryTree_put("e",S0,Sigma,P60,P60,T,X,N)</f>
        <v>16.918794960149164</v>
      </c>
      <c r="S60" s="4">
        <f>BinaryTree_put("a",S0,Sigma,P60,P60,T,X,N)</f>
        <v>17.937769727159981</v>
      </c>
      <c r="U60" s="2">
        <v>2.1</v>
      </c>
      <c r="V60" s="1">
        <f>X60-W60</f>
        <v>2.9878109295973658</v>
      </c>
      <c r="W60" s="4">
        <f>BinaryTree_put("e",S0,Sigma,rf,q,U60,X,N)</f>
        <v>41.021981490286855</v>
      </c>
      <c r="X60" s="4">
        <f>BinaryTree_put("a",S0,Sigma,rf,q,U60,X,N)</f>
        <v>44.009792419884221</v>
      </c>
    </row>
    <row r="61" spans="1:24">
      <c r="A61" s="2">
        <v>284</v>
      </c>
      <c r="B61" s="1">
        <f>D61-C61</f>
        <v>0.28459636295903934</v>
      </c>
      <c r="C61" s="4">
        <f>BinaryTree_put("e",A61,Sigma,rf,q,T,X,N)</f>
        <v>29.143441272927884</v>
      </c>
      <c r="D61" s="4">
        <f>BinaryTree_put("a",A61,Sigma,rf,q,T,X,N)</f>
        <v>29.428037635886923</v>
      </c>
      <c r="F61" s="2">
        <v>284</v>
      </c>
      <c r="G61" s="1">
        <f>I61-H61</f>
        <v>4.8662845524511056E-2</v>
      </c>
      <c r="H61" s="4">
        <f>BinaryTree_put("e",S0,Sigma,rf,q,T,F61,N)</f>
        <v>13.564469283277559</v>
      </c>
      <c r="I61" s="4">
        <f>BinaryTree_put("a",S0,Sigma,rf,q,T,F61,N)</f>
        <v>13.61313212880207</v>
      </c>
      <c r="K61" s="2">
        <v>0.43</v>
      </c>
      <c r="L61" s="1">
        <f>N61-M61</f>
        <v>0.30335798471656616</v>
      </c>
      <c r="M61" s="4">
        <f>BinaryTree_put("e",S0,K61,rf,q,T,X,N)</f>
        <v>27.124731334163396</v>
      </c>
      <c r="N61" s="4">
        <f>BinaryTree_put("a",S0,K61,rf,q,T,X,N)</f>
        <v>27.428089318879962</v>
      </c>
      <c r="P61" s="2">
        <v>0.43</v>
      </c>
      <c r="Q61" s="1">
        <f>S61-R61</f>
        <v>1.0405546085394271</v>
      </c>
      <c r="R61" s="4">
        <f>BinaryTree_put("e",S0,Sigma,P61,P61,T,X,N)</f>
        <v>16.86249286590397</v>
      </c>
      <c r="S61" s="4">
        <f>BinaryTree_put("a",S0,Sigma,P61,P61,T,X,N)</f>
        <v>17.903047474443397</v>
      </c>
      <c r="U61" s="2">
        <v>2.15</v>
      </c>
      <c r="V61" s="1">
        <f>X61-W61</f>
        <v>3.0851605637977997</v>
      </c>
      <c r="W61" s="4">
        <f>BinaryTree_put("e",S0,Sigma,rf,q,U61,X,N)</f>
        <v>41.334084033846004</v>
      </c>
      <c r="X61" s="4">
        <f>BinaryTree_put("a",S0,Sigma,rf,q,U61,X,N)</f>
        <v>44.419244597643804</v>
      </c>
    </row>
    <row r="62" spans="1:24">
      <c r="A62" s="2">
        <v>286</v>
      </c>
      <c r="B62" s="1">
        <f>D62-C62</f>
        <v>0.27550528142475628</v>
      </c>
      <c r="C62" s="4">
        <f>BinaryTree_put("e",A62,Sigma,rf,q,T,X,N)</f>
        <v>27.869153417718991</v>
      </c>
      <c r="D62" s="4">
        <f>BinaryTree_put("a",A62,Sigma,rf,q,T,X,N)</f>
        <v>28.144658699143747</v>
      </c>
      <c r="F62" s="2">
        <v>286</v>
      </c>
      <c r="G62" s="1">
        <f>I62-H62</f>
        <v>5.0511737137298951E-2</v>
      </c>
      <c r="H62" s="4">
        <f>BinaryTree_put("e",S0,Sigma,rf,q,T,F62,N)</f>
        <v>14.23755292677496</v>
      </c>
      <c r="I62" s="4">
        <f>BinaryTree_put("a",S0,Sigma,rf,q,T,F62,N)</f>
        <v>14.288064663912259</v>
      </c>
      <c r="K62" s="2">
        <v>0.44</v>
      </c>
      <c r="L62" s="1">
        <f>N62-M62</f>
        <v>0.31038293094755076</v>
      </c>
      <c r="M62" s="4">
        <f>BinaryTree_put("e",S0,K62,rf,q,T,X,N)</f>
        <v>27.752195123486775</v>
      </c>
      <c r="N62" s="4">
        <f>BinaryTree_put("a",S0,K62,rf,q,T,X,N)</f>
        <v>28.062578054434326</v>
      </c>
      <c r="P62" s="2">
        <v>0.44</v>
      </c>
      <c r="Q62" s="1">
        <f>S62-R62</f>
        <v>1.0620170231129258</v>
      </c>
      <c r="R62" s="4">
        <f>BinaryTree_put("e",S0,Sigma,P62,P62,T,X,N)</f>
        <v>16.806378132864101</v>
      </c>
      <c r="S62" s="4">
        <f>BinaryTree_put("a",S0,Sigma,P62,P62,T,X,N)</f>
        <v>17.868395155977026</v>
      </c>
      <c r="U62" s="2">
        <v>2.1999999999999997</v>
      </c>
      <c r="V62" s="1">
        <f>X62-W62</f>
        <v>3.1830993090484441</v>
      </c>
      <c r="W62" s="4">
        <f>BinaryTree_put("e",S0,Sigma,rf,q,U62,X,N)</f>
        <v>41.637298720070191</v>
      </c>
      <c r="X62" s="4">
        <f>BinaryTree_put("a",S0,Sigma,rf,q,U62,X,N)</f>
        <v>44.820398029118635</v>
      </c>
    </row>
    <row r="63" spans="1:24">
      <c r="A63" s="2">
        <v>288</v>
      </c>
      <c r="B63" s="1">
        <f>D63-C63</f>
        <v>0.26641419989047677</v>
      </c>
      <c r="C63" s="4">
        <f>BinaryTree_put("e",A63,Sigma,rf,q,T,X,N)</f>
        <v>26.594865562510094</v>
      </c>
      <c r="D63" s="4">
        <f>BinaryTree_put("a",A63,Sigma,rf,q,T,X,N)</f>
        <v>26.861279762400571</v>
      </c>
      <c r="F63" s="2">
        <v>288</v>
      </c>
      <c r="G63" s="1">
        <f>I63-H63</f>
        <v>5.2360628750088622E-2</v>
      </c>
      <c r="H63" s="4">
        <f>BinaryTree_put("e",S0,Sigma,rf,q,T,F63,N)</f>
        <v>14.910636570272356</v>
      </c>
      <c r="I63" s="4">
        <f>BinaryTree_put("a",S0,Sigma,rf,q,T,F63,N)</f>
        <v>14.962997199022444</v>
      </c>
      <c r="K63" s="2">
        <v>0.45</v>
      </c>
      <c r="L63" s="1">
        <f>N63-M63</f>
        <v>0.31740582290171915</v>
      </c>
      <c r="M63" s="4">
        <f>BinaryTree_put("e",S0,K63,rf,q,T,X,N)</f>
        <v>28.379429193871736</v>
      </c>
      <c r="N63" s="4">
        <f>BinaryTree_put("a",S0,K63,rf,q,T,X,N)</f>
        <v>28.696835016773456</v>
      </c>
      <c r="P63" s="2">
        <v>0.45</v>
      </c>
      <c r="Q63" s="1">
        <f>S63-R63</f>
        <v>1.0833624875266636</v>
      </c>
      <c r="R63" s="4">
        <f>BinaryTree_put("e",S0,Sigma,P63,P63,T,X,N)</f>
        <v>16.750450137531946</v>
      </c>
      <c r="S63" s="4">
        <f>BinaryTree_put("a",S0,Sigma,P63,P63,T,X,N)</f>
        <v>17.833812625058609</v>
      </c>
      <c r="U63" s="2">
        <v>2.25</v>
      </c>
      <c r="V63" s="1">
        <f>X63-W63</f>
        <v>3.2816042354992163</v>
      </c>
      <c r="W63" s="4">
        <f>BinaryTree_put("e",S0,Sigma,rf,q,U63,X,N)</f>
        <v>41.931905582843058</v>
      </c>
      <c r="X63" s="4">
        <f>BinaryTree_put("a",S0,Sigma,rf,q,U63,X,N)</f>
        <v>45.213509818342274</v>
      </c>
    </row>
    <row r="64" spans="1:24">
      <c r="A64" s="2">
        <v>290</v>
      </c>
      <c r="B64" s="1">
        <f>D64-C64</f>
        <v>0.25732311835617949</v>
      </c>
      <c r="C64" s="4">
        <f>BinaryTree_put("e",A64,Sigma,rf,q,T,X,N)</f>
        <v>25.320577707301201</v>
      </c>
      <c r="D64" s="4">
        <f>BinaryTree_put("a",A64,Sigma,rf,q,T,X,N)</f>
        <v>25.57790082565738</v>
      </c>
      <c r="F64" s="2">
        <v>290</v>
      </c>
      <c r="G64" s="1">
        <f>I64-H64</f>
        <v>5.4209520362876518E-2</v>
      </c>
      <c r="H64" s="4">
        <f>BinaryTree_put("e",S0,Sigma,rf,q,T,F64,N)</f>
        <v>15.583720213769753</v>
      </c>
      <c r="I64" s="4">
        <f>BinaryTree_put("a",S0,Sigma,rf,q,T,F64,N)</f>
        <v>15.63792973413263</v>
      </c>
      <c r="K64" s="2">
        <v>0.46</v>
      </c>
      <c r="L64" s="1">
        <f>N64-M64</f>
        <v>0.32442661470050638</v>
      </c>
      <c r="M64" s="4">
        <f>BinaryTree_put("e",S0,K64,rf,q,T,X,N)</f>
        <v>29.006428425907814</v>
      </c>
      <c r="N64" s="4">
        <f>BinaryTree_put("a",S0,K64,rf,q,T,X,N)</f>
        <v>29.33085504060832</v>
      </c>
      <c r="P64" s="2">
        <v>0.46</v>
      </c>
      <c r="Q64" s="1">
        <f>S64-R64</f>
        <v>1.1045914768209357</v>
      </c>
      <c r="R64" s="4">
        <f>BinaryTree_put("e",S0,Sigma,P64,P64,T,X,N)</f>
        <v>16.694708258484759</v>
      </c>
      <c r="S64" s="4">
        <f>BinaryTree_put("a",S0,Sigma,P64,P64,T,X,N)</f>
        <v>17.799299735305695</v>
      </c>
      <c r="U64" s="2">
        <v>2.2999999999999998</v>
      </c>
      <c r="V64" s="1">
        <f>X64-W64</f>
        <v>3.3806531370124446</v>
      </c>
      <c r="W64" s="4">
        <f>BinaryTree_put("e",S0,Sigma,rf,q,U64,X,N)</f>
        <v>42.218170461088484</v>
      </c>
      <c r="X64" s="4">
        <f>BinaryTree_put("a",S0,Sigma,rf,q,U64,X,N)</f>
        <v>45.598823598100928</v>
      </c>
    </row>
    <row r="65" spans="1:24">
      <c r="A65" s="2">
        <v>292</v>
      </c>
      <c r="B65" s="1">
        <f>D65-C65</f>
        <v>0.24823203682187867</v>
      </c>
      <c r="C65" s="4">
        <f>BinaryTree_put("e",A65,Sigma,rf,q,T,X,N)</f>
        <v>24.046289852092322</v>
      </c>
      <c r="D65" s="4">
        <f>BinaryTree_put("a",A65,Sigma,rf,q,T,X,N)</f>
        <v>24.294521888914201</v>
      </c>
      <c r="F65" s="2">
        <v>292</v>
      </c>
      <c r="G65" s="1">
        <f>I65-H65</f>
        <v>5.6058411975662636E-2</v>
      </c>
      <c r="H65" s="4">
        <f>BinaryTree_put("e",S0,Sigma,rf,q,T,F65,N)</f>
        <v>16.256803857267151</v>
      </c>
      <c r="I65" s="4">
        <f>BinaryTree_put("a",S0,Sigma,rf,q,T,F65,N)</f>
        <v>16.312862269242814</v>
      </c>
      <c r="K65" s="2">
        <v>0.47000000000000003</v>
      </c>
      <c r="L65" s="1">
        <f>N65-M65</f>
        <v>0.33144526051933454</v>
      </c>
      <c r="M65" s="4">
        <f>BinaryTree_put("e",S0,K65,rf,q,T,X,N)</f>
        <v>29.633187706971988</v>
      </c>
      <c r="N65" s="4">
        <f>BinaryTree_put("a",S0,K65,rf,q,T,X,N)</f>
        <v>29.964632967491323</v>
      </c>
      <c r="P65" s="2">
        <v>0.47000000000000003</v>
      </c>
      <c r="Q65" s="1">
        <f>S65-R65</f>
        <v>1.1257044642871783</v>
      </c>
      <c r="R65" s="4">
        <f>BinaryTree_put("e",S0,Sigma,P65,P65,T,X,N)</f>
        <v>16.639151876367755</v>
      </c>
      <c r="S65" s="4">
        <f>BinaryTree_put("a",S0,Sigma,P65,P65,T,X,N)</f>
        <v>17.764856340654934</v>
      </c>
      <c r="U65" s="2">
        <v>2.35</v>
      </c>
      <c r="V65" s="1">
        <f>X65-W65</f>
        <v>3.480224495686727</v>
      </c>
      <c r="W65" s="4">
        <f>BinaryTree_put("e",S0,Sigma,rf,q,U65,X,N)</f>
        <v>42.496346031962503</v>
      </c>
      <c r="X65" s="4">
        <f>BinaryTree_put("a",S0,Sigma,rf,q,U65,X,N)</f>
        <v>45.97657052764923</v>
      </c>
    </row>
    <row r="66" spans="1:24">
      <c r="A66" s="2">
        <v>294</v>
      </c>
      <c r="B66" s="1">
        <f>D66-C66</f>
        <v>0.23914095528759916</v>
      </c>
      <c r="C66" s="4">
        <f>BinaryTree_put("e",A66,Sigma,rf,q,T,X,N)</f>
        <v>22.772001996883418</v>
      </c>
      <c r="D66" s="4">
        <f>BinaryTree_put("a",A66,Sigma,rf,q,T,X,N)</f>
        <v>23.011142952171017</v>
      </c>
      <c r="F66" s="2">
        <v>294</v>
      </c>
      <c r="G66" s="1">
        <f>I66-H66</f>
        <v>5.7907303588454084E-2</v>
      </c>
      <c r="H66" s="4">
        <f>BinaryTree_put("e",S0,Sigma,rf,q,T,F66,N)</f>
        <v>16.929887500764547</v>
      </c>
      <c r="I66" s="4">
        <f>BinaryTree_put("a",S0,Sigma,rf,q,T,F66,N)</f>
        <v>16.987794804353001</v>
      </c>
      <c r="K66" s="2">
        <v>0.48000000000000004</v>
      </c>
      <c r="L66" s="1">
        <f>N66-M66</f>
        <v>0.33846171458905161</v>
      </c>
      <c r="M66" s="4">
        <f>BinaryTree_put("e",S0,K66,rf,q,T,X,N)</f>
        <v>30.259701931374121</v>
      </c>
      <c r="N66" s="4">
        <f>BinaryTree_put("a",S0,K66,rf,q,T,X,N)</f>
        <v>30.598163645963172</v>
      </c>
      <c r="P66" s="2">
        <v>0.48000000000000004</v>
      </c>
      <c r="Q66" s="1">
        <f>S66-R66</f>
        <v>1.1467019214741185</v>
      </c>
      <c r="R66" s="4">
        <f>BinaryTree_put("e",S0,Sigma,P66,P66,T,X,N)</f>
        <v>16.583780373887226</v>
      </c>
      <c r="S66" s="4">
        <f>BinaryTree_put("a",S0,Sigma,P66,P66,T,X,N)</f>
        <v>17.730482295361345</v>
      </c>
      <c r="U66" s="2">
        <v>2.4</v>
      </c>
      <c r="V66" s="1">
        <f>X66-W66</f>
        <v>3.5802974489033375</v>
      </c>
      <c r="W66" s="4">
        <f>BinaryTree_put("e",S0,Sigma,rf,q,U66,X,N)</f>
        <v>42.766672747531111</v>
      </c>
      <c r="X66" s="4">
        <f>BinaryTree_put("a",S0,Sigma,rf,q,U66,X,N)</f>
        <v>46.346970196434448</v>
      </c>
    </row>
    <row r="67" spans="1:24">
      <c r="A67" s="2">
        <v>296</v>
      </c>
      <c r="B67" s="1">
        <f>D67-C67</f>
        <v>0.23004987375331609</v>
      </c>
      <c r="C67" s="4">
        <f>BinaryTree_put("e",A67,Sigma,rf,q,T,X,N)</f>
        <v>21.497714141674528</v>
      </c>
      <c r="D67" s="4">
        <f>BinaryTree_put("a",A67,Sigma,rf,q,T,X,N)</f>
        <v>21.727764015427844</v>
      </c>
      <c r="F67" s="2">
        <v>296</v>
      </c>
      <c r="G67" s="1">
        <f>I67-H67</f>
        <v>5.9756195201234874E-2</v>
      </c>
      <c r="H67" s="4">
        <f>BinaryTree_put("e",S0,Sigma,rf,q,T,F67,N)</f>
        <v>17.602971144261947</v>
      </c>
      <c r="I67" s="4">
        <f>BinaryTree_put("a",S0,Sigma,rf,q,T,F67,N)</f>
        <v>17.662727339463181</v>
      </c>
      <c r="K67" s="2">
        <v>0.49</v>
      </c>
      <c r="L67" s="1">
        <f>N67-M67</f>
        <v>0.34547593119696529</v>
      </c>
      <c r="M67" s="4">
        <f>BinaryTree_put("e",S0,K67,rf,q,T,X,N)</f>
        <v>30.885966000501007</v>
      </c>
      <c r="N67" s="4">
        <f>BinaryTree_put("a",S0,K67,rf,q,T,X,N)</f>
        <v>31.231441931697972</v>
      </c>
      <c r="P67" s="2">
        <v>0.49</v>
      </c>
      <c r="Q67" s="1">
        <f>S67-R67</f>
        <v>1.1675843181938959</v>
      </c>
      <c r="R67" s="4">
        <f>BinaryTree_put("e",S0,Sigma,P67,P67,T,X,N)</f>
        <v>16.528593135803696</v>
      </c>
      <c r="S67" s="4">
        <f>BinaryTree_put("a",S0,Sigma,P67,P67,T,X,N)</f>
        <v>17.696177453997592</v>
      </c>
      <c r="U67" s="2">
        <v>2.4500000000000002</v>
      </c>
      <c r="V67" s="1">
        <f>X67-W67</f>
        <v>3.6808517586643603</v>
      </c>
      <c r="W67" s="4">
        <f>BinaryTree_put("e",S0,Sigma,rf,q,U67,X,N)</f>
        <v>43.029379685811222</v>
      </c>
      <c r="X67" s="4">
        <f>BinaryTree_put("a",S0,Sigma,rf,q,U67,X,N)</f>
        <v>46.710231444475582</v>
      </c>
    </row>
    <row r="68" spans="1:24">
      <c r="A68" s="2">
        <v>298</v>
      </c>
      <c r="B68" s="1">
        <f>D68-C68</f>
        <v>0.22095879221903658</v>
      </c>
      <c r="C68" s="4">
        <f>BinaryTree_put("e",A68,Sigma,rf,q,T,X,N)</f>
        <v>20.223426286465639</v>
      </c>
      <c r="D68" s="4">
        <f>BinaryTree_put("a",A68,Sigma,rf,q,T,X,N)</f>
        <v>20.444385078684675</v>
      </c>
      <c r="F68" s="2">
        <v>298</v>
      </c>
      <c r="G68" s="1">
        <f>I68-H68</f>
        <v>6.1605086814026322E-2</v>
      </c>
      <c r="H68" s="4">
        <f>BinaryTree_put("e",S0,Sigma,rf,q,T,F68,N)</f>
        <v>18.276054787759346</v>
      </c>
      <c r="I68" s="4">
        <f>BinaryTree_put("a",S0,Sigma,rf,q,T,F68,N)</f>
        <v>18.337659874573372</v>
      </c>
      <c r="K68" s="2">
        <v>0.5</v>
      </c>
      <c r="L68" s="1">
        <f>N68-M68</f>
        <v>0.35248786468801541</v>
      </c>
      <c r="M68" s="4">
        <f>BinaryTree_put("e",S0,K68,rf,q,T,X,N)</f>
        <v>31.511974822960934</v>
      </c>
      <c r="N68" s="4">
        <f>BinaryTree_put("a",S0,K68,rf,q,T,X,N)</f>
        <v>31.864462687648949</v>
      </c>
      <c r="P68" s="2">
        <v>0.5</v>
      </c>
      <c r="Q68" s="1">
        <f>S68-R68</f>
        <v>1.1883521225282294</v>
      </c>
      <c r="R68" s="4">
        <f>BinaryTree_put("e",S0,Sigma,P68,P68,T,X,N)</f>
        <v>16.473589548925048</v>
      </c>
      <c r="S68" s="4">
        <f>BinaryTree_put("a",S0,Sigma,P68,P68,T,X,N)</f>
        <v>17.661941671453278</v>
      </c>
      <c r="U68" s="2">
        <v>2.5</v>
      </c>
      <c r="V68" s="1">
        <f>X68-W68</f>
        <v>3.7818677830153717</v>
      </c>
      <c r="W68" s="4">
        <f>BinaryTree_put("e",S0,Sigma,rf,q,U68,X,N)</f>
        <v>43.284685325626079</v>
      </c>
      <c r="X68" s="4">
        <f>BinaryTree_put("a",S0,Sigma,rf,q,U68,X,N)</f>
        <v>47.06655310864145</v>
      </c>
    </row>
    <row r="69" spans="1:24">
      <c r="A69" s="2">
        <v>300</v>
      </c>
      <c r="B69" s="1">
        <f>D69-C69</f>
        <v>0.21186771068474997</v>
      </c>
      <c r="C69" s="4">
        <f>BinaryTree_put("e",A69,Sigma,rf,q,T,X,N)</f>
        <v>18.949138431256735</v>
      </c>
      <c r="D69" s="4">
        <f>BinaryTree_put("a",A69,Sigma,rf,q,T,X,N)</f>
        <v>19.161006141941485</v>
      </c>
      <c r="F69" s="2">
        <v>300</v>
      </c>
      <c r="G69" s="1">
        <f>I69-H69</f>
        <v>0.21186771068474997</v>
      </c>
      <c r="H69" s="4">
        <f>BinaryTree_put("e",S0,Sigma,rf,q,T,F69,N)</f>
        <v>18.949138431256735</v>
      </c>
      <c r="I69" s="4">
        <f>BinaryTree_put("a",S0,Sigma,rf,q,T,F69,N)</f>
        <v>19.161006141941485</v>
      </c>
      <c r="K69" s="2">
        <v>0.51</v>
      </c>
      <c r="L69" s="1">
        <f>N69-M69</f>
        <v>0.35949746946597827</v>
      </c>
      <c r="M69" s="4">
        <f>BinaryTree_put("e",S0,K69,rf,q,T,X,N)</f>
        <v>32.137723314727225</v>
      </c>
      <c r="N69" s="4">
        <f>BinaryTree_put("a",S0,K69,rf,q,T,X,N)</f>
        <v>32.497220784193203</v>
      </c>
      <c r="P69" s="2">
        <v>0.51</v>
      </c>
      <c r="Q69" s="1">
        <f>S69-R69</f>
        <v>1.2090058008344613</v>
      </c>
      <c r="R69" s="4">
        <f>BinaryTree_put("e",S0,Sigma,P69,P69,T,X,N)</f>
        <v>16.418769002099772</v>
      </c>
      <c r="S69" s="4">
        <f>BinaryTree_put("a",S0,Sigma,P69,P69,T,X,N)</f>
        <v>17.627774802934233</v>
      </c>
      <c r="U69" s="2">
        <v>2.5499999999999998</v>
      </c>
      <c r="V69" s="1">
        <f>X69-W69</f>
        <v>3.8833264493699531</v>
      </c>
      <c r="W69" s="4">
        <f>BinaryTree_put("e",S0,Sigma,rf,q,U69,X,N)</f>
        <v>43.532798253512276</v>
      </c>
      <c r="X69" s="4">
        <f>BinaryTree_put("a",S0,Sigma,rf,q,U69,X,N)</f>
        <v>47.416124702882229</v>
      </c>
    </row>
    <row r="70" spans="1:24">
      <c r="A70" s="2">
        <v>302</v>
      </c>
      <c r="B70" s="1">
        <f>D70-C70</f>
        <v>6.2028113336872082E-2</v>
      </c>
      <c r="C70" s="4">
        <f>BinaryTree_put("e",A70,Sigma,rf,q,T,X,N)</f>
        <v>18.402382377301059</v>
      </c>
      <c r="D70" s="4">
        <f>BinaryTree_put("a",A70,Sigma,rf,q,T,X,N)</f>
        <v>18.464410490637931</v>
      </c>
      <c r="F70" s="2">
        <v>302</v>
      </c>
      <c r="G70" s="1">
        <f>I70-H70</f>
        <v>0.2223712436235914</v>
      </c>
      <c r="H70" s="4">
        <f>BinaryTree_put("e",S0,Sigma,rf,q,T,F70,N)</f>
        <v>20.349753876007345</v>
      </c>
      <c r="I70" s="4">
        <f>BinaryTree_put("a",S0,Sigma,rf,q,T,F70,N)</f>
        <v>20.572125119630936</v>
      </c>
      <c r="K70" s="2">
        <v>0.52</v>
      </c>
      <c r="L70" s="1">
        <f>N70-M70</f>
        <v>0.36650469999452895</v>
      </c>
      <c r="M70" s="4">
        <f>BinaryTree_put("e",S0,K70,rf,q,T,X,N)</f>
        <v>32.763206399281636</v>
      </c>
      <c r="N70" s="4">
        <f>BinaryTree_put("a",S0,K70,rf,q,T,X,N)</f>
        <v>33.129711099276165</v>
      </c>
      <c r="P70" s="2">
        <v>0.52</v>
      </c>
      <c r="Q70" s="1">
        <f>S70-R70</f>
        <v>1.229545817751692</v>
      </c>
      <c r="R70" s="4">
        <f>BinaryTree_put("e",S0,Sigma,P70,P70,T,X,N)</f>
        <v>16.364130886210098</v>
      </c>
      <c r="S70" s="4">
        <f>BinaryTree_put("a",S0,Sigma,P70,P70,T,X,N)</f>
        <v>17.593676703961791</v>
      </c>
      <c r="U70" s="2">
        <v>2.6</v>
      </c>
      <c r="V70" s="1">
        <f>X70-W70</f>
        <v>3.9852092295718364</v>
      </c>
      <c r="W70" s="4">
        <f>BinaryTree_put("e",S0,Sigma,rf,q,U70,X,N)</f>
        <v>43.773917809881105</v>
      </c>
      <c r="X70" s="4">
        <f>BinaryTree_put("a",S0,Sigma,rf,q,U70,X,N)</f>
        <v>47.759127039452942</v>
      </c>
    </row>
    <row r="71" spans="1:24">
      <c r="A71" s="2">
        <v>304</v>
      </c>
      <c r="B71" s="1">
        <f>D71-C71</f>
        <v>6.0602248246926393E-2</v>
      </c>
      <c r="C71" s="4">
        <f>BinaryTree_put("e",A71,Sigma,rf,q,T,X,N)</f>
        <v>17.855626323345376</v>
      </c>
      <c r="D71" s="4">
        <f>BinaryTree_put("a",A71,Sigma,rf,q,T,X,N)</f>
        <v>17.916228571592303</v>
      </c>
      <c r="F71" s="2">
        <v>304</v>
      </c>
      <c r="G71" s="1">
        <f>I71-H71</f>
        <v>0.23287477656245059</v>
      </c>
      <c r="H71" s="4">
        <f>BinaryTree_put("e",S0,Sigma,rf,q,T,F71,N)</f>
        <v>21.750369320757944</v>
      </c>
      <c r="I71" s="4">
        <f>BinaryTree_put("a",S0,Sigma,rf,q,T,F71,N)</f>
        <v>21.983244097320394</v>
      </c>
      <c r="K71" s="2">
        <v>0.53</v>
      </c>
      <c r="L71" s="1">
        <f>N71-M71</f>
        <v>0.37350951079834971</v>
      </c>
      <c r="M71" s="4">
        <f>BinaryTree_put("e",S0,K71,rf,q,T,X,N)</f>
        <v>33.38841900775757</v>
      </c>
      <c r="N71" s="4">
        <f>BinaryTree_put("a",S0,K71,rf,q,T,X,N)</f>
        <v>33.761928518555919</v>
      </c>
      <c r="P71" s="2">
        <v>0.53</v>
      </c>
      <c r="Q71" s="1">
        <f>S71-R71</f>
        <v>1.2499726362068095</v>
      </c>
      <c r="R71" s="4">
        <f>BinaryTree_put("e",S0,Sigma,P71,P71,T,X,N)</f>
        <v>16.30967459416528</v>
      </c>
      <c r="S71" s="4">
        <f>BinaryTree_put("a",S0,Sigma,P71,P71,T,X,N)</f>
        <v>17.559647230372089</v>
      </c>
      <c r="U71" s="2">
        <v>2.65</v>
      </c>
      <c r="V71" s="1">
        <f>X71-W71</f>
        <v>4.0874981165472946</v>
      </c>
      <c r="W71" s="4">
        <f>BinaryTree_put("e",S0,Sigma,rf,q,U71,X,N)</f>
        <v>44.008234680747393</v>
      </c>
      <c r="X71" s="4">
        <f>BinaryTree_put("a",S0,Sigma,rf,q,U71,X,N)</f>
        <v>48.095732797294687</v>
      </c>
    </row>
    <row r="72" spans="1:24">
      <c r="A72" s="2">
        <v>306</v>
      </c>
      <c r="B72" s="1">
        <f>D72-C72</f>
        <v>5.9176383156984258E-2</v>
      </c>
      <c r="C72" s="4">
        <f>BinaryTree_put("e",A72,Sigma,rf,q,T,X,N)</f>
        <v>17.308870269389693</v>
      </c>
      <c r="D72" s="4">
        <f>BinaryTree_put("a",A72,Sigma,rf,q,T,X,N)</f>
        <v>17.368046652546678</v>
      </c>
      <c r="F72" s="2">
        <v>306</v>
      </c>
      <c r="G72" s="1">
        <f>I72-H72</f>
        <v>0.24337830950130268</v>
      </c>
      <c r="H72" s="4">
        <f>BinaryTree_put("e",S0,Sigma,rf,q,T,F72,N)</f>
        <v>23.15098476550855</v>
      </c>
      <c r="I72" s="4">
        <f>BinaryTree_put("a",S0,Sigma,rf,q,T,F72,N)</f>
        <v>23.394363075009853</v>
      </c>
      <c r="K72" s="2">
        <v>0.54</v>
      </c>
      <c r="L72" s="1">
        <f>N72-M72</f>
        <v>0.38051185646452979</v>
      </c>
      <c r="M72" s="4">
        <f>BinaryTree_put("e",S0,K72,rf,q,T,X,N)</f>
        <v>34.01335607908203</v>
      </c>
      <c r="N72" s="4">
        <f>BinaryTree_put("a",S0,K72,rf,q,T,X,N)</f>
        <v>34.39386793554656</v>
      </c>
      <c r="P72" s="2">
        <v>0.54</v>
      </c>
      <c r="Q72" s="1">
        <f>S72-R72</f>
        <v>1.2702867174204862</v>
      </c>
      <c r="R72" s="4">
        <f>BinaryTree_put("e",S0,Sigma,P72,P72,T,X,N)</f>
        <v>16.255399520894873</v>
      </c>
      <c r="S72" s="4">
        <f>BinaryTree_put("a",S0,Sigma,P72,P72,T,X,N)</f>
        <v>17.525686238315359</v>
      </c>
      <c r="U72" s="2">
        <v>2.7</v>
      </c>
      <c r="V72" s="1">
        <f>X72-W72</f>
        <v>4.1901756024168151</v>
      </c>
      <c r="W72" s="4">
        <f>BinaryTree_put("e",S0,Sigma,rf,q,U72,X,N)</f>
        <v>44.235931440573758</v>
      </c>
      <c r="X72" s="4">
        <f>BinaryTree_put("a",S0,Sigma,rf,q,U72,X,N)</f>
        <v>48.426107042990573</v>
      </c>
    </row>
    <row r="73" spans="1:24">
      <c r="A73" s="2">
        <v>308</v>
      </c>
      <c r="B73" s="1">
        <f>D73-C73</f>
        <v>5.7750518067042123E-2</v>
      </c>
      <c r="C73" s="4">
        <f>BinaryTree_put("e",A73,Sigma,rf,q,T,X,N)</f>
        <v>16.762114215434003</v>
      </c>
      <c r="D73" s="4">
        <f>BinaryTree_put("a",A73,Sigma,rf,q,T,X,N)</f>
        <v>16.819864733501046</v>
      </c>
      <c r="F73" s="2">
        <v>308</v>
      </c>
      <c r="G73" s="1">
        <f>I73-H73</f>
        <v>0.25388184244015122</v>
      </c>
      <c r="H73" s="4">
        <f>BinaryTree_put("e",S0,Sigma,rf,q,T,F73,N)</f>
        <v>24.551600210259156</v>
      </c>
      <c r="I73" s="4">
        <f>BinaryTree_put("a",S0,Sigma,rf,q,T,F73,N)</f>
        <v>24.805482052699308</v>
      </c>
      <c r="K73" s="2">
        <v>0.55000000000000004</v>
      </c>
      <c r="L73" s="1">
        <f>N73-M73</f>
        <v>0.38751169164334698</v>
      </c>
      <c r="M73" s="4">
        <f>BinaryTree_put("e",S0,K73,rf,q,T,X,N)</f>
        <v>34.638012560118433</v>
      </c>
      <c r="N73" s="4">
        <f>BinaryTree_put("a",S0,K73,rf,q,T,X,N)</f>
        <v>35.02552425176178</v>
      </c>
      <c r="P73" s="2">
        <v>0.55000000000000004</v>
      </c>
      <c r="Q73" s="1">
        <f>S73-R73</f>
        <v>1.2904885209132608</v>
      </c>
      <c r="R73" s="4">
        <f>BinaryTree_put("e",S0,Sigma,P73,P73,T,X,N)</f>
        <v>16.201305063341927</v>
      </c>
      <c r="S73" s="4">
        <f>BinaryTree_put("a",S0,Sigma,P73,P73,T,X,N)</f>
        <v>17.491793584255188</v>
      </c>
      <c r="U73" s="2">
        <v>2.75</v>
      </c>
      <c r="V73" s="1">
        <f>X73-W73</f>
        <v>4.2932246579466735</v>
      </c>
      <c r="W73" s="4">
        <f>BinaryTree_put("e",S0,Sigma,rf,q,U73,X,N)</f>
        <v>44.457183051121937</v>
      </c>
      <c r="X73" s="4">
        <f>BinaryTree_put("a",S0,Sigma,rf,q,U73,X,N)</f>
        <v>48.750407709068611</v>
      </c>
    </row>
    <row r="74" spans="1:24">
      <c r="A74" s="2">
        <v>310</v>
      </c>
      <c r="B74" s="1">
        <f>D74-C74</f>
        <v>5.6324652977096434E-2</v>
      </c>
      <c r="C74" s="4">
        <f>BinaryTree_put("e",A74,Sigma,rf,q,T,X,N)</f>
        <v>16.215358161478324</v>
      </c>
      <c r="D74" s="4">
        <f>BinaryTree_put("a",A74,Sigma,rf,q,T,X,N)</f>
        <v>16.271682814455421</v>
      </c>
      <c r="F74" s="2">
        <v>310</v>
      </c>
      <c r="G74" s="1">
        <f>I74-H74</f>
        <v>0.2643853753789962</v>
      </c>
      <c r="H74" s="4">
        <f>BinaryTree_put("e",S0,Sigma,rf,q,T,F74,N)</f>
        <v>25.952215655009763</v>
      </c>
      <c r="I74" s="4">
        <f>BinaryTree_put("a",S0,Sigma,rf,q,T,F74,N)</f>
        <v>26.216601030388759</v>
      </c>
      <c r="K74" s="2">
        <v>0.56000000000000005</v>
      </c>
      <c r="L74" s="1">
        <f>N74-M74</f>
        <v>0.3945089710496319</v>
      </c>
      <c r="M74" s="4">
        <f>BinaryTree_put("e",S0,K74,rf,q,T,X,N)</f>
        <v>35.262383405807746</v>
      </c>
      <c r="N74" s="4">
        <f>BinaryTree_put("a",S0,K74,rf,q,T,X,N)</f>
        <v>35.656892376857378</v>
      </c>
      <c r="P74" s="2">
        <v>0.56000000000000005</v>
      </c>
      <c r="Q74" s="1">
        <f>S74-R74</f>
        <v>1.3105785045115077</v>
      </c>
      <c r="R74" s="4">
        <f>BinaryTree_put("e",S0,Sigma,P74,P74,T,X,N)</f>
        <v>16.14739062045637</v>
      </c>
      <c r="S74" s="4">
        <f>BinaryTree_put("a",S0,Sigma,P74,P74,T,X,N)</f>
        <v>17.457969124967878</v>
      </c>
      <c r="U74" s="2">
        <v>2.8</v>
      </c>
      <c r="V74" s="1">
        <f>X74-W74</f>
        <v>4.3966287132341577</v>
      </c>
      <c r="W74" s="4">
        <f>BinaryTree_put("e",S0,Sigma,rf,q,U74,X,N)</f>
        <v>44.672157320629438</v>
      </c>
      <c r="X74" s="4">
        <f>BinaryTree_put("a",S0,Sigma,rf,q,U74,X,N)</f>
        <v>49.068786033863596</v>
      </c>
    </row>
    <row r="75" spans="1:24">
      <c r="A75" s="2">
        <v>312</v>
      </c>
      <c r="B75" s="1">
        <f>D75-C75</f>
        <v>5.4898787887157852E-2</v>
      </c>
      <c r="C75" s="4">
        <f>BinaryTree_put("e",A75,Sigma,rf,q,T,X,N)</f>
        <v>15.668602107522629</v>
      </c>
      <c r="D75" s="4">
        <f>BinaryTree_put("a",A75,Sigma,rf,q,T,X,N)</f>
        <v>15.723500895409787</v>
      </c>
      <c r="F75" s="2">
        <v>312</v>
      </c>
      <c r="G75" s="1">
        <f>I75-H75</f>
        <v>0.2748889083178554</v>
      </c>
      <c r="H75" s="4">
        <f>BinaryTree_put("e",S0,Sigma,rf,q,T,F75,N)</f>
        <v>27.352831099760365</v>
      </c>
      <c r="I75" s="4">
        <f>BinaryTree_put("a",S0,Sigma,rf,q,T,F75,N)</f>
        <v>27.627720008078221</v>
      </c>
      <c r="K75" s="2">
        <v>0.57000000000000006</v>
      </c>
      <c r="L75" s="1">
        <f>N75-M75</f>
        <v>0.40150364946390482</v>
      </c>
      <c r="M75" s="4">
        <f>BinaryTree_put("e",S0,K75,rf,q,T,X,N)</f>
        <v>35.886463579309847</v>
      </c>
      <c r="N75" s="4">
        <f>BinaryTree_put("a",S0,K75,rf,q,T,X,N)</f>
        <v>36.287967228773752</v>
      </c>
      <c r="P75" s="2">
        <v>0.57000000000000006</v>
      </c>
      <c r="Q75" s="1">
        <f>S75-R75</f>
        <v>1.330557124353394</v>
      </c>
      <c r="R75" s="4">
        <f>BinaryTree_put("e",S0,Sigma,P75,P75,T,X,N)</f>
        <v>16.093655593188274</v>
      </c>
      <c r="S75" s="4">
        <f>BinaryTree_put("a",S0,Sigma,P75,P75,T,X,N)</f>
        <v>17.424212717541668</v>
      </c>
      <c r="U75" s="2">
        <v>2.85</v>
      </c>
      <c r="V75" s="1">
        <f>X75-W75</f>
        <v>4.5003716395298241</v>
      </c>
      <c r="W75" s="4">
        <f>BinaryTree_put("e",S0,Sigma,rf,q,U75,X,N)</f>
        <v>44.881015327137277</v>
      </c>
      <c r="X75" s="4">
        <f>BinaryTree_put("a",S0,Sigma,rf,q,U75,X,N)</f>
        <v>49.381386966667101</v>
      </c>
    </row>
    <row r="76" spans="1:24">
      <c r="A76" s="2">
        <v>314</v>
      </c>
      <c r="B76" s="1">
        <f>D76-C76</f>
        <v>5.3472922797212163E-2</v>
      </c>
      <c r="C76" s="4">
        <f>BinaryTree_put("e",A76,Sigma,rf,q,T,X,N)</f>
        <v>15.121846053566935</v>
      </c>
      <c r="D76" s="4">
        <f>BinaryTree_put("a",A76,Sigma,rf,q,T,X,N)</f>
        <v>15.175318976364148</v>
      </c>
      <c r="F76" s="2">
        <v>314</v>
      </c>
      <c r="G76" s="1">
        <f>I76-H76</f>
        <v>0.28539244125671104</v>
      </c>
      <c r="H76" s="4">
        <f>BinaryTree_put("e",S0,Sigma,rf,q,T,F76,N)</f>
        <v>28.753446544510965</v>
      </c>
      <c r="I76" s="4">
        <f>BinaryTree_put("a",S0,Sigma,rf,q,T,F76,N)</f>
        <v>29.038838985767676</v>
      </c>
      <c r="K76" s="2">
        <v>0.58000000000000007</v>
      </c>
      <c r="L76" s="1">
        <f>N76-M76</f>
        <v>0.40849568173332784</v>
      </c>
      <c r="M76" s="4">
        <f>BinaryTree_put("e",S0,K76,rf,q,T,X,N)</f>
        <v>36.510248052144341</v>
      </c>
      <c r="N76" s="4">
        <f>BinaryTree_put("a",S0,K76,rf,q,T,X,N)</f>
        <v>36.918743733877669</v>
      </c>
      <c r="P76" s="2">
        <v>0.58000000000000007</v>
      </c>
      <c r="Q76" s="1">
        <f>S76-R76</f>
        <v>1.3504248348948451</v>
      </c>
      <c r="R76" s="4">
        <f>BinaryTree_put("e",S0,Sigma,P76,P76,T,X,N)</f>
        <v>16.040099384481227</v>
      </c>
      <c r="S76" s="4">
        <f>BinaryTree_put("a",S0,Sigma,P76,P76,T,X,N)</f>
        <v>17.390524219376072</v>
      </c>
      <c r="U76" s="2">
        <v>2.9</v>
      </c>
      <c r="V76" s="1">
        <f>X76-W76</f>
        <v>4.6044377321090195</v>
      </c>
      <c r="W76" s="4">
        <f>BinaryTree_put("e",S0,Sigma,rf,q,U76,X,N)</f>
        <v>45.083911809363443</v>
      </c>
      <c r="X76" s="4">
        <f>BinaryTree_put("a",S0,Sigma,rf,q,U76,X,N)</f>
        <v>49.688349541472462</v>
      </c>
    </row>
    <row r="77" spans="1:24">
      <c r="A77" s="2">
        <v>316</v>
      </c>
      <c r="B77" s="1">
        <f>D77-C77</f>
        <v>5.2047057707270028E-2</v>
      </c>
      <c r="C77" s="4">
        <f>BinaryTree_put("e",A77,Sigma,rf,q,T,X,N)</f>
        <v>14.57508999961126</v>
      </c>
      <c r="D77" s="4">
        <f>BinaryTree_put("a",A77,Sigma,rf,q,T,X,N)</f>
        <v>14.62713705731853</v>
      </c>
      <c r="F77" s="2">
        <v>316</v>
      </c>
      <c r="G77" s="1">
        <f>I77-H77</f>
        <v>0.29589597419557023</v>
      </c>
      <c r="H77" s="4">
        <f>BinaryTree_put("e",S0,Sigma,rf,q,T,F77,N)</f>
        <v>30.154061989261564</v>
      </c>
      <c r="I77" s="4">
        <f>BinaryTree_put("a",S0,Sigma,rf,q,T,F77,N)</f>
        <v>30.449957963457134</v>
      </c>
      <c r="K77" s="2">
        <v>0.59</v>
      </c>
      <c r="L77" s="1">
        <f>N77-M77</f>
        <v>0.41548502277306909</v>
      </c>
      <c r="M77" s="4">
        <f>BinaryTree_put("e",S0,K77,rf,q,T,X,N)</f>
        <v>37.133731804330921</v>
      </c>
      <c r="N77" s="4">
        <f>BinaryTree_put("a",S0,K77,rf,q,T,X,N)</f>
        <v>37.54921682710399</v>
      </c>
      <c r="P77" s="2">
        <v>0.59</v>
      </c>
      <c r="Q77" s="1">
        <f>S77-R77</f>
        <v>1.3701820889154881</v>
      </c>
      <c r="R77" s="4">
        <f>BinaryTree_put("e",S0,Sigma,P77,P77,T,X,N)</f>
        <v>15.986721399265701</v>
      </c>
      <c r="S77" s="4">
        <f>BinaryTree_put("a",S0,Sigma,P77,P77,T,X,N)</f>
        <v>17.356903488181189</v>
      </c>
      <c r="U77" s="2">
        <v>2.95</v>
      </c>
      <c r="V77" s="1">
        <f>X77-W77</f>
        <v>4.7088116941142957</v>
      </c>
      <c r="W77" s="4">
        <f>BinaryTree_put("e",S0,Sigma,rf,q,U77,X,N)</f>
        <v>45.280995528142107</v>
      </c>
      <c r="X77" s="4">
        <f>BinaryTree_put("a",S0,Sigma,rf,q,U77,X,N)</f>
        <v>49.989807222256402</v>
      </c>
    </row>
    <row r="78" spans="1:24">
      <c r="A78" s="2">
        <v>318</v>
      </c>
      <c r="B78" s="1">
        <f>D78-C78</f>
        <v>5.0621192617326116E-2</v>
      </c>
      <c r="C78" s="4">
        <f>BinaryTree_put("e",A78,Sigma,rf,q,T,X,N)</f>
        <v>14.028333945655577</v>
      </c>
      <c r="D78" s="4">
        <f>BinaryTree_put("a",A78,Sigma,rf,q,T,X,N)</f>
        <v>14.078955138272903</v>
      </c>
      <c r="F78" s="2">
        <v>318</v>
      </c>
      <c r="G78" s="1">
        <f>I78-H78</f>
        <v>0.30639950713441877</v>
      </c>
      <c r="H78" s="4">
        <f>BinaryTree_put("e",S0,Sigma,rf,q,T,F78,N)</f>
        <v>31.554677434012167</v>
      </c>
      <c r="I78" s="4">
        <f>BinaryTree_put("a",S0,Sigma,rf,q,T,F78,N)</f>
        <v>31.861076941146585</v>
      </c>
      <c r="K78" s="2">
        <v>0.6</v>
      </c>
      <c r="L78" s="1">
        <f>N78-M78</f>
        <v>0.42247162756719092</v>
      </c>
      <c r="M78" s="4">
        <f>BinaryTree_put("e",S0,K78,rf,q,T,X,N)</f>
        <v>37.756909824529117</v>
      </c>
      <c r="N78" s="4">
        <f>BinaryTree_put("a",S0,K78,rf,q,T,X,N)</f>
        <v>38.179381452096308</v>
      </c>
      <c r="P78" s="2">
        <v>0.6</v>
      </c>
      <c r="Q78" s="1">
        <f>S78-R78</f>
        <v>1.3898293375245387</v>
      </c>
      <c r="R78" s="4">
        <f>BinaryTree_put("e",S0,Sigma,P78,P78,T,X,N)</f>
        <v>15.933521044452419</v>
      </c>
      <c r="S78" s="4">
        <f>BinaryTree_put("a",S0,Sigma,P78,P78,T,X,N)</f>
        <v>17.323350381976958</v>
      </c>
      <c r="U78" s="2">
        <v>3</v>
      </c>
      <c r="V78" s="1">
        <f>X78-W78</f>
        <v>4.8134786212962055</v>
      </c>
      <c r="W78" s="4">
        <f>BinaryTree_put("e",S0,Sigma,rf,q,U78,X,N)</f>
        <v>45.472409601119281</v>
      </c>
      <c r="X78" s="4">
        <f>BinaryTree_put("a",S0,Sigma,rf,q,U78,X,N)</f>
        <v>50.285888222415487</v>
      </c>
    </row>
    <row r="79" spans="1:24">
      <c r="A79" s="2">
        <v>320</v>
      </c>
      <c r="B79" s="1">
        <f>D79-C79</f>
        <v>4.9195327527385757E-2</v>
      </c>
      <c r="C79" s="4">
        <f>BinaryTree_put("e",A79,Sigma,rf,q,T,X,N)</f>
        <v>13.481577891699885</v>
      </c>
      <c r="D79" s="4">
        <f>BinaryTree_put("a",A79,Sigma,rf,q,T,X,N)</f>
        <v>13.530773219227271</v>
      </c>
      <c r="F79" s="2">
        <v>320</v>
      </c>
      <c r="G79" s="1">
        <f>I79-H79</f>
        <v>0.31690304007327796</v>
      </c>
      <c r="H79" s="4">
        <f>BinaryTree_put("e",S0,Sigma,rf,q,T,F79,N)</f>
        <v>32.955292878762769</v>
      </c>
      <c r="I79" s="4">
        <f>BinaryTree_put("a",S0,Sigma,rf,q,T,F79,N)</f>
        <v>33.272195918836047</v>
      </c>
      <c r="K79" s="2">
        <v>0.61</v>
      </c>
      <c r="L79" s="1">
        <f>N79-M79</f>
        <v>0.429455451169936</v>
      </c>
      <c r="M79" s="4">
        <f>BinaryTree_put("e",S0,K79,rf,q,T,X,N)</f>
        <v>38.379777110177614</v>
      </c>
      <c r="N79" s="4">
        <f>BinaryTree_put("a",S0,K79,rf,q,T,X,N)</f>
        <v>38.80923256134755</v>
      </c>
      <c r="P79" s="2">
        <v>0.61</v>
      </c>
      <c r="Q79" s="1">
        <f>S79-R79</f>
        <v>1.4093670301667292</v>
      </c>
      <c r="R79" s="4">
        <f>BinaryTree_put("e",S0,Sigma,P79,P79,T,X,N)</f>
        <v>15.88049772892577</v>
      </c>
      <c r="S79" s="4">
        <f>BinaryTree_put("a",S0,Sigma,P79,P79,T,X,N)</f>
        <v>17.289864759092499</v>
      </c>
      <c r="U79" s="2">
        <v>3.05</v>
      </c>
      <c r="V79" s="1">
        <f>X79-W79</f>
        <v>4.9184239875873246</v>
      </c>
      <c r="W79" s="4">
        <f>BinaryTree_put("e",S0,Sigma,rf,q,U79,X,N)</f>
        <v>45.658291813109528</v>
      </c>
      <c r="X79" s="4">
        <f>BinaryTree_put("a",S0,Sigma,rf,q,U79,X,N)</f>
        <v>50.576715800696853</v>
      </c>
    </row>
    <row r="80" spans="1:24">
      <c r="A80" s="2">
        <v>322</v>
      </c>
      <c r="B80" s="1">
        <f>D80-C80</f>
        <v>4.7769462437443622E-2</v>
      </c>
      <c r="C80" s="4">
        <f>BinaryTree_put("e",A80,Sigma,rf,q,T,X,N)</f>
        <v>12.934821837744201</v>
      </c>
      <c r="D80" s="4">
        <f>BinaryTree_put("a",A80,Sigma,rf,q,T,X,N)</f>
        <v>12.982591300181644</v>
      </c>
      <c r="F80" s="2">
        <v>322</v>
      </c>
      <c r="G80" s="1">
        <f>I80-H80</f>
        <v>0.32740657301211229</v>
      </c>
      <c r="H80" s="4">
        <f>BinaryTree_put("e",S0,Sigma,rf,q,T,F80,N)</f>
        <v>34.355908323513383</v>
      </c>
      <c r="I80" s="4">
        <f>BinaryTree_put("a",S0,Sigma,rf,q,T,F80,N)</f>
        <v>34.683314896525495</v>
      </c>
      <c r="K80" s="2">
        <v>0.62</v>
      </c>
      <c r="L80" s="1">
        <f>N80-M80</f>
        <v>0.43643644870672205</v>
      </c>
      <c r="M80" s="4">
        <f>BinaryTree_put("e",S0,K80,rf,q,T,X,N)</f>
        <v>39.002328667633229</v>
      </c>
      <c r="N80" s="4">
        <f>BinaryTree_put("a",S0,K80,rf,q,T,X,N)</f>
        <v>39.438765116339951</v>
      </c>
      <c r="P80" s="2">
        <v>0.62</v>
      </c>
      <c r="Q80" s="1">
        <f>S80-R80</f>
        <v>1.4287956146281324</v>
      </c>
      <c r="R80" s="4">
        <f>BinaryTree_put("e",S0,Sigma,P80,P80,T,X,N)</f>
        <v>15.827650863537272</v>
      </c>
      <c r="S80" s="4">
        <f>BinaryTree_put("a",S0,Sigma,P80,P80,T,X,N)</f>
        <v>17.256446478165405</v>
      </c>
      <c r="U80" s="2">
        <v>3.1</v>
      </c>
      <c r="V80" s="1">
        <f>X80-W80</f>
        <v>5.023633631449961</v>
      </c>
      <c r="W80" s="4">
        <f>BinaryTree_put("e",S0,Sigma,rf,q,U80,X,N)</f>
        <v>45.838774904265577</v>
      </c>
      <c r="X80" s="4">
        <f>BinaryTree_put("a",S0,Sigma,rf,q,U80,X,N)</f>
        <v>50.862408535715538</v>
      </c>
    </row>
    <row r="81" spans="1:24">
      <c r="A81" s="2">
        <v>324</v>
      </c>
      <c r="B81" s="1">
        <f>D81-C81</f>
        <v>4.6343597347503263E-2</v>
      </c>
      <c r="C81" s="4">
        <f>BinaryTree_put("e",A81,Sigma,rf,q,T,X,N)</f>
        <v>12.388065783788509</v>
      </c>
      <c r="D81" s="4">
        <f>BinaryTree_put("a",A81,Sigma,rf,q,T,X,N)</f>
        <v>12.434409381136012</v>
      </c>
      <c r="F81" s="2">
        <v>324</v>
      </c>
      <c r="G81" s="1">
        <f>I81-H81</f>
        <v>0.33791010595096793</v>
      </c>
      <c r="H81" s="4">
        <f>BinaryTree_put("e",S0,Sigma,rf,q,T,F81,N)</f>
        <v>35.756523768263989</v>
      </c>
      <c r="I81" s="4">
        <f>BinaryTree_put("a",S0,Sigma,rf,q,T,F81,N)</f>
        <v>36.094433874214957</v>
      </c>
      <c r="K81" s="2">
        <v>0.63</v>
      </c>
      <c r="L81" s="1">
        <f>N81-M81</f>
        <v>0.44341457537539242</v>
      </c>
      <c r="M81" s="4">
        <f>BinaryTree_put("e",S0,K81,rf,q,T,X,N)</f>
        <v>39.624559512309219</v>
      </c>
      <c r="N81" s="4">
        <f>BinaryTree_put("a",S0,K81,rf,q,T,X,N)</f>
        <v>40.067974087684611</v>
      </c>
      <c r="P81" s="2">
        <v>0.63</v>
      </c>
      <c r="Q81" s="1">
        <f>S81-R81</f>
        <v>1.4481155370420602</v>
      </c>
      <c r="R81" s="4">
        <f>BinaryTree_put("e",S0,Sigma,P81,P81,T,X,N)</f>
        <v>15.774979861098984</v>
      </c>
      <c r="S81" s="4">
        <f>BinaryTree_put("a",S0,Sigma,P81,P81,T,X,N)</f>
        <v>17.223095398141044</v>
      </c>
      <c r="U81" s="2">
        <v>3.15</v>
      </c>
      <c r="V81" s="1">
        <f>X81-W81</f>
        <v>5.1290937429430841</v>
      </c>
      <c r="W81" s="4">
        <f>BinaryTree_put("e",S0,Sigma,rf,q,U81,X,N)</f>
        <v>46.013986837988973</v>
      </c>
      <c r="X81" s="4">
        <f>BinaryTree_put("a",S0,Sigma,rf,q,U81,X,N)</f>
        <v>51.143080580932057</v>
      </c>
    </row>
    <row r="82" spans="1:24">
      <c r="A82" s="2">
        <v>326</v>
      </c>
      <c r="B82" s="1">
        <f>D82-C82</f>
        <v>4.4917732257554022E-2</v>
      </c>
      <c r="C82" s="4">
        <f>BinaryTree_put("e",A82,Sigma,rf,q,T,X,N)</f>
        <v>11.841309729832833</v>
      </c>
      <c r="D82" s="4">
        <f>BinaryTree_put("a",A82,Sigma,rf,q,T,X,N)</f>
        <v>11.886227462090387</v>
      </c>
      <c r="F82" s="2">
        <v>326</v>
      </c>
      <c r="G82" s="1">
        <f>I82-H82</f>
        <v>0.34841363888983068</v>
      </c>
      <c r="H82" s="4">
        <f>BinaryTree_put("e",S0,Sigma,rf,q,T,F82,N)</f>
        <v>37.157139213014588</v>
      </c>
      <c r="I82" s="4">
        <f>BinaryTree_put("a",S0,Sigma,rf,q,T,F82,N)</f>
        <v>37.505552851904419</v>
      </c>
      <c r="K82" s="2">
        <v>0.64</v>
      </c>
      <c r="L82" s="1">
        <f>N82-M82</f>
        <v>0.45038978644717531</v>
      </c>
      <c r="M82" s="4">
        <f>BinaryTree_put("e",S0,K82,rf,q,T,X,N)</f>
        <v>40.246464668813388</v>
      </c>
      <c r="N82" s="4">
        <f>BinaryTree_put("a",S0,K82,rf,q,T,X,N)</f>
        <v>40.696854455260564</v>
      </c>
      <c r="P82" s="2">
        <v>0.64</v>
      </c>
      <c r="Q82" s="1">
        <f>S82-R82</f>
        <v>1.4673272418948677</v>
      </c>
      <c r="R82" s="4">
        <f>BinaryTree_put("e",S0,Sigma,P82,P82,T,X,N)</f>
        <v>15.722484136377002</v>
      </c>
      <c r="S82" s="4">
        <f>BinaryTree_put("a",S0,Sigma,P82,P82,T,X,N)</f>
        <v>17.18981137827187</v>
      </c>
      <c r="U82" s="2">
        <v>3.2</v>
      </c>
      <c r="V82" s="1">
        <f>X82-W82</f>
        <v>5.2347908514587687</v>
      </c>
      <c r="W82" s="4">
        <f>BinaryTree_put("e",S0,Sigma,rf,q,U82,X,N)</f>
        <v>46.184051050315773</v>
      </c>
      <c r="X82" s="4">
        <f>BinaryTree_put("a",S0,Sigma,rf,q,U82,X,N)</f>
        <v>51.418841901774542</v>
      </c>
    </row>
    <row r="83" spans="1:24">
      <c r="A83" s="2">
        <v>328</v>
      </c>
      <c r="B83" s="1">
        <f>D83-C83</f>
        <v>4.3491867167617215E-2</v>
      </c>
      <c r="C83" s="4">
        <f>BinaryTree_put("e",A83,Sigma,rf,q,T,X,N)</f>
        <v>11.294553675877136</v>
      </c>
      <c r="D83" s="4">
        <f>BinaryTree_put("a",A83,Sigma,rf,q,T,X,N)</f>
        <v>11.338045543044753</v>
      </c>
      <c r="F83" s="2">
        <v>328</v>
      </c>
      <c r="G83" s="1">
        <f>I83-H83</f>
        <v>0.35891717182868632</v>
      </c>
      <c r="H83" s="4">
        <f>BinaryTree_put("e",S0,Sigma,rf,q,T,F83,N)</f>
        <v>38.557754657765187</v>
      </c>
      <c r="I83" s="4">
        <f>BinaryTree_put("a",S0,Sigma,rf,q,T,F83,N)</f>
        <v>38.916671829593874</v>
      </c>
      <c r="K83" s="2">
        <v>0.65</v>
      </c>
      <c r="L83" s="1">
        <f>N83-M83</f>
        <v>0.45736203726787039</v>
      </c>
      <c r="M83" s="4">
        <f>BinaryTree_put("e",S0,K83,rf,q,T,X,N)</f>
        <v>40.868039171085108</v>
      </c>
      <c r="N83" s="4">
        <f>BinaryTree_put("a",S0,K83,rf,q,T,X,N)</f>
        <v>41.325401208352979</v>
      </c>
      <c r="P83" s="2">
        <v>0.65</v>
      </c>
      <c r="Q83" s="1">
        <f>S83-R83</f>
        <v>1.4864311720317609</v>
      </c>
      <c r="R83" s="4">
        <f>BinaryTree_put("e",S0,Sigma,P83,P83,T,X,N)</f>
        <v>15.670163106084956</v>
      </c>
      <c r="S83" s="4">
        <f>BinaryTree_put("a",S0,Sigma,P83,P83,T,X,N)</f>
        <v>17.156594278116717</v>
      </c>
      <c r="U83" s="2">
        <v>3.25</v>
      </c>
      <c r="V83" s="1">
        <f>X83-W83</f>
        <v>5.3407118140824466</v>
      </c>
      <c r="W83" s="4">
        <f>BinaryTree_put("e",S0,Sigma,rf,q,U83,X,N)</f>
        <v>46.349086682336448</v>
      </c>
      <c r="X83" s="4">
        <f>BinaryTree_put("a",S0,Sigma,rf,q,U83,X,N)</f>
        <v>51.689798496418895</v>
      </c>
    </row>
    <row r="84" spans="1:24">
      <c r="A84" s="2">
        <v>330</v>
      </c>
      <c r="B84" s="1">
        <f>D84-C84</f>
        <v>4.2066002077667974E-2</v>
      </c>
      <c r="C84" s="4">
        <f>BinaryTree_put("e",A84,Sigma,rf,q,T,X,N)</f>
        <v>10.74779762192146</v>
      </c>
      <c r="D84" s="4">
        <f>BinaryTree_put("a",A84,Sigma,rf,q,T,X,N)</f>
        <v>10.789863623999128</v>
      </c>
      <c r="F84" s="2">
        <v>330</v>
      </c>
      <c r="G84" s="1">
        <f>I84-H84</f>
        <v>0.36942070476753486</v>
      </c>
      <c r="H84" s="4">
        <f>BinaryTree_put("e",S0,Sigma,rf,q,T,F84,N)</f>
        <v>39.958370102515786</v>
      </c>
      <c r="I84" s="4">
        <f>BinaryTree_put("a",S0,Sigma,rf,q,T,F84,N)</f>
        <v>40.327790807283321</v>
      </c>
      <c r="K84" s="2">
        <v>0.66</v>
      </c>
      <c r="L84" s="1">
        <f>N84-M84</f>
        <v>0.46433128325895723</v>
      </c>
      <c r="M84" s="4">
        <f>BinaryTree_put("e",S0,K84,rf,q,T,X,N)</f>
        <v>41.489278062532613</v>
      </c>
      <c r="N84" s="4">
        <f>BinaryTree_put("a",S0,K84,rf,q,T,X,N)</f>
        <v>41.95360934579157</v>
      </c>
      <c r="P84" s="2">
        <v>0.66</v>
      </c>
      <c r="Q84" s="1">
        <f>S84-R84</f>
        <v>1.5054277686626225</v>
      </c>
      <c r="R84" s="4">
        <f>BinaryTree_put("e",S0,Sigma,P84,P84,T,X,N)</f>
        <v>15.618016188877521</v>
      </c>
      <c r="S84" s="4">
        <f>BinaryTree_put("a",S0,Sigma,P84,P84,T,X,N)</f>
        <v>17.123443957540143</v>
      </c>
      <c r="U84" s="2">
        <v>3.3</v>
      </c>
      <c r="V84" s="1">
        <f>X84-W84</f>
        <v>5.4468438045357885</v>
      </c>
      <c r="W84" s="4">
        <f>BinaryTree_put("e",S0,Sigma,rf,q,U84,X,N)</f>
        <v>46.509208797055713</v>
      </c>
      <c r="X84" s="4">
        <f>BinaryTree_put("a",S0,Sigma,rf,q,U84,X,N)</f>
        <v>51.956052601591502</v>
      </c>
    </row>
    <row r="85" spans="1:24">
      <c r="A85" s="2">
        <v>332</v>
      </c>
      <c r="B85" s="1">
        <f>D85-C85</f>
        <v>4.0640136987722286E-2</v>
      </c>
      <c r="C85" s="4">
        <f>BinaryTree_put("e",A85,Sigma,rf,q,T,X,N)</f>
        <v>10.201041567965781</v>
      </c>
      <c r="D85" s="4">
        <f>BinaryTree_put("a",A85,Sigma,rf,q,T,X,N)</f>
        <v>10.241681704953503</v>
      </c>
      <c r="F85" s="2">
        <v>332</v>
      </c>
      <c r="G85" s="1">
        <f>I85-H85</f>
        <v>0.37992423770639761</v>
      </c>
      <c r="H85" s="4">
        <f>BinaryTree_put("e",S0,Sigma,rf,q,T,F85,N)</f>
        <v>41.358985547266386</v>
      </c>
      <c r="I85" s="4">
        <f>BinaryTree_put("a",S0,Sigma,rf,q,T,F85,N)</f>
        <v>41.738909784972783</v>
      </c>
      <c r="K85" s="2">
        <v>0.67</v>
      </c>
      <c r="L85" s="1">
        <f>N85-M85</f>
        <v>0.47129747991863269</v>
      </c>
      <c r="M85" s="4">
        <f>BinaryTree_put("e",S0,K85,rf,q,T,X,N)</f>
        <v>42.110176396168995</v>
      </c>
      <c r="N85" s="4">
        <f>BinaryTree_put("a",S0,K85,rf,q,T,X,N)</f>
        <v>42.581473876087628</v>
      </c>
      <c r="P85" s="2">
        <v>0.67</v>
      </c>
      <c r="Q85" s="1">
        <f>S85-R85</f>
        <v>1.5243174713677128</v>
      </c>
      <c r="R85" s="4">
        <f>BinaryTree_put("e",S0,Sigma,P85,P85,T,X,N)</f>
        <v>15.566042805343983</v>
      </c>
      <c r="S85" s="4">
        <f>BinaryTree_put("a",S0,Sigma,P85,P85,T,X,N)</f>
        <v>17.090360276711696</v>
      </c>
      <c r="U85" s="2">
        <v>3.35</v>
      </c>
      <c r="V85" s="1">
        <f>X85-W85</f>
        <v>5.5531743026631091</v>
      </c>
      <c r="W85" s="4">
        <f>BinaryTree_put("e",S0,Sigma,rf,q,U85,X,N)</f>
        <v>46.664528581962195</v>
      </c>
      <c r="X85" s="4">
        <f>BinaryTree_put("a",S0,Sigma,rf,q,U85,X,N)</f>
        <v>52.217702884625304</v>
      </c>
    </row>
    <row r="86" spans="1:24">
      <c r="A86" s="2">
        <v>334</v>
      </c>
      <c r="B86" s="1">
        <f>D86-C86</f>
        <v>3.9214271897787256E-2</v>
      </c>
      <c r="C86" s="4">
        <f>BinaryTree_put("e",A86,Sigma,rf,q,T,X,N)</f>
        <v>9.6542855140100858</v>
      </c>
      <c r="D86" s="4">
        <f>BinaryTree_put("a",A86,Sigma,rf,q,T,X,N)</f>
        <v>9.6934997859078731</v>
      </c>
      <c r="F86" s="2">
        <v>334</v>
      </c>
      <c r="G86" s="1">
        <f>I86-H86</f>
        <v>0.39042777064524614</v>
      </c>
      <c r="H86" s="4">
        <f>BinaryTree_put("e",S0,Sigma,rf,q,T,F86,N)</f>
        <v>42.759600992016992</v>
      </c>
      <c r="I86" s="4">
        <f>BinaryTree_put("a",S0,Sigma,rf,q,T,F86,N)</f>
        <v>43.150028762662238</v>
      </c>
      <c r="K86" s="2">
        <v>0.68</v>
      </c>
      <c r="L86" s="1">
        <f>N86-M86</f>
        <v>0.4782605828229336</v>
      </c>
      <c r="M86" s="4">
        <f>BinaryTree_put("e",S0,K86,rf,q,T,X,N)</f>
        <v>42.730729234748352</v>
      </c>
      <c r="N86" s="4">
        <f>BinaryTree_put("a",S0,K86,rf,q,T,X,N)</f>
        <v>43.208989817571286</v>
      </c>
      <c r="P86" s="2">
        <v>0.68</v>
      </c>
      <c r="Q86" s="1">
        <f>S86-R86</f>
        <v>1.5431007181035135</v>
      </c>
      <c r="R86" s="4">
        <f>BinaryTree_put("e",S0,Sigma,P86,P86,T,X,N)</f>
        <v>15.514242378001757</v>
      </c>
      <c r="S86" s="4">
        <f>BinaryTree_put("a",S0,Sigma,P86,P86,T,X,N)</f>
        <v>17.057343096105271</v>
      </c>
      <c r="U86" s="2">
        <v>3.4</v>
      </c>
      <c r="V86" s="1">
        <f>X86-W86</f>
        <v>5.6596910844268251</v>
      </c>
      <c r="W86" s="4">
        <f>BinaryTree_put("e",S0,Sigma,rf,q,U86,X,N)</f>
        <v>46.815153538456002</v>
      </c>
      <c r="X86" s="4">
        <f>BinaryTree_put("a",S0,Sigma,rf,q,U86,X,N)</f>
        <v>52.474844622882827</v>
      </c>
    </row>
    <row r="87" spans="1:24">
      <c r="A87" s="2">
        <v>336</v>
      </c>
      <c r="B87" s="1">
        <f>D87-C87</f>
        <v>3.7788406807843344E-2</v>
      </c>
      <c r="C87" s="4">
        <f>BinaryTree_put("e",A87,Sigma,rf,q,T,X,N)</f>
        <v>9.1075294600543941</v>
      </c>
      <c r="D87" s="4">
        <f>BinaryTree_put("a",A87,Sigma,rf,q,T,X,N)</f>
        <v>9.1453178668622375</v>
      </c>
      <c r="F87" s="2">
        <v>336</v>
      </c>
      <c r="G87" s="1">
        <f>I87-H87</f>
        <v>0.40093130358410178</v>
      </c>
      <c r="H87" s="4">
        <f>BinaryTree_put("e",S0,Sigma,rf,q,T,F87,N)</f>
        <v>44.160216436767598</v>
      </c>
      <c r="I87" s="4">
        <f>BinaryTree_put("a",S0,Sigma,rf,q,T,F87,N)</f>
        <v>44.5611477403517</v>
      </c>
      <c r="K87" s="2">
        <v>0.69000000000000006</v>
      </c>
      <c r="L87" s="1">
        <f>N87-M87</f>
        <v>0.48522054762683808</v>
      </c>
      <c r="M87" s="4">
        <f>BinaryTree_put("e",S0,K87,rf,q,T,X,N)</f>
        <v>43.350931650900968</v>
      </c>
      <c r="N87" s="4">
        <f>BinaryTree_put("a",S0,K87,rf,q,T,X,N)</f>
        <v>43.836152198527806</v>
      </c>
      <c r="P87" s="2">
        <v>0.69000000000000006</v>
      </c>
      <c r="Q87" s="1">
        <f>S87-R87</f>
        <v>1.5617779452083855</v>
      </c>
      <c r="R87" s="4">
        <f>BinaryTree_put("e",S0,Sigma,P87,P87,T,X,N)</f>
        <v>15.462614331290007</v>
      </c>
      <c r="S87" s="4">
        <f>BinaryTree_put("a",S0,Sigma,P87,P87,T,X,N)</f>
        <v>17.024392276498393</v>
      </c>
      <c r="U87" s="2">
        <v>3.45</v>
      </c>
      <c r="V87" s="1">
        <f>X87-W87</f>
        <v>5.7663822123787583</v>
      </c>
      <c r="W87" s="4">
        <f>BinaryTree_put("e",S0,Sigma,rf,q,U87,X,N)</f>
        <v>46.961187659174279</v>
      </c>
      <c r="X87" s="4">
        <f>BinaryTree_put("a",S0,Sigma,rf,q,U87,X,N)</f>
        <v>52.727569871553037</v>
      </c>
    </row>
    <row r="88" spans="1:24">
      <c r="A88" s="2">
        <v>338</v>
      </c>
      <c r="B88" s="1">
        <f>D88-C88</f>
        <v>3.6362541717902985E-2</v>
      </c>
      <c r="C88" s="4">
        <f>BinaryTree_put("e",A88,Sigma,rf,q,T,X,N)</f>
        <v>8.5607734060987095</v>
      </c>
      <c r="D88" s="4">
        <f>BinaryTree_put("a",A88,Sigma,rf,q,T,X,N)</f>
        <v>8.5971359478166125</v>
      </c>
      <c r="F88" s="2">
        <v>338</v>
      </c>
      <c r="G88" s="1">
        <f>I88-H88</f>
        <v>0.41143483652294321</v>
      </c>
      <c r="H88" s="4">
        <f>BinaryTree_put("e",S0,Sigma,rf,q,T,F88,N)</f>
        <v>45.560831881518205</v>
      </c>
      <c r="I88" s="4">
        <f>BinaryTree_put("a",S0,Sigma,rf,q,T,F88,N)</f>
        <v>45.972266718041148</v>
      </c>
      <c r="K88" s="2">
        <v>0.70000000000000007</v>
      </c>
      <c r="L88" s="1">
        <f>N88-M88</f>
        <v>0.49217733006526743</v>
      </c>
      <c r="M88" s="4">
        <f>BinaryTree_put("e",S0,K88,rf,q,T,X,N)</f>
        <v>43.97077872726797</v>
      </c>
      <c r="N88" s="4">
        <f>BinaryTree_put("a",S0,K88,rf,q,T,X,N)</f>
        <v>44.462956057333237</v>
      </c>
      <c r="P88" s="2">
        <v>0.70000000000000007</v>
      </c>
      <c r="Q88" s="1">
        <f>S88-R88</f>
        <v>1.5803495874083051</v>
      </c>
      <c r="R88" s="4">
        <f>BinaryTree_put("e",S0,Sigma,P88,P88,T,X,N)</f>
        <v>15.411158091563243</v>
      </c>
      <c r="S88" s="4">
        <f>BinaryTree_put("a",S0,Sigma,P88,P88,T,X,N)</f>
        <v>16.991507678971548</v>
      </c>
      <c r="U88" s="2">
        <v>3.5</v>
      </c>
      <c r="V88" s="1">
        <f>X88-W88</f>
        <v>5.8732360265780841</v>
      </c>
      <c r="W88" s="4">
        <f>BinaryTree_put("e",S0,Sigma,rf,q,U88,X,N)</f>
        <v>47.102731594158477</v>
      </c>
      <c r="X88" s="4">
        <f>BinaryTree_put("a",S0,Sigma,rf,q,U88,X,N)</f>
        <v>52.975967620736562</v>
      </c>
    </row>
    <row r="89" spans="1:24">
      <c r="A89" s="2">
        <v>340</v>
      </c>
      <c r="B89" s="1">
        <f>D89-C89</f>
        <v>3.4936676627953744E-2</v>
      </c>
      <c r="C89" s="4">
        <f>BinaryTree_put("e",A89,Sigma,rf,q,T,X,N)</f>
        <v>8.014017352143032</v>
      </c>
      <c r="D89" s="4">
        <f>BinaryTree_put("a",A89,Sigma,rf,q,T,X,N)</f>
        <v>8.0489540287709858</v>
      </c>
      <c r="F89" s="2">
        <v>340</v>
      </c>
      <c r="G89" s="1">
        <f>I89-H89</f>
        <v>0.42193836946179886</v>
      </c>
      <c r="H89" s="4">
        <f>BinaryTree_put("e",S0,Sigma,rf,q,T,F89,N)</f>
        <v>46.961447326268804</v>
      </c>
      <c r="I89" s="4">
        <f>BinaryTree_put("a",S0,Sigma,rf,q,T,F89,N)</f>
        <v>47.383385695730603</v>
      </c>
      <c r="K89" s="2">
        <v>0.71000000000000008</v>
      </c>
      <c r="L89" s="1">
        <f>N89-M89</f>
        <v>0.49913088595436506</v>
      </c>
      <c r="M89" s="4">
        <f>BinaryTree_put("e",S0,K89,rf,q,T,X,N)</f>
        <v>44.590265556635707</v>
      </c>
      <c r="N89" s="4">
        <f>BinaryTree_put("a",S0,K89,rf,q,T,X,N)</f>
        <v>45.089396442590072</v>
      </c>
      <c r="P89" s="2">
        <v>0.71000000000000008</v>
      </c>
      <c r="Q89" s="1">
        <f>S89-R89</f>
        <v>1.5988160778225566</v>
      </c>
      <c r="R89" s="4">
        <f>BinaryTree_put("e",S0,Sigma,P89,P89,T,X,N)</f>
        <v>15.35987308708494</v>
      </c>
      <c r="S89" s="4">
        <f>BinaryTree_put("a",S0,Sigma,P89,P89,T,X,N)</f>
        <v>16.958689164907497</v>
      </c>
      <c r="U89" s="2">
        <v>3.55</v>
      </c>
      <c r="V89" s="1">
        <f>X89-W89</f>
        <v>5.9802411359280683</v>
      </c>
      <c r="W89" s="4">
        <f>BinaryTree_put("e",S0,Sigma,rf,q,U89,X,N)</f>
        <v>47.239882806720416</v>
      </c>
      <c r="X89" s="4">
        <f>BinaryTree_put("a",S0,Sigma,rf,q,U89,X,N)</f>
        <v>53.220123942648485</v>
      </c>
    </row>
    <row r="90" spans="1:24">
      <c r="A90" s="2">
        <v>342</v>
      </c>
      <c r="B90" s="1">
        <f>D90-C90</f>
        <v>3.3510811538016938E-2</v>
      </c>
      <c r="C90" s="4">
        <f>BinaryTree_put("e",A90,Sigma,rf,q,T,X,N)</f>
        <v>7.4672612981873403</v>
      </c>
      <c r="D90" s="4">
        <f>BinaryTree_put("a",A90,Sigma,rf,q,T,X,N)</f>
        <v>7.5007721097253572</v>
      </c>
      <c r="F90" s="2">
        <v>342</v>
      </c>
      <c r="G90" s="1">
        <f>I90-H90</f>
        <v>0.43244190240064739</v>
      </c>
      <c r="H90" s="4">
        <f>BinaryTree_put("e",S0,Sigma,rf,q,T,F90,N)</f>
        <v>48.362062771019417</v>
      </c>
      <c r="I90" s="4">
        <f>BinaryTree_put("a",S0,Sigma,rf,q,T,F90,N)</f>
        <v>48.794504673420064</v>
      </c>
      <c r="K90" s="2">
        <v>0.72</v>
      </c>
      <c r="L90" s="1">
        <f>N90-M90</f>
        <v>0.50608117119226392</v>
      </c>
      <c r="M90" s="4">
        <f>BinaryTree_put("e",S0,K90,rf,q,T,X,N)</f>
        <v>45.209387242069504</v>
      </c>
      <c r="N90" s="4">
        <f>BinaryTree_put("a",S0,K90,rf,q,T,X,N)</f>
        <v>45.715468413261767</v>
      </c>
      <c r="P90" s="2">
        <v>0.72</v>
      </c>
      <c r="Q90" s="1">
        <f>S90-R90</f>
        <v>1.617177847969419</v>
      </c>
      <c r="R90" s="4">
        <f>BinaryTree_put("e",S0,Sigma,P90,P90,T,X,N)</f>
        <v>15.308758748021177</v>
      </c>
      <c r="S90" s="4">
        <f>BinaryTree_put("a",S0,Sigma,P90,P90,T,X,N)</f>
        <v>16.925936595990596</v>
      </c>
      <c r="U90" s="2">
        <v>3.6</v>
      </c>
      <c r="V90" s="1">
        <f>X90-W90</f>
        <v>6.0873864099056902</v>
      </c>
      <c r="W90" s="4">
        <f>BinaryTree_put("e",S0,Sigma,rf,q,U90,X,N)</f>
        <v>47.372735719788096</v>
      </c>
      <c r="X90" s="4">
        <f>BinaryTree_put("a",S0,Sigma,rf,q,U90,X,N)</f>
        <v>53.460122129693787</v>
      </c>
    </row>
    <row r="91" spans="1:24">
      <c r="A91" s="2">
        <v>344</v>
      </c>
      <c r="B91" s="1">
        <f>D91-C91</f>
        <v>3.2084946448074803E-2</v>
      </c>
      <c r="C91" s="4">
        <f>BinaryTree_put("e",A91,Sigma,rf,q,T,X,N)</f>
        <v>6.9205052442316584</v>
      </c>
      <c r="D91" s="4">
        <f>BinaryTree_put("a",A91,Sigma,rf,q,T,X,N)</f>
        <v>6.9525901906797332</v>
      </c>
      <c r="F91" s="2">
        <v>344</v>
      </c>
      <c r="G91" s="1">
        <f>I91-H91</f>
        <v>0.44294543533950304</v>
      </c>
      <c r="H91" s="4">
        <f>BinaryTree_put("e",S0,Sigma,rf,q,T,F91,N)</f>
        <v>49.762678215770016</v>
      </c>
      <c r="I91" s="4">
        <f>BinaryTree_put("a",S0,Sigma,rf,q,T,F91,N)</f>
        <v>50.205623651109519</v>
      </c>
      <c r="K91" s="2">
        <v>0.73</v>
      </c>
      <c r="L91" s="1">
        <f>N91-M91</f>
        <v>0.51302814176052181</v>
      </c>
      <c r="M91" s="4">
        <f>BinaryTree_put("e",S0,K91,rf,q,T,X,N)</f>
        <v>45.828138897046315</v>
      </c>
      <c r="N91" s="4">
        <f>BinaryTree_put("a",S0,K91,rf,q,T,X,N)</f>
        <v>46.341167038806837</v>
      </c>
      <c r="P91" s="2">
        <v>0.73</v>
      </c>
      <c r="Q91" s="1">
        <f>S91-R91</f>
        <v>1.6354353277717912</v>
      </c>
      <c r="R91" s="4">
        <f>BinaryTree_put("e",S0,Sigma,P91,P91,T,X,N)</f>
        <v>15.257814506434332</v>
      </c>
      <c r="S91" s="4">
        <f>BinaryTree_put("a",S0,Sigma,P91,P91,T,X,N)</f>
        <v>16.893249834206124</v>
      </c>
      <c r="U91" s="2">
        <v>3.65</v>
      </c>
      <c r="V91" s="1">
        <f>X91-W91</f>
        <v>6.1946609706612037</v>
      </c>
      <c r="W91" s="4">
        <f>BinaryTree_put("e",S0,Sigma,rf,q,U91,X,N)</f>
        <v>47.50138185344121</v>
      </c>
      <c r="X91" s="4">
        <f>BinaryTree_put("a",S0,Sigma,rf,q,U91,X,N)</f>
        <v>53.696042824102413</v>
      </c>
    </row>
    <row r="92" spans="1:24">
      <c r="A92" s="2">
        <v>346</v>
      </c>
      <c r="B92" s="1">
        <f>D92-C92</f>
        <v>3.065908135812645E-2</v>
      </c>
      <c r="C92" s="4">
        <f>BinaryTree_put("e",A92,Sigma,rf,q,T,X,N)</f>
        <v>6.3737491902759809</v>
      </c>
      <c r="D92" s="4">
        <f>BinaryTree_put("a",A92,Sigma,rf,q,T,X,N)</f>
        <v>6.4044082716341073</v>
      </c>
      <c r="F92" s="2">
        <v>346</v>
      </c>
      <c r="G92" s="1">
        <f>I92-H92</f>
        <v>0.45344896827835157</v>
      </c>
      <c r="H92" s="4">
        <f>BinaryTree_put("e",S0,Sigma,rf,q,T,F92,N)</f>
        <v>51.163293660520623</v>
      </c>
      <c r="I92" s="4">
        <f>BinaryTree_put("a",S0,Sigma,rf,q,T,F92,N)</f>
        <v>51.616742628798974</v>
      </c>
      <c r="K92" s="2">
        <v>0.74</v>
      </c>
      <c r="L92" s="1">
        <f>N92-M92</f>
        <v>0.51997175372483895</v>
      </c>
      <c r="M92" s="4">
        <f>BinaryTree_put("e",S0,K92,rf,q,T,X,N)</f>
        <v>46.446515645588008</v>
      </c>
      <c r="N92" s="4">
        <f>BinaryTree_put("a",S0,K92,rf,q,T,X,N)</f>
        <v>46.966487399312847</v>
      </c>
      <c r="P92" s="2">
        <v>0.74</v>
      </c>
      <c r="Q92" s="1">
        <f>S92-R92</f>
        <v>1.6535889455628201</v>
      </c>
      <c r="R92" s="4">
        <f>BinaryTree_put("e",S0,Sigma,P92,P92,T,X,N)</f>
        <v>15.207039796276764</v>
      </c>
      <c r="S92" s="4">
        <f>BinaryTree_put("a",S0,Sigma,P92,P92,T,X,N)</f>
        <v>16.860628741839584</v>
      </c>
      <c r="U92" s="2">
        <v>3.7</v>
      </c>
      <c r="V92" s="1">
        <f>X92-W92</f>
        <v>6.302054185465316</v>
      </c>
      <c r="W92" s="4">
        <f>BinaryTree_put("e",S0,Sigma,rf,q,U92,X,N)</f>
        <v>47.625909954285198</v>
      </c>
      <c r="X92" s="4">
        <f>BinaryTree_put("a",S0,Sigma,rf,q,U92,X,N)</f>
        <v>53.927964139750515</v>
      </c>
    </row>
    <row r="93" spans="1:24">
      <c r="A93" s="2">
        <v>348</v>
      </c>
      <c r="B93" s="1">
        <f>D93-C93</f>
        <v>2.9233216268190532E-2</v>
      </c>
      <c r="C93" s="4">
        <f>BinaryTree_put("e",A93,Sigma,rf,q,T,X,N)</f>
        <v>5.8269931363202883</v>
      </c>
      <c r="D93" s="4">
        <f>BinaryTree_put("a",A93,Sigma,rf,q,T,X,N)</f>
        <v>5.8562263525884788</v>
      </c>
      <c r="F93" s="2">
        <v>348</v>
      </c>
      <c r="G93" s="1">
        <f>I93-H93</f>
        <v>0.46395250121720721</v>
      </c>
      <c r="H93" s="4">
        <f>BinaryTree_put("e",S0,Sigma,rf,q,T,F93,N)</f>
        <v>52.563909105271229</v>
      </c>
      <c r="I93" s="4">
        <f>BinaryTree_put("a",S0,Sigma,rf,q,T,F93,N)</f>
        <v>53.027861606488436</v>
      </c>
      <c r="K93" s="2">
        <v>0.75</v>
      </c>
      <c r="L93" s="1">
        <f>N93-M93</f>
        <v>0.5269119632362802</v>
      </c>
      <c r="M93" s="4">
        <f>BinaryTree_put("e",S0,K93,rf,q,T,X,N)</f>
        <v>47.064512622392606</v>
      </c>
      <c r="N93" s="4">
        <f>BinaryTree_put("a",S0,K93,rf,q,T,X,N)</f>
        <v>47.591424585628886</v>
      </c>
      <c r="P93" s="2">
        <v>0.75</v>
      </c>
      <c r="Q93" s="1">
        <f>S93-R93</f>
        <v>1.6716391280915754</v>
      </c>
      <c r="R93" s="4">
        <f>BinaryTree_put("e",S0,Sigma,P93,P93,T,X,N)</f>
        <v>15.156434053384489</v>
      </c>
      <c r="S93" s="4">
        <f>BinaryTree_put("a",S0,Sigma,P93,P93,T,X,N)</f>
        <v>16.828073181476064</v>
      </c>
      <c r="U93" s="2">
        <v>3.75</v>
      </c>
      <c r="V93" s="1">
        <f>X93-W93</f>
        <v>6.4095556594838285</v>
      </c>
      <c r="W93" s="4">
        <f>BinaryTree_put("e",S0,Sigma,rf,q,U93,X,N)</f>
        <v>47.746406117256804</v>
      </c>
      <c r="X93" s="4">
        <f>BinaryTree_put("a",S0,Sigma,rf,q,U93,X,N)</f>
        <v>54.155961776740632</v>
      </c>
    </row>
    <row r="94" spans="1:24">
      <c r="A94" s="2">
        <v>350</v>
      </c>
      <c r="B94" s="1">
        <f>D94-C94</f>
        <v>2.7807351178249284E-2</v>
      </c>
      <c r="C94" s="4">
        <f>BinaryTree_put("e",A94,Sigma,rf,q,T,X,N)</f>
        <v>5.280237082364593</v>
      </c>
      <c r="D94" s="4">
        <f>BinaryTree_put("a",A94,Sigma,rf,q,T,X,N)</f>
        <v>5.3080444335428423</v>
      </c>
      <c r="F94" s="2">
        <v>350</v>
      </c>
      <c r="G94" s="1">
        <f>I94-H94</f>
        <v>0.47445603415606286</v>
      </c>
      <c r="H94" s="4">
        <f>BinaryTree_put("e",S0,Sigma,rf,q,T,F94,N)</f>
        <v>53.964524550021828</v>
      </c>
      <c r="I94" s="4">
        <f>BinaryTree_put("a",S0,Sigma,rf,q,T,F94,N)</f>
        <v>54.438980584177891</v>
      </c>
      <c r="K94" s="2">
        <v>0.76</v>
      </c>
      <c r="L94" s="1">
        <f>N94-M94</f>
        <v>0.53384872653247584</v>
      </c>
      <c r="M94" s="4">
        <f>BinaryTree_put("e",S0,K94,rf,q,T,X,N)</f>
        <v>47.682124972966186</v>
      </c>
      <c r="N94" s="4">
        <f>BinaryTree_put("a",S0,K94,rf,q,T,X,N)</f>
        <v>48.215973699498662</v>
      </c>
      <c r="P94" s="2">
        <v>0.76</v>
      </c>
      <c r="Q94" s="1">
        <f>S94-R94</f>
        <v>1.6895863005285623</v>
      </c>
      <c r="R94" s="4">
        <f>BinaryTree_put("e",S0,Sigma,P94,P94,T,X,N)</f>
        <v>15.105996715470956</v>
      </c>
      <c r="S94" s="4">
        <f>BinaryTree_put("a",S0,Sigma,P94,P94,T,X,N)</f>
        <v>16.795583015999519</v>
      </c>
      <c r="U94" s="2">
        <v>3.8</v>
      </c>
      <c r="V94" s="1">
        <f>X94-W94</f>
        <v>6.5171552288610073</v>
      </c>
      <c r="W94" s="4">
        <f>BinaryTree_put("e",S0,Sigma,rf,q,U94,X,N)</f>
        <v>47.862953900402303</v>
      </c>
      <c r="X94" s="4">
        <f>BinaryTree_put("a",S0,Sigma,rf,q,U94,X,N)</f>
        <v>54.38010912926331</v>
      </c>
    </row>
    <row r="95" spans="1:24">
      <c r="A95" s="2">
        <v>352</v>
      </c>
      <c r="B95" s="1">
        <f>D95-C95</f>
        <v>2.638148608830182E-2</v>
      </c>
      <c r="C95" s="4">
        <f>BinaryTree_put("e",A95,Sigma,rf,q,T,X,N)</f>
        <v>4.7334810284089128</v>
      </c>
      <c r="D95" s="4">
        <f>BinaryTree_put("a",A95,Sigma,rf,q,T,X,N)</f>
        <v>4.7598625144972146</v>
      </c>
      <c r="F95" s="2">
        <v>352</v>
      </c>
      <c r="G95" s="1">
        <f>I95-H95</f>
        <v>0.59093985193474907</v>
      </c>
      <c r="H95" s="4">
        <f>BinaryTree_put("e",S0,Sigma,rf,q,T,F95,N)</f>
        <v>55.365139994772427</v>
      </c>
      <c r="I95" s="4">
        <f>BinaryTree_put("a",S0,Sigma,rf,q,T,F95,N)</f>
        <v>55.956079846707176</v>
      </c>
      <c r="K95" s="2">
        <v>0.77</v>
      </c>
      <c r="L95" s="1">
        <f>N95-M95</f>
        <v>0.54078199993836762</v>
      </c>
      <c r="M95" s="4">
        <f>BinaryTree_put("e",S0,K95,rf,q,T,X,N)</f>
        <v>48.299347853753375</v>
      </c>
      <c r="N95" s="4">
        <f>BinaryTree_put("a",S0,K95,rf,q,T,X,N)</f>
        <v>48.840129853691742</v>
      </c>
      <c r="P95" s="2">
        <v>0.77</v>
      </c>
      <c r="Q95" s="1">
        <f>S95-R95</f>
        <v>1.7074308864713483</v>
      </c>
      <c r="R95" s="4">
        <f>BinaryTree_put("e",S0,Sigma,P95,P95,T,X,N)</f>
        <v>15.055727222120792</v>
      </c>
      <c r="S95" s="4">
        <f>BinaryTree_put("a",S0,Sigma,P95,P95,T,X,N)</f>
        <v>16.76315810859214</v>
      </c>
      <c r="U95" s="2">
        <v>3.85</v>
      </c>
      <c r="V95" s="1">
        <f>X95-W95</f>
        <v>6.6248429540942197</v>
      </c>
      <c r="W95" s="4">
        <f>BinaryTree_put("e",S0,Sigma,rf,q,U95,X,N)</f>
        <v>47.975634433125641</v>
      </c>
      <c r="X95" s="4">
        <f>BinaryTree_put("a",S0,Sigma,rf,q,U95,X,N)</f>
        <v>54.600477387219861</v>
      </c>
    </row>
    <row r="96" spans="1:24">
      <c r="A96" s="2">
        <v>354</v>
      </c>
      <c r="B96" s="1">
        <f>D96-C96</f>
        <v>2.4955620998358796E-2</v>
      </c>
      <c r="C96" s="4">
        <f>BinaryTree_put("e",A96,Sigma,rf,q,T,X,N)</f>
        <v>4.1867249744532211</v>
      </c>
      <c r="D96" s="4">
        <f>BinaryTree_put("a",A96,Sigma,rf,q,T,X,N)</f>
        <v>4.2116805954515799</v>
      </c>
      <c r="F96" s="2">
        <v>354</v>
      </c>
      <c r="G96" s="1">
        <f>I96-H96</f>
        <v>0.72435245634295597</v>
      </c>
      <c r="H96" s="4">
        <f>BinaryTree_put("e",S0,Sigma,rf,q,T,F96,N)</f>
        <v>56.765755439523033</v>
      </c>
      <c r="I96" s="4">
        <f>BinaryTree_put("a",S0,Sigma,rf,q,T,F96,N)</f>
        <v>57.490107895865989</v>
      </c>
      <c r="K96" s="2">
        <v>0.78</v>
      </c>
      <c r="L96" s="1">
        <f>N96-M96</f>
        <v>0.54771173986754462</v>
      </c>
      <c r="M96" s="4">
        <f>BinaryTree_put("e",S0,K96,rf,q,T,X,N)</f>
        <v>48.916176432267697</v>
      </c>
      <c r="N96" s="4">
        <f>BinaryTree_put("a",S0,K96,rf,q,T,X,N)</f>
        <v>49.463888172135242</v>
      </c>
      <c r="P96" s="2">
        <v>0.78</v>
      </c>
      <c r="Q96" s="1">
        <f>S96-R96</f>
        <v>1.7251733079501097</v>
      </c>
      <c r="R96" s="4">
        <f>BinaryTree_put("e",S0,Sigma,P96,P96,T,X,N)</f>
        <v>15.005625014783538</v>
      </c>
      <c r="S96" s="4">
        <f>BinaryTree_put("a",S0,Sigma,P96,P96,T,X,N)</f>
        <v>16.730798322733648</v>
      </c>
      <c r="U96" s="2">
        <v>3.9</v>
      </c>
      <c r="V96" s="1">
        <f>X96-W96</f>
        <v>6.7326091136832105</v>
      </c>
      <c r="W96" s="4">
        <f>BinaryTree_put("e",S0,Sigma,rf,q,U96,X,N)</f>
        <v>48.084526518361066</v>
      </c>
      <c r="X96" s="4">
        <f>BinaryTree_put("a",S0,Sigma,rf,q,U96,X,N)</f>
        <v>54.817135632044277</v>
      </c>
    </row>
    <row r="97" spans="1:24">
      <c r="A97" s="2">
        <v>356</v>
      </c>
      <c r="B97" s="1">
        <f>D97-C97</f>
        <v>2.3529755908420658E-2</v>
      </c>
      <c r="C97" s="4">
        <f>BinaryTree_put("e",A97,Sigma,rf,q,T,X,N)</f>
        <v>3.6399689204975409</v>
      </c>
      <c r="D97" s="4">
        <f>BinaryTree_put("a",A97,Sigma,rf,q,T,X,N)</f>
        <v>3.6634986764059616</v>
      </c>
      <c r="F97" s="2">
        <v>356</v>
      </c>
      <c r="G97" s="1">
        <f>I97-H97</f>
        <v>0.93106890792227404</v>
      </c>
      <c r="H97" s="4">
        <f>BinaryTree_put("e",S0,Sigma,rf,q,T,F97,N)</f>
        <v>58.166370884273633</v>
      </c>
      <c r="I97" s="4">
        <f>BinaryTree_put("a",S0,Sigma,rf,q,T,F97,N)</f>
        <v>59.097439792195907</v>
      </c>
      <c r="K97" s="2">
        <v>0.79</v>
      </c>
      <c r="L97" s="1">
        <f>N97-M97</f>
        <v>0.55463790282305325</v>
      </c>
      <c r="M97" s="4">
        <f>BinaryTree_put("e",S0,K97,rf,q,T,X,N)</f>
        <v>49.532605887221258</v>
      </c>
      <c r="N97" s="4">
        <f>BinaryTree_put("a",S0,K97,rf,q,T,X,N)</f>
        <v>50.087243790044312</v>
      </c>
      <c r="P97" s="2">
        <v>0.79</v>
      </c>
      <c r="Q97" s="1">
        <f>S97-R97</f>
        <v>1.7428139854331466</v>
      </c>
      <c r="R97" s="4">
        <f>BinaryTree_put("e",S0,Sigma,P97,P97,T,X,N)</f>
        <v>14.955689536767503</v>
      </c>
      <c r="S97" s="4">
        <f>BinaryTree_put("a",S0,Sigma,P97,P97,T,X,N)</f>
        <v>16.698503522200649</v>
      </c>
      <c r="U97" s="2">
        <v>3.95</v>
      </c>
      <c r="V97" s="1">
        <f>X97-W97</f>
        <v>6.8404441980393784</v>
      </c>
      <c r="W97" s="4">
        <f>BinaryTree_put("e",S0,Sigma,rf,q,U97,X,N)</f>
        <v>48.189706729088485</v>
      </c>
      <c r="X97" s="4">
        <f>BinaryTree_put("a",S0,Sigma,rf,q,U97,X,N)</f>
        <v>55.030150927127863</v>
      </c>
    </row>
    <row r="98" spans="1:24">
      <c r="A98" s="2">
        <v>358</v>
      </c>
      <c r="B98" s="1">
        <f>D98-C98</f>
        <v>0</v>
      </c>
      <c r="C98" s="4">
        <f>BinaryTree_put("e",A98,Sigma,rf,q,T,X,N)</f>
        <v>3.3749876542092108</v>
      </c>
      <c r="D98" s="4">
        <f>BinaryTree_put("a",A98,Sigma,rf,q,T,X,N)</f>
        <v>3.3749876542092108</v>
      </c>
      <c r="F98" s="2">
        <v>358</v>
      </c>
      <c r="G98" s="1">
        <f>I98-H98</f>
        <v>1.0636094218769756</v>
      </c>
      <c r="H98" s="4">
        <f>BinaryTree_put("e",S0,Sigma,rf,q,T,F98,N)</f>
        <v>59.848761116691605</v>
      </c>
      <c r="I98" s="4">
        <f>BinaryTree_put("a",S0,Sigma,rf,q,T,F98,N)</f>
        <v>60.912370538568581</v>
      </c>
      <c r="K98" s="2">
        <v>0.8</v>
      </c>
      <c r="L98" s="1">
        <f>N98-M98</f>
        <v>0.56156044539861227</v>
      </c>
      <c r="M98" s="4">
        <f>BinaryTree_put("e",S0,K98,rf,q,T,X,N)</f>
        <v>50.148631408653557</v>
      </c>
      <c r="N98" s="4">
        <f>BinaryTree_put("a",S0,K98,rf,q,T,X,N)</f>
        <v>50.710191854052169</v>
      </c>
      <c r="P98" s="2">
        <v>0.8</v>
      </c>
      <c r="Q98" s="1">
        <f>S98-R98</f>
        <v>1.7603533378324361</v>
      </c>
      <c r="R98" s="4">
        <f>BinaryTree_put("e",S0,Sigma,P98,P98,T,X,N)</f>
        <v>14.905920233233514</v>
      </c>
      <c r="S98" s="4">
        <f>BinaryTree_put("a",S0,Sigma,P98,P98,T,X,N)</f>
        <v>16.66627357106595</v>
      </c>
      <c r="U98" s="2">
        <v>4</v>
      </c>
      <c r="V98" s="1">
        <f>X98-W98</f>
        <v>6.9483389036405327</v>
      </c>
      <c r="W98" s="4">
        <f>BinaryTree_put("e",S0,Sigma,rf,q,U98,X,N)</f>
        <v>48.291249499576097</v>
      </c>
      <c r="X98" s="4">
        <f>BinaryTree_put("a",S0,Sigma,rf,q,U98,X,N)</f>
        <v>55.239588403216629</v>
      </c>
    </row>
    <row r="99" spans="1:24">
      <c r="A99" s="2">
        <v>360</v>
      </c>
      <c r="B99" s="1">
        <f>D99-C99</f>
        <v>0</v>
      </c>
      <c r="C99" s="4">
        <f>BinaryTree_put("e",A99,Sigma,rf,q,T,X,N)</f>
        <v>3.2730161747369579</v>
      </c>
      <c r="D99" s="4">
        <f>BinaryTree_put("a",A99,Sigma,rf,q,T,X,N)</f>
        <v>3.2730161747369579</v>
      </c>
      <c r="F99" s="2">
        <v>360</v>
      </c>
      <c r="G99" s="1">
        <f>I99-H99</f>
        <v>1.0922076946379491</v>
      </c>
      <c r="H99" s="4">
        <f>BinaryTree_put("e",S0,Sigma,rf,q,T,F99,N)</f>
        <v>61.69416113592564</v>
      </c>
      <c r="I99" s="4">
        <f>BinaryTree_put("a",S0,Sigma,rf,q,T,F99,N)</f>
        <v>62.786368830563589</v>
      </c>
      <c r="K99" s="2">
        <v>0.81</v>
      </c>
      <c r="L99" s="1">
        <f>N99-M99</f>
        <v>0.5684793242795223</v>
      </c>
      <c r="M99" s="4">
        <f>BinaryTree_put("e",S0,K99,rf,q,T,X,N)</f>
        <v>50.764248198060102</v>
      </c>
      <c r="N99" s="4">
        <f>BinaryTree_put("a",S0,K99,rf,q,T,X,N)</f>
        <v>51.332727522339624</v>
      </c>
      <c r="P99" s="2">
        <v>0.81</v>
      </c>
      <c r="Q99" s="1">
        <f>S99-R99</f>
        <v>1.7777917825090999</v>
      </c>
      <c r="R99" s="4">
        <f>BinaryTree_put("e",S0,Sigma,P99,P99,T,X,N)</f>
        <v>14.856316551188799</v>
      </c>
      <c r="S99" s="4">
        <f>BinaryTree_put("a",S0,Sigma,P99,P99,T,X,N)</f>
        <v>16.634108333697899</v>
      </c>
      <c r="U99" s="2">
        <v>4.05</v>
      </c>
      <c r="V99" s="1">
        <f>X99-W99</f>
        <v>7.0562841274181807</v>
      </c>
      <c r="W99" s="4">
        <f>BinaryTree_put("e",S0,Sigma,rf,q,U99,X,N)</f>
        <v>48.389227211702327</v>
      </c>
      <c r="X99" s="4">
        <f>BinaryTree_put("a",S0,Sigma,rf,q,U99,X,N)</f>
        <v>55.445511339120507</v>
      </c>
    </row>
    <row r="100" spans="1:24">
      <c r="A100" s="2">
        <v>362</v>
      </c>
      <c r="B100" s="1">
        <f>D100-C100</f>
        <v>0</v>
      </c>
      <c r="C100" s="4">
        <f>BinaryTree_put("e",A100,Sigma,rf,q,T,X,N)</f>
        <v>3.1710446952647025</v>
      </c>
      <c r="D100" s="4">
        <f>BinaryTree_put("a",A100,Sigma,rf,q,T,X,N)</f>
        <v>3.1710446952647025</v>
      </c>
      <c r="F100" s="2">
        <v>362</v>
      </c>
      <c r="G100" s="1">
        <f>I100-H100</f>
        <v>1.1208059673989297</v>
      </c>
      <c r="H100" s="4">
        <f>BinaryTree_put("e",S0,Sigma,rf,q,T,F100,N)</f>
        <v>63.539561155159682</v>
      </c>
      <c r="I100" s="4">
        <f>BinaryTree_put("a",S0,Sigma,rf,q,T,F100,N)</f>
        <v>64.660367122558611</v>
      </c>
      <c r="K100" s="2">
        <v>0.82000000000000006</v>
      </c>
      <c r="L100" s="1">
        <f>N100-M100</f>
        <v>0.57539449624381689</v>
      </c>
      <c r="M100" s="4">
        <f>BinaryTree_put("e",S0,K100,rf,q,T,X,N)</f>
        <v>51.379451468520024</v>
      </c>
      <c r="N100" s="4">
        <f>BinaryTree_put("a",S0,K100,rf,q,T,X,N)</f>
        <v>51.954845964763841</v>
      </c>
      <c r="P100" s="2">
        <v>0.82000000000000006</v>
      </c>
      <c r="Q100" s="1">
        <f>S100-R100</f>
        <v>1.7951297352789073</v>
      </c>
      <c r="R100" s="4">
        <f>BinaryTree_put("e",S0,Sigma,P100,P100,T,X,N)</f>
        <v>14.806877939480836</v>
      </c>
      <c r="S100" s="4">
        <f>BinaryTree_put("a",S0,Sigma,P100,P100,T,X,N)</f>
        <v>16.602007674759744</v>
      </c>
      <c r="U100" s="2">
        <v>4.0999999999999996</v>
      </c>
      <c r="V100" s="1">
        <f>X100-W100</f>
        <v>7.1642709613648989</v>
      </c>
      <c r="W100" s="4">
        <f>BinaryTree_put("e",S0,Sigma,rf,q,U100,X,N)</f>
        <v>48.483710276684569</v>
      </c>
      <c r="X100" s="4">
        <f>BinaryTree_put("a",S0,Sigma,rf,q,U100,X,N)</f>
        <v>55.647981238049468</v>
      </c>
    </row>
    <row r="101" spans="1:24">
      <c r="A101" s="2">
        <v>364</v>
      </c>
      <c r="B101" s="1">
        <f>D101-C101</f>
        <v>0</v>
      </c>
      <c r="C101" s="4">
        <f>BinaryTree_put("e",A101,Sigma,rf,q,T,X,N)</f>
        <v>3.0690732157924518</v>
      </c>
      <c r="D101" s="4">
        <f>BinaryTree_put("a",A101,Sigma,rf,q,T,X,N)</f>
        <v>3.0690732157924518</v>
      </c>
      <c r="F101" s="2">
        <v>364</v>
      </c>
      <c r="G101" s="1">
        <f>I101-H101</f>
        <v>1.1494042401599103</v>
      </c>
      <c r="H101" s="4">
        <f>BinaryTree_put("e",S0,Sigma,rf,q,T,F101,N)</f>
        <v>65.384961174393709</v>
      </c>
      <c r="I101" s="4">
        <f>BinaryTree_put("a",S0,Sigma,rf,q,T,F101,N)</f>
        <v>66.534365414553619</v>
      </c>
      <c r="K101" s="2">
        <v>0.83000000000000007</v>
      </c>
      <c r="L101" s="1">
        <f>N101-M101</f>
        <v>0.58230591816322885</v>
      </c>
      <c r="M101" s="4">
        <f>BinaryTree_put("e",S0,K101,rf,q,T,X,N)</f>
        <v>51.994236444823066</v>
      </c>
      <c r="N101" s="4">
        <f>BinaryTree_put("a",S0,K101,rf,q,T,X,N)</f>
        <v>52.576542362986295</v>
      </c>
      <c r="P101" s="2">
        <v>0.83000000000000007</v>
      </c>
      <c r="Q101" s="1">
        <f>S101-R101</f>
        <v>1.8123676104177058</v>
      </c>
      <c r="R101" s="4">
        <f>BinaryTree_put("e",S0,Sigma,P101,P101,T,X,N)</f>
        <v>14.757603848791202</v>
      </c>
      <c r="S101" s="4">
        <f>BinaryTree_put("a",S0,Sigma,P101,P101,T,X,N)</f>
        <v>16.569971459208908</v>
      </c>
      <c r="U101" s="2">
        <v>4.1500000000000004</v>
      </c>
      <c r="V101" s="1">
        <f>X101-W101</f>
        <v>7.2722906873504698</v>
      </c>
      <c r="W101" s="4">
        <f>BinaryTree_put("e",S0,Sigma,rf,q,U101,X,N)</f>
        <v>48.574767212513549</v>
      </c>
      <c r="X101" s="4">
        <f>BinaryTree_put("a",S0,Sigma,rf,q,U101,X,N)</f>
        <v>55.847057899864019</v>
      </c>
    </row>
    <row r="102" spans="1:24">
      <c r="A102" s="2">
        <v>366</v>
      </c>
      <c r="B102" s="1">
        <f>D102-C102</f>
        <v>0</v>
      </c>
      <c r="C102" s="4">
        <f>BinaryTree_put("e",A102,Sigma,rf,q,T,X,N)</f>
        <v>2.9671017363201964</v>
      </c>
      <c r="D102" s="4">
        <f>BinaryTree_put("a",A102,Sigma,rf,q,T,X,N)</f>
        <v>2.9671017363201964</v>
      </c>
      <c r="F102" s="2">
        <v>366</v>
      </c>
      <c r="G102" s="1">
        <f>I102-H102</f>
        <v>1.1780025129208838</v>
      </c>
      <c r="H102" s="4">
        <f>BinaryTree_put("e",S0,Sigma,rf,q,T,F102,N)</f>
        <v>67.230361193627743</v>
      </c>
      <c r="I102" s="4">
        <f>BinaryTree_put("a",S0,Sigma,rf,q,T,F102,N)</f>
        <v>68.408363706548627</v>
      </c>
      <c r="K102" s="2">
        <v>0.84000000000000008</v>
      </c>
      <c r="L102" s="1">
        <f>N102-M102</f>
        <v>0.5892135470041282</v>
      </c>
      <c r="M102" s="4">
        <f>BinaryTree_put("e",S0,K102,rf,q,T,X,N)</f>
        <v>52.608598363596769</v>
      </c>
      <c r="N102" s="4">
        <f>BinaryTree_put("a",S0,K102,rf,q,T,X,N)</f>
        <v>53.197811910600898</v>
      </c>
      <c r="P102" s="2">
        <v>0.84000000000000008</v>
      </c>
      <c r="Q102" s="1">
        <f>S102-R102</f>
        <v>1.8295058206669008</v>
      </c>
      <c r="R102" s="4">
        <f>BinaryTree_put("e",S0,Sigma,P102,P102,T,X,N)</f>
        <v>14.70849373162949</v>
      </c>
      <c r="S102" s="4">
        <f>BinaryTree_put("a",S0,Sigma,P102,P102,T,X,N)</f>
        <v>16.537999552296391</v>
      </c>
      <c r="U102" s="2">
        <v>4.2</v>
      </c>
      <c r="V102" s="1">
        <f>X102-W102</f>
        <v>7.3803347721357468</v>
      </c>
      <c r="W102" s="4">
        <f>BinaryTree_put("e",S0,Sigma,rf,q,U102,X,N)</f>
        <v>48.662464717370959</v>
      </c>
      <c r="X102" s="4">
        <f>BinaryTree_put("a",S0,Sigma,rf,q,U102,X,N)</f>
        <v>56.042799489506706</v>
      </c>
    </row>
    <row r="103" spans="1:24">
      <c r="A103" s="2">
        <v>368</v>
      </c>
      <c r="B103" s="1">
        <f>D103-C103</f>
        <v>0</v>
      </c>
      <c r="C103" s="4">
        <f>BinaryTree_put("e",A103,Sigma,rf,q,T,X,N)</f>
        <v>2.8651302568479422</v>
      </c>
      <c r="D103" s="4">
        <f>BinaryTree_put("a",A103,Sigma,rf,q,T,X,N)</f>
        <v>2.8651302568479422</v>
      </c>
      <c r="F103" s="2">
        <v>368</v>
      </c>
      <c r="G103" s="1">
        <f>I103-H103</f>
        <v>1.2066007856818715</v>
      </c>
      <c r="H103" s="4">
        <f>BinaryTree_put("e",S0,Sigma,rf,q,T,F103,N)</f>
        <v>69.075761212861778</v>
      </c>
      <c r="I103" s="4">
        <f>BinaryTree_put("a",S0,Sigma,rf,q,T,F103,N)</f>
        <v>70.282361998543649</v>
      </c>
      <c r="K103" s="2">
        <v>0.85</v>
      </c>
      <c r="L103" s="1">
        <f>N103-M103</f>
        <v>0.59611733982873005</v>
      </c>
      <c r="M103" s="4">
        <f>BinaryTree_put("e",S0,K103,rf,q,T,X,N)</f>
        <v>53.222532473431343</v>
      </c>
      <c r="N103" s="4">
        <f>BinaryTree_put("a",S0,K103,rf,q,T,X,N)</f>
        <v>53.818649813260073</v>
      </c>
      <c r="P103" s="2">
        <v>0.85</v>
      </c>
      <c r="Q103" s="1">
        <f>S103-R103</f>
        <v>1.8465447772388508</v>
      </c>
      <c r="R103" s="4">
        <f>BinaryTree_put("e",S0,Sigma,P103,P103,T,X,N)</f>
        <v>14.659547042327226</v>
      </c>
      <c r="S103" s="4">
        <f>BinaryTree_put("a",S0,Sigma,P103,P103,T,X,N)</f>
        <v>16.506091819566077</v>
      </c>
      <c r="U103" s="2">
        <v>4.25</v>
      </c>
      <c r="V103" s="1">
        <f>X103-W103</f>
        <v>7.4883948625744452</v>
      </c>
      <c r="W103" s="4">
        <f>BinaryTree_put("e",S0,Sigma,rf,q,U103,X,N)</f>
        <v>48.746867739286451</v>
      </c>
      <c r="X103" s="4">
        <f>BinaryTree_put("a",S0,Sigma,rf,q,U103,X,N)</f>
        <v>56.235262601860896</v>
      </c>
    </row>
    <row r="104" spans="1:24">
      <c r="A104" s="2">
        <v>370</v>
      </c>
      <c r="B104" s="1">
        <f>D104-C104</f>
        <v>0</v>
      </c>
      <c r="C104" s="4">
        <f>BinaryTree_put("e",A104,Sigma,rf,q,T,X,N)</f>
        <v>2.7631587773756912</v>
      </c>
      <c r="D104" s="4">
        <f>BinaryTree_put("a",A104,Sigma,rf,q,T,X,N)</f>
        <v>2.7631587773756912</v>
      </c>
      <c r="F104" s="2">
        <v>370</v>
      </c>
      <c r="G104" s="1">
        <f>I104-H104</f>
        <v>1.2351990584428307</v>
      </c>
      <c r="H104" s="4">
        <f>BinaryTree_put("e",S0,Sigma,rf,q,T,F104,N)</f>
        <v>70.921161232095827</v>
      </c>
      <c r="I104" s="4">
        <f>BinaryTree_put("a",S0,Sigma,rf,q,T,F104,N)</f>
        <v>72.156360290538657</v>
      </c>
      <c r="K104" s="2">
        <v>0.86</v>
      </c>
      <c r="L104" s="1">
        <f>N104-M104</f>
        <v>0.60301725379591176</v>
      </c>
      <c r="M104" s="4">
        <f>BinaryTree_put("e",S0,K104,rf,q,T,X,N)</f>
        <v>53.836034035005916</v>
      </c>
      <c r="N104" s="4">
        <f>BinaryTree_put("a",S0,K104,rf,q,T,X,N)</f>
        <v>54.439051288801828</v>
      </c>
      <c r="P104" s="2">
        <v>0.86</v>
      </c>
      <c r="Q104" s="1">
        <f>S104-R104</f>
        <v>1.863484889822276</v>
      </c>
      <c r="R104" s="4">
        <f>BinaryTree_put("e",S0,Sigma,P104,P104,T,X,N)</f>
        <v>14.61076323703181</v>
      </c>
      <c r="S104" s="4">
        <f>BinaryTree_put("a",S0,Sigma,P104,P104,T,X,N)</f>
        <v>16.474248126854086</v>
      </c>
      <c r="U104" s="2">
        <v>4.3</v>
      </c>
      <c r="V104" s="1">
        <f>X104-W104</f>
        <v>7.5964627809933276</v>
      </c>
      <c r="W104" s="4">
        <f>BinaryTree_put("e",S0,Sigma,rf,q,U104,X,N)</f>
        <v>48.828039542270773</v>
      </c>
      <c r="X104" s="4">
        <f>BinaryTree_put("a",S0,Sigma,rf,q,U104,X,N)</f>
        <v>56.4245023232641</v>
      </c>
    </row>
    <row r="105" spans="1:24">
      <c r="A105" s="2">
        <v>372</v>
      </c>
      <c r="B105" s="1">
        <f>D105-C105</f>
        <v>0</v>
      </c>
      <c r="C105" s="4">
        <f>BinaryTree_put("e",A105,Sigma,rf,q,T,X,N)</f>
        <v>2.6611872979034357</v>
      </c>
      <c r="D105" s="4">
        <f>BinaryTree_put("a",A105,Sigma,rf,q,T,X,N)</f>
        <v>2.6611872979034357</v>
      </c>
      <c r="F105" s="2">
        <v>372</v>
      </c>
      <c r="G105" s="1">
        <f>I105-H105</f>
        <v>1.2637973312038326</v>
      </c>
      <c r="H105" s="4">
        <f>BinaryTree_put("e",S0,Sigma,rf,q,T,F105,N)</f>
        <v>72.766561251329847</v>
      </c>
      <c r="I105" s="4">
        <f>BinaryTree_put("a",S0,Sigma,rf,q,T,F105,N)</f>
        <v>74.03035858253368</v>
      </c>
      <c r="K105" s="2">
        <v>0.87</v>
      </c>
      <c r="L105" s="1">
        <f>N105-M105</f>
        <v>0.6099132461622645</v>
      </c>
      <c r="M105" s="4">
        <f>BinaryTree_put("e",S0,K105,rf,q,T,X,N)</f>
        <v>54.449098321212425</v>
      </c>
      <c r="N105" s="4">
        <f>BinaryTree_put("a",S0,K105,rf,q,T,X,N)</f>
        <v>55.059011567374689</v>
      </c>
      <c r="P105" s="2">
        <v>0.87</v>
      </c>
      <c r="Q105" s="1">
        <f>S105-R105</f>
        <v>1.8803265665876445</v>
      </c>
      <c r="R105" s="4">
        <f>BinaryTree_put("e",S0,Sigma,P105,P105,T,X,N)</f>
        <v>14.562141773700461</v>
      </c>
      <c r="S105" s="4">
        <f>BinaryTree_put("a",S0,Sigma,P105,P105,T,X,N)</f>
        <v>16.442468340288105</v>
      </c>
      <c r="U105" s="2">
        <v>4.3499999999999996</v>
      </c>
      <c r="V105" s="1">
        <f>X105-W105</f>
        <v>7.7045305207417485</v>
      </c>
      <c r="W105" s="4">
        <f>BinaryTree_put("e",S0,Sigma,rf,q,U105,X,N)</f>
        <v>48.906041769144672</v>
      </c>
      <c r="X105" s="4">
        <f>BinaryTree_put("a",S0,Sigma,rf,q,U105,X,N)</f>
        <v>56.61057228988642</v>
      </c>
    </row>
    <row r="106" spans="1:24">
      <c r="A106" s="2">
        <v>374</v>
      </c>
      <c r="B106" s="1">
        <f>D106-C106</f>
        <v>0</v>
      </c>
      <c r="C106" s="4">
        <f>BinaryTree_put("e",A106,Sigma,rf,q,T,X,N)</f>
        <v>2.5592158184311811</v>
      </c>
      <c r="D106" s="4">
        <f>BinaryTree_put("a",A106,Sigma,rf,q,T,X,N)</f>
        <v>2.5592158184311811</v>
      </c>
      <c r="F106" s="2">
        <v>374</v>
      </c>
      <c r="G106" s="1">
        <f>I106-H106</f>
        <v>1.2923956039647919</v>
      </c>
      <c r="H106" s="4">
        <f>BinaryTree_put("e",S0,Sigma,rf,q,T,F106,N)</f>
        <v>74.611961270563896</v>
      </c>
      <c r="I106" s="4">
        <f>BinaryTree_put("a",S0,Sigma,rf,q,T,F106,N)</f>
        <v>75.904356874528688</v>
      </c>
      <c r="K106" s="2">
        <v>0.88</v>
      </c>
      <c r="L106" s="1">
        <f>N106-M106</f>
        <v>0.6168052742832586</v>
      </c>
      <c r="M106" s="4">
        <f>BinaryTree_put("e",S0,K106,rf,q,T,X,N)</f>
        <v>55.061720617279725</v>
      </c>
      <c r="N106" s="4">
        <f>BinaryTree_put("a",S0,K106,rf,q,T,X,N)</f>
        <v>55.678525891562984</v>
      </c>
      <c r="P106" s="2">
        <v>0.88</v>
      </c>
      <c r="Q106" s="1">
        <f>S106-R106</f>
        <v>1.8970702141925671</v>
      </c>
      <c r="R106" s="4">
        <f>BinaryTree_put("e",S0,Sigma,P106,P106,T,X,N)</f>
        <v>14.51368211209418</v>
      </c>
      <c r="S106" s="4">
        <f>BinaryTree_put("a",S0,Sigma,P106,P106,T,X,N)</f>
        <v>16.410752326286747</v>
      </c>
      <c r="U106" s="2">
        <v>4.4000000000000004</v>
      </c>
      <c r="V106" s="1">
        <f>X106-W106</f>
        <v>7.8125902419027042</v>
      </c>
      <c r="W106" s="4">
        <f>BinaryTree_put("e",S0,Sigma,rf,q,U106,X,N)</f>
        <v>48.980934501265736</v>
      </c>
      <c r="X106" s="4">
        <f>BinaryTree_put("a",S0,Sigma,rf,q,U106,X,N)</f>
        <v>56.79352474316844</v>
      </c>
    </row>
    <row r="107" spans="1:24">
      <c r="A107" s="2">
        <v>376</v>
      </c>
      <c r="B107" s="1">
        <f>D107-C107</f>
        <v>0</v>
      </c>
      <c r="C107" s="4">
        <f>BinaryTree_put("e",A107,Sigma,rf,q,T,X,N)</f>
        <v>2.45724433895893</v>
      </c>
      <c r="D107" s="4">
        <f>BinaryTree_put("a",A107,Sigma,rf,q,T,X,N)</f>
        <v>2.45724433895893</v>
      </c>
      <c r="F107" s="2">
        <v>376</v>
      </c>
      <c r="G107" s="1">
        <f>I107-H107</f>
        <v>1.3209938767257796</v>
      </c>
      <c r="H107" s="4">
        <f>BinaryTree_put("e",S0,Sigma,rf,q,T,F107,N)</f>
        <v>76.457361289797916</v>
      </c>
      <c r="I107" s="4">
        <f>BinaryTree_put("a",S0,Sigma,rf,q,T,F107,N)</f>
        <v>77.778355166523696</v>
      </c>
      <c r="K107" s="2">
        <v>0.89</v>
      </c>
      <c r="L107" s="1">
        <f>N107-M107</f>
        <v>0.62369329561401798</v>
      </c>
      <c r="M107" s="4">
        <f>BinaryTree_put("e",S0,K107,rf,q,T,X,N)</f>
        <v>55.673896220897063</v>
      </c>
      <c r="N107" s="4">
        <f>BinaryTree_put("a",S0,K107,rf,q,T,X,N)</f>
        <v>56.297589516511081</v>
      </c>
      <c r="P107" s="2">
        <v>0.89</v>
      </c>
      <c r="Q107" s="1">
        <f>S107-R107</f>
        <v>1.9137162377870833</v>
      </c>
      <c r="R107" s="4">
        <f>BinaryTree_put("e",S0,Sigma,P107,P107,T,X,N)</f>
        <v>14.465383713771802</v>
      </c>
      <c r="S107" s="4">
        <f>BinaryTree_put("a",S0,Sigma,P107,P107,T,X,N)</f>
        <v>16.379099951558885</v>
      </c>
      <c r="U107" s="2">
        <v>4.45</v>
      </c>
      <c r="V107" s="1">
        <f>X107-W107</f>
        <v>7.9206342671570056</v>
      </c>
      <c r="W107" s="4">
        <f>BinaryTree_put("e",S0,Sigma,rf,q,U107,X,N)</f>
        <v>49.052776315343188</v>
      </c>
      <c r="X107" s="4">
        <f>BinaryTree_put("a",S0,Sigma,rf,q,U107,X,N)</f>
        <v>56.973410582500193</v>
      </c>
    </row>
    <row r="108" spans="1:24">
      <c r="A108" s="2">
        <v>378</v>
      </c>
      <c r="B108" s="1">
        <f>D108-C108</f>
        <v>0</v>
      </c>
      <c r="C108" s="4">
        <f>BinaryTree_put("e",A108,Sigma,rf,q,T,X,N)</f>
        <v>2.355272859486675</v>
      </c>
      <c r="D108" s="4">
        <f>BinaryTree_put("a",A108,Sigma,rf,q,T,X,N)</f>
        <v>2.355272859486675</v>
      </c>
      <c r="F108" s="2">
        <v>378</v>
      </c>
      <c r="G108" s="1">
        <f>I108-H108</f>
        <v>1.3495921494867389</v>
      </c>
      <c r="H108" s="4">
        <f>BinaryTree_put("e",S0,Sigma,rf,q,T,F108,N)</f>
        <v>78.302761309031965</v>
      </c>
      <c r="I108" s="4">
        <f>BinaryTree_put("a",S0,Sigma,rf,q,T,F108,N)</f>
        <v>79.652353458518704</v>
      </c>
      <c r="K108" s="2">
        <v>0.9</v>
      </c>
      <c r="L108" s="1">
        <f>N108-M108</f>
        <v>0.6305772677104855</v>
      </c>
      <c r="M108" s="4">
        <f>BinaryTree_put("e",S0,K108,rf,q,T,X,N)</f>
        <v>56.285620442336423</v>
      </c>
      <c r="N108" s="4">
        <f>BinaryTree_put("a",S0,K108,rf,q,T,X,N)</f>
        <v>56.916197710046909</v>
      </c>
      <c r="P108" s="2">
        <v>0.9</v>
      </c>
      <c r="Q108" s="1">
        <f>S108-R108</f>
        <v>1.9302650410190587</v>
      </c>
      <c r="R108" s="4">
        <f>BinaryTree_put("e",S0,Sigma,P108,P108,T,X,N)</f>
        <v>14.417246042083949</v>
      </c>
      <c r="S108" s="4">
        <f>BinaryTree_put("a",S0,Sigma,P108,P108,T,X,N)</f>
        <v>16.347511083103008</v>
      </c>
      <c r="U108" s="2">
        <v>4.5</v>
      </c>
      <c r="V108" s="1">
        <f>X108-W108</f>
        <v>8.028655077793573</v>
      </c>
      <c r="W108" s="4">
        <f>BinaryTree_put("e",S0,Sigma,rf,q,U108,X,N)</f>
        <v>49.121624337514604</v>
      </c>
      <c r="X108" s="4">
        <f>BinaryTree_put("a",S0,Sigma,rf,q,U108,X,N)</f>
        <v>57.150279415308177</v>
      </c>
    </row>
    <row r="109" spans="1:24">
      <c r="A109" s="2">
        <v>380</v>
      </c>
      <c r="B109" s="1">
        <f>D109-C109</f>
        <v>0</v>
      </c>
      <c r="C109" s="4">
        <f>BinaryTree_put("e",A109,Sigma,rf,q,T,X,N)</f>
        <v>2.2533013800144195</v>
      </c>
      <c r="D109" s="4">
        <f>BinaryTree_put("a",A109,Sigma,rf,q,T,X,N)</f>
        <v>2.2533013800144195</v>
      </c>
      <c r="F109" s="2">
        <v>380</v>
      </c>
      <c r="G109" s="1">
        <f>I109-H109</f>
        <v>1.3781904222477124</v>
      </c>
      <c r="H109" s="4">
        <f>BinaryTree_put("e",S0,Sigma,rf,q,T,F109,N)</f>
        <v>80.148161328265999</v>
      </c>
      <c r="I109" s="4">
        <f>BinaryTree_put("a",S0,Sigma,rf,q,T,F109,N)</f>
        <v>81.526351750513712</v>
      </c>
      <c r="K109" s="2">
        <v>0.91</v>
      </c>
      <c r="L109" s="1">
        <f>N109-M109</f>
        <v>0.63745714823022581</v>
      </c>
      <c r="M109" s="4">
        <f>BinaryTree_put("e",S0,K109,rf,q,T,X,N)</f>
        <v>56.896888604574563</v>
      </c>
      <c r="N109" s="4">
        <f>BinaryTree_put("a",S0,K109,rf,q,T,X,N)</f>
        <v>57.534345752804789</v>
      </c>
      <c r="P109" s="2">
        <v>0.91</v>
      </c>
      <c r="Q109" s="1">
        <f>S109-R109</f>
        <v>1.9467170260394564</v>
      </c>
      <c r="R109" s="4">
        <f>BinaryTree_put("e",S0,Sigma,P109,P109,T,X,N)</f>
        <v>14.369268562167116</v>
      </c>
      <c r="S109" s="4">
        <f>BinaryTree_put("a",S0,Sigma,P109,P109,T,X,N)</f>
        <v>16.315985588206573</v>
      </c>
      <c r="U109" s="2">
        <v>4.55</v>
      </c>
      <c r="V109" s="1">
        <f>X109-W109</f>
        <v>8.1366453098592615</v>
      </c>
      <c r="W109" s="4">
        <f>BinaryTree_put("e",S0,Sigma,rf,q,U109,X,N)</f>
        <v>49.187534294846571</v>
      </c>
      <c r="X109" s="4">
        <f>BinaryTree_put("a",S0,Sigma,rf,q,U109,X,N)</f>
        <v>57.324179604705833</v>
      </c>
    </row>
    <row r="110" spans="1:24">
      <c r="A110" s="2">
        <v>382</v>
      </c>
      <c r="B110" s="1">
        <f>D110-C110</f>
        <v>0</v>
      </c>
      <c r="C110" s="4">
        <f>BinaryTree_put("e",A110,Sigma,rf,q,T,X,N)</f>
        <v>2.1513299005421689</v>
      </c>
      <c r="D110" s="4">
        <f>BinaryTree_put("a",A110,Sigma,rf,q,T,X,N)</f>
        <v>2.1513299005421689</v>
      </c>
      <c r="F110" s="2">
        <v>382</v>
      </c>
      <c r="G110" s="1">
        <f>I110-H110</f>
        <v>1.4067886950086859</v>
      </c>
      <c r="H110" s="4">
        <f>BinaryTree_put("e",S0,Sigma,rf,q,T,F110,N)</f>
        <v>81.993561347500048</v>
      </c>
      <c r="I110" s="4">
        <f>BinaryTree_put("a",S0,Sigma,rf,q,T,F110,N)</f>
        <v>83.400350042508734</v>
      </c>
      <c r="K110" s="2">
        <v>0.92</v>
      </c>
      <c r="L110" s="1">
        <f>N110-M110</f>
        <v>0.6443328949335978</v>
      </c>
      <c r="M110" s="4">
        <f>BinaryTree_put("e",S0,K110,rf,q,T,X,N)</f>
        <v>57.507696043414171</v>
      </c>
      <c r="N110" s="4">
        <f>BinaryTree_put("a",S0,K110,rf,q,T,X,N)</f>
        <v>58.152028938347769</v>
      </c>
      <c r="P110" s="2">
        <v>0.92</v>
      </c>
      <c r="Q110" s="1">
        <f>S110-R110</f>
        <v>1.9630725935076345</v>
      </c>
      <c r="R110" s="4">
        <f>BinaryTree_put("e",S0,Sigma,P110,P110,T,X,N)</f>
        <v>14.32145074093769</v>
      </c>
      <c r="S110" s="4">
        <f>BinaryTree_put("a",S0,Sigma,P110,P110,T,X,N)</f>
        <v>16.284523334445325</v>
      </c>
      <c r="U110" s="2">
        <v>4.5999999999999996</v>
      </c>
      <c r="V110" s="1">
        <f>X110-W110</f>
        <v>8.2445977504406542</v>
      </c>
      <c r="W110" s="4">
        <f>BinaryTree_put("e",S0,Sigma,rf,q,U110,X,N)</f>
        <v>49.250560564412837</v>
      </c>
      <c r="X110" s="4">
        <f>BinaryTree_put("a",S0,Sigma,rf,q,U110,X,N)</f>
        <v>57.495158314853491</v>
      </c>
    </row>
    <row r="111" spans="1:24">
      <c r="A111" s="2">
        <v>384</v>
      </c>
      <c r="B111" s="1">
        <f>D111-C111</f>
        <v>0</v>
      </c>
      <c r="C111" s="4">
        <f>BinaryTree_put("e",A111,Sigma,rf,q,T,X,N)</f>
        <v>2.0493584210699138</v>
      </c>
      <c r="D111" s="4">
        <f>BinaryTree_put("a",A111,Sigma,rf,q,T,X,N)</f>
        <v>2.0493584210699138</v>
      </c>
      <c r="F111" s="2">
        <v>384</v>
      </c>
      <c r="G111" s="1">
        <f>I111-H111</f>
        <v>1.4353869677696593</v>
      </c>
      <c r="H111" s="4">
        <f>BinaryTree_put("e",S0,Sigma,rf,q,T,F111,N)</f>
        <v>83.838961366734083</v>
      </c>
      <c r="I111" s="4">
        <f>BinaryTree_put("a",S0,Sigma,rf,q,T,F111,N)</f>
        <v>85.274348334503742</v>
      </c>
      <c r="K111" s="2">
        <v>0.93</v>
      </c>
      <c r="L111" s="1">
        <f>N111-M111</f>
        <v>0.65120446568457879</v>
      </c>
      <c r="M111" s="4">
        <f>BinaryTree_put("e",S0,K111,rf,q,T,X,N)</f>
        <v>58.118038107604754</v>
      </c>
      <c r="N111" s="4">
        <f>BinaryTree_put("a",S0,K111,rf,q,T,X,N)</f>
        <v>58.769242573289333</v>
      </c>
      <c r="P111" s="2">
        <v>0.93</v>
      </c>
      <c r="Q111" s="1">
        <f>S111-R111</f>
        <v>1.9793321425966361</v>
      </c>
      <c r="R111" s="4">
        <f>BinaryTree_put("e",S0,Sigma,P111,P111,T,X,N)</f>
        <v>14.273792047086065</v>
      </c>
      <c r="S111" s="4">
        <f>BinaryTree_put("a",S0,Sigma,P111,P111,T,X,N)</f>
        <v>16.253124189682701</v>
      </c>
      <c r="U111" s="2">
        <v>4.6500000000000004</v>
      </c>
      <c r="V111" s="1">
        <f>X111-W111</f>
        <v>8.3525053340731716</v>
      </c>
      <c r="W111" s="4">
        <f>BinaryTree_put("e",S0,Sigma,rf,q,U111,X,N)</f>
        <v>49.310756220087242</v>
      </c>
      <c r="X111" s="4">
        <f>BinaryTree_put("a",S0,Sigma,rf,q,U111,X,N)</f>
        <v>57.663261554160414</v>
      </c>
    </row>
    <row r="112" spans="1:24">
      <c r="A112" s="2">
        <v>386</v>
      </c>
      <c r="B112" s="1">
        <f>D112-C112</f>
        <v>0</v>
      </c>
      <c r="C112" s="4">
        <f>BinaryTree_put("e",A112,Sigma,rf,q,T,X,N)</f>
        <v>1.9473869415976592</v>
      </c>
      <c r="D112" s="4">
        <f>BinaryTree_put("a",A112,Sigma,rf,q,T,X,N)</f>
        <v>1.9473869415976592</v>
      </c>
      <c r="F112" s="2">
        <v>386</v>
      </c>
      <c r="G112" s="1">
        <f>I112-H112</f>
        <v>1.4639852405306328</v>
      </c>
      <c r="H112" s="4">
        <f>BinaryTree_put("e",S0,Sigma,rf,q,T,F112,N)</f>
        <v>85.684361385968117</v>
      </c>
      <c r="I112" s="4">
        <f>BinaryTree_put("a",S0,Sigma,rf,q,T,F112,N)</f>
        <v>87.14834662649875</v>
      </c>
      <c r="K112" s="2">
        <v>0.94000000000000006</v>
      </c>
      <c r="L112" s="1">
        <f>N112-M112</f>
        <v>0.65807181845183038</v>
      </c>
      <c r="M112" s="4">
        <f>BinaryTree_put("e",S0,K112,rf,q,T,X,N)</f>
        <v>58.727910158961876</v>
      </c>
      <c r="N112" s="4">
        <f>BinaryTree_put("a",S0,K112,rf,q,T,X,N)</f>
        <v>59.385981977413707</v>
      </c>
      <c r="P112" s="2">
        <v>0.94000000000000006</v>
      </c>
      <c r="Q112" s="1">
        <f>S112-R112</f>
        <v>1.9954960709984437</v>
      </c>
      <c r="R112" s="4">
        <f>BinaryTree_put("e",S0,Sigma,P112,P112,T,X,N)</f>
        <v>14.226291951070701</v>
      </c>
      <c r="S112" s="4">
        <f>BinaryTree_put("a",S0,Sigma,P112,P112,T,X,N)</f>
        <v>16.221788022069145</v>
      </c>
      <c r="U112" s="2">
        <v>4.7</v>
      </c>
      <c r="V112" s="1">
        <f>X112-W112</f>
        <v>8.4603611392704678</v>
      </c>
      <c r="W112" s="4">
        <f>BinaryTree_put("e",S0,Sigma,rf,q,U112,X,N)</f>
        <v>49.368173077185851</v>
      </c>
      <c r="X112" s="4">
        <f>BinaryTree_put("a",S0,Sigma,rf,q,U112,X,N)</f>
        <v>57.828534216456319</v>
      </c>
    </row>
    <row r="113" spans="1:24">
      <c r="A113" s="2">
        <v>388</v>
      </c>
      <c r="B113" s="1">
        <f>D113-C113</f>
        <v>0</v>
      </c>
      <c r="C113" s="4">
        <f>BinaryTree_put("e",A113,Sigma,rf,q,T,X,N)</f>
        <v>1.8454154621254084</v>
      </c>
      <c r="D113" s="4">
        <f>BinaryTree_put("a",A113,Sigma,rf,q,T,X,N)</f>
        <v>1.8454154621254084</v>
      </c>
      <c r="F113" s="2">
        <v>388</v>
      </c>
      <c r="G113" s="1">
        <f>I113-H113</f>
        <v>1.4925835132916063</v>
      </c>
      <c r="H113" s="4">
        <f>BinaryTree_put("e",S0,Sigma,rf,q,T,F113,N)</f>
        <v>87.529761405202166</v>
      </c>
      <c r="I113" s="4">
        <f>BinaryTree_put("a",S0,Sigma,rf,q,T,F113,N)</f>
        <v>89.022344918493772</v>
      </c>
      <c r="K113" s="2">
        <v>0.95000000000000007</v>
      </c>
      <c r="L113" s="1">
        <f>N113-M113</f>
        <v>0.66493491130971449</v>
      </c>
      <c r="M113" s="4">
        <f>BinaryTree_put("e",S0,K113,rf,q,T,X,N)</f>
        <v>59.337307572487035</v>
      </c>
      <c r="N113" s="4">
        <f>BinaryTree_put("a",S0,K113,rf,q,T,X,N)</f>
        <v>60.002242483796749</v>
      </c>
      <c r="P113" s="2">
        <v>0.95000000000000007</v>
      </c>
      <c r="Q113" s="1">
        <f>S113-R113</f>
        <v>2.0115647749291963</v>
      </c>
      <c r="R113" s="4">
        <f>BinaryTree_put("e",S0,Sigma,P113,P113,T,X,N)</f>
        <v>14.178949925112265</v>
      </c>
      <c r="S113" s="4">
        <f>BinaryTree_put("a",S0,Sigma,P113,P113,T,X,N)</f>
        <v>16.190514700041462</v>
      </c>
      <c r="U113" s="2">
        <v>4.75</v>
      </c>
      <c r="V113" s="1">
        <f>X113-W113</f>
        <v>8.5681583851692906</v>
      </c>
      <c r="W113" s="4">
        <f>BinaryTree_put("e",S0,Sigma,rf,q,U113,X,N)</f>
        <v>49.422861735078293</v>
      </c>
      <c r="X113" s="4">
        <f>BinaryTree_put("a",S0,Sigma,rf,q,U113,X,N)</f>
        <v>57.991020120247583</v>
      </c>
    </row>
    <row r="114" spans="1:24">
      <c r="A114" s="2">
        <v>390</v>
      </c>
      <c r="B114" s="1">
        <f>D114-C114</f>
        <v>0</v>
      </c>
      <c r="C114" s="4">
        <f>BinaryTree_put("e",A114,Sigma,rf,q,T,X,N)</f>
        <v>1.7434439826531529</v>
      </c>
      <c r="D114" s="4">
        <f>BinaryTree_put("a",A114,Sigma,rf,q,T,X,N)</f>
        <v>1.7434439826531529</v>
      </c>
      <c r="F114" s="2">
        <v>390</v>
      </c>
      <c r="G114" s="1">
        <f>I114-H114</f>
        <v>1.521181786052594</v>
      </c>
      <c r="H114" s="4">
        <f>BinaryTree_put("e",S0,Sigma,rf,q,T,F114,N)</f>
        <v>89.3751614244362</v>
      </c>
      <c r="I114" s="4">
        <f>BinaryTree_put("a",S0,Sigma,rf,q,T,F114,N)</f>
        <v>90.896343210488794</v>
      </c>
      <c r="K114" s="2">
        <v>0.96000000000000008</v>
      </c>
      <c r="L114" s="1">
        <f>N114-M114</f>
        <v>0.67179370243906789</v>
      </c>
      <c r="M114" s="4">
        <f>BinaryTree_put("e",S0,K114,rf,q,T,X,N)</f>
        <v>59.946225736485502</v>
      </c>
      <c r="N114" s="4">
        <f>BinaryTree_put("a",S0,K114,rf,q,T,X,N)</f>
        <v>60.61801943892457</v>
      </c>
      <c r="P114" s="2">
        <v>0.96000000000000008</v>
      </c>
      <c r="Q114" s="1">
        <f>S114-R114</f>
        <v>2.0275386491344278</v>
      </c>
      <c r="R114" s="4">
        <f>BinaryTree_put("e",S0,Sigma,P114,P114,T,X,N)</f>
        <v>14.131765443187756</v>
      </c>
      <c r="S114" s="4">
        <f>BinaryTree_put("a",S0,Sigma,P114,P114,T,X,N)</f>
        <v>16.159304092322184</v>
      </c>
      <c r="U114" s="2">
        <v>4.8</v>
      </c>
      <c r="V114" s="1">
        <f>X114-W114</f>
        <v>8.6758904282846245</v>
      </c>
      <c r="W114" s="4">
        <f>BinaryTree_put("e",S0,Sigma,rf,q,U114,X,N)</f>
        <v>49.474871617882926</v>
      </c>
      <c r="X114" s="4">
        <f>BinaryTree_put("a",S0,Sigma,rf,q,U114,X,N)</f>
        <v>58.15076204616755</v>
      </c>
    </row>
    <row r="115" spans="1:24">
      <c r="A115" s="2">
        <v>392</v>
      </c>
      <c r="B115" s="1">
        <f>D115-C115</f>
        <v>0</v>
      </c>
      <c r="C115" s="4">
        <f>BinaryTree_put("e",A115,Sigma,rf,q,T,X,N)</f>
        <v>1.6414725031808977</v>
      </c>
      <c r="D115" s="4">
        <f>BinaryTree_put("a",A115,Sigma,rf,q,T,X,N)</f>
        <v>1.6414725031808977</v>
      </c>
      <c r="F115" s="2">
        <v>392</v>
      </c>
      <c r="G115" s="1">
        <f>I115-H115</f>
        <v>1.5497800588135959</v>
      </c>
      <c r="H115" s="4">
        <f>BinaryTree_put("e",S0,Sigma,rf,q,T,F115,N)</f>
        <v>91.220561443670206</v>
      </c>
      <c r="I115" s="4">
        <f>BinaryTree_put("a",S0,Sigma,rf,q,T,F115,N)</f>
        <v>92.770341502483802</v>
      </c>
      <c r="K115" s="2">
        <v>0.97</v>
      </c>
      <c r="L115" s="1">
        <f>N115-M115</f>
        <v>0.67864815012828217</v>
      </c>
      <c r="M115" s="4">
        <f>BinaryTree_put("e",S0,K115,rf,q,T,X,N)</f>
        <v>60.55466005268466</v>
      </c>
      <c r="N115" s="4">
        <f>BinaryTree_put("a",S0,K115,rf,q,T,X,N)</f>
        <v>61.233308202812943</v>
      </c>
      <c r="P115" s="2">
        <v>0.97</v>
      </c>
      <c r="Q115" s="1">
        <f>S115-R115</f>
        <v>2.0434180868942757</v>
      </c>
      <c r="R115" s="4">
        <f>BinaryTree_put("e",S0,Sigma,P115,P115,T,X,N)</f>
        <v>14.084737981024675</v>
      </c>
      <c r="S115" s="4">
        <f>BinaryTree_put("a",S0,Sigma,P115,P115,T,X,N)</f>
        <v>16.128156067918951</v>
      </c>
      <c r="U115" s="2">
        <v>4.8500000000000005</v>
      </c>
      <c r="V115" s="1">
        <f>X115-W115</f>
        <v>8.7835507593700513</v>
      </c>
      <c r="W115" s="4">
        <f>BinaryTree_put("e",S0,Sigma,rf,q,U115,X,N)</f>
        <v>49.52425101335286</v>
      </c>
      <c r="X115" s="4">
        <f>BinaryTree_put("a",S0,Sigma,rf,q,U115,X,N)</f>
        <v>58.307801772722911</v>
      </c>
    </row>
    <row r="116" spans="1:24">
      <c r="A116" s="2">
        <v>394</v>
      </c>
      <c r="B116" s="1">
        <f>D116-C116</f>
        <v>0</v>
      </c>
      <c r="C116" s="4">
        <f>BinaryTree_put("e",A116,Sigma,rf,q,T,X,N)</f>
        <v>1.5395010237086471</v>
      </c>
      <c r="D116" s="4">
        <f>BinaryTree_put("a",A116,Sigma,rf,q,T,X,N)</f>
        <v>1.5395010237086471</v>
      </c>
      <c r="F116" s="2">
        <v>394</v>
      </c>
      <c r="G116" s="1">
        <f>I116-H116</f>
        <v>1.5783783315745552</v>
      </c>
      <c r="H116" s="4">
        <f>BinaryTree_put("e",S0,Sigma,rf,q,T,F116,N)</f>
        <v>93.065961462904255</v>
      </c>
      <c r="I116" s="4">
        <f>BinaryTree_put("a",S0,Sigma,rf,q,T,F116,N)</f>
        <v>94.64433979447881</v>
      </c>
      <c r="K116" s="2">
        <v>0.98</v>
      </c>
      <c r="L116" s="1">
        <f>N116-M116</f>
        <v>0.68549821277425593</v>
      </c>
      <c r="M116" s="4">
        <f>BinaryTree_put("e",S0,K116,rf,q,T,X,N)</f>
        <v>61.162605936350573</v>
      </c>
      <c r="N116" s="4">
        <f>BinaryTree_put("a",S0,K116,rf,q,T,X,N)</f>
        <v>61.848104149124829</v>
      </c>
      <c r="P116" s="2">
        <v>0.98</v>
      </c>
      <c r="Q116" s="1">
        <f>S116-R116</f>
        <v>2.0592034800286587</v>
      </c>
      <c r="R116" s="4">
        <f>BinaryTree_put("e",S0,Sigma,P116,P116,T,X,N)</f>
        <v>14.037867016095172</v>
      </c>
      <c r="S116" s="4">
        <f>BinaryTree_put("a",S0,Sigma,P116,P116,T,X,N)</f>
        <v>16.09707049612383</v>
      </c>
      <c r="U116" s="2">
        <v>4.9000000000000004</v>
      </c>
      <c r="V116" s="1">
        <f>X116-W116</f>
        <v>8.8911330003789857</v>
      </c>
      <c r="W116" s="4">
        <f>BinaryTree_put("e",S0,Sigma,rf,q,U116,X,N)</f>
        <v>49.571047110051246</v>
      </c>
      <c r="X116" s="4">
        <f>BinaryTree_put("a",S0,Sigma,rf,q,U116,X,N)</f>
        <v>58.462180110430232</v>
      </c>
    </row>
    <row r="117" spans="1:24">
      <c r="A117" s="2">
        <v>396</v>
      </c>
      <c r="B117" s="1">
        <f>D117-C117</f>
        <v>0</v>
      </c>
      <c r="C117" s="4">
        <f>BinaryTree_put("e",A117,Sigma,rf,q,T,X,N)</f>
        <v>1.4375295442363922</v>
      </c>
      <c r="D117" s="4">
        <f>BinaryTree_put("a",A117,Sigma,rf,q,T,X,N)</f>
        <v>1.4375295442363922</v>
      </c>
      <c r="F117" s="2">
        <v>396</v>
      </c>
      <c r="G117" s="1">
        <f>I117-H117</f>
        <v>1.6069766043355429</v>
      </c>
      <c r="H117" s="4">
        <f>BinaryTree_put("e",S0,Sigma,rf,q,T,F117,N)</f>
        <v>94.911361482138275</v>
      </c>
      <c r="I117" s="4">
        <f>BinaryTree_put("a",S0,Sigma,rf,q,T,F117,N)</f>
        <v>96.518338086473818</v>
      </c>
      <c r="K117" s="2">
        <v>0.99</v>
      </c>
      <c r="L117" s="1">
        <f>N117-M117</f>
        <v>0.69234384888333267</v>
      </c>
      <c r="M117" s="4">
        <f>BinaryTree_put("e",S0,K117,rf,q,T,X,N)</f>
        <v>61.770058816404614</v>
      </c>
      <c r="N117" s="4">
        <f>BinaryTree_put("a",S0,K117,rf,q,T,X,N)</f>
        <v>62.462402665287946</v>
      </c>
      <c r="P117" s="2">
        <v>0.99</v>
      </c>
      <c r="Q117" s="1">
        <f>S117-R117</f>
        <v>2.0748952189024195</v>
      </c>
      <c r="R117" s="4">
        <f>BinaryTree_put("e",S0,Sigma,P117,P117,T,X,N)</f>
        <v>13.991152027610273</v>
      </c>
      <c r="S117" s="4">
        <f>BinaryTree_put("a",S0,Sigma,P117,P117,T,X,N)</f>
        <v>16.066047246512692</v>
      </c>
      <c r="U117" s="2">
        <v>4.95</v>
      </c>
      <c r="V117" s="1">
        <f>X117-W117</f>
        <v>8.9986309015222616</v>
      </c>
      <c r="W117" s="4">
        <f>BinaryTree_put("e",S0,Sigma,rf,q,U117,X,N)</f>
        <v>49.615306032909892</v>
      </c>
      <c r="X117" s="4">
        <f>BinaryTree_put("a",S0,Sigma,rf,q,U117,X,N)</f>
        <v>58.613936934432154</v>
      </c>
    </row>
    <row r="118" spans="1:24">
      <c r="A118" s="2">
        <v>398</v>
      </c>
      <c r="B118" s="1">
        <f>D118-C118</f>
        <v>0</v>
      </c>
      <c r="C118" s="4">
        <f>BinaryTree_put("e",A118,Sigma,rf,q,T,X,N)</f>
        <v>1.335558064764137</v>
      </c>
      <c r="D118" s="4">
        <f>BinaryTree_put("a",A118,Sigma,rf,q,T,X,N)</f>
        <v>1.335558064764137</v>
      </c>
      <c r="F118" s="2">
        <v>398</v>
      </c>
      <c r="G118" s="1">
        <f>I118-H118</f>
        <v>1.6355748770965022</v>
      </c>
      <c r="H118" s="4">
        <f>BinaryTree_put("e",S0,Sigma,rf,q,T,F118,N)</f>
        <v>96.756761501372338</v>
      </c>
      <c r="I118" s="4">
        <f>BinaryTree_put("a",S0,Sigma,rf,q,T,F118,N)</f>
        <v>98.392336378468841</v>
      </c>
      <c r="K118" s="2">
        <v>1</v>
      </c>
      <c r="L118" s="1">
        <f>N118-M118</f>
        <v>0.69918501707219605</v>
      </c>
      <c r="M118" s="4">
        <f>BinaryTree_put("e",S0,K118,rf,q,T,X,N)</f>
        <v>62.37701413553885</v>
      </c>
      <c r="N118" s="4">
        <f>BinaryTree_put("a",S0,K118,rf,q,T,X,N)</f>
        <v>63.076199152611046</v>
      </c>
      <c r="P118" s="2">
        <v>1</v>
      </c>
      <c r="Q118" s="1">
        <f>S118-R118</f>
        <v>2.0904936924305133</v>
      </c>
      <c r="R118" s="4">
        <f>BinaryTree_put("e",S0,Sigma,P118,P118,T,X,N)</f>
        <v>13.944592496514076</v>
      </c>
      <c r="S118" s="4">
        <f>BinaryTree_put("a",S0,Sigma,P118,P118,T,X,N)</f>
        <v>16.035086188944589</v>
      </c>
      <c r="U118" s="2">
        <v>5</v>
      </c>
      <c r="V118" s="1">
        <f>X118-W118</f>
        <v>9.1060383384179246</v>
      </c>
      <c r="W118" s="4">
        <f>BinaryTree_put("e",S0,Sigma,rf,q,U118,X,N)</f>
        <v>49.657072877257178</v>
      </c>
      <c r="X118" s="4">
        <f>BinaryTree_put("a",S0,Sigma,rf,q,U118,X,N)</f>
        <v>58.763111215675103</v>
      </c>
    </row>
    <row r="119" spans="1:24">
      <c r="A119" s="2">
        <v>400</v>
      </c>
      <c r="B119" s="1">
        <f>D119-C119</f>
        <v>0</v>
      </c>
      <c r="C119" s="4">
        <f>BinaryTree_put("e",A119,Sigma,rf,q,T,X,N)</f>
        <v>1.2335865852918864</v>
      </c>
      <c r="D119" s="4">
        <f>BinaryTree_put("a",A119,Sigma,rf,q,T,X,N)</f>
        <v>1.2335865852918864</v>
      </c>
      <c r="F119" s="2">
        <v>400</v>
      </c>
      <c r="G119" s="1">
        <f>I119-H119</f>
        <v>1.6641731498574899</v>
      </c>
      <c r="H119" s="4">
        <f>BinaryTree_put("e",S0,Sigma,rf,q,T,F119,N)</f>
        <v>98.602161520606373</v>
      </c>
      <c r="I119" s="4">
        <f>BinaryTree_put("a",S0,Sigma,rf,q,T,F119,N)</f>
        <v>100.26633467046386</v>
      </c>
      <c r="K119" s="2">
        <v>400</v>
      </c>
      <c r="L119" s="1">
        <f>N119-M119</f>
        <v>5.9009270705668087</v>
      </c>
      <c r="M119" s="4">
        <f>BinaryTree_put("e",S0,K119,rf,q,T,X,N)</f>
        <v>292.10572480594351</v>
      </c>
      <c r="N119" s="4">
        <f>BinaryTree_put("a",S0,K119,rf,q,T,X,N)</f>
        <v>298.00665187651032</v>
      </c>
      <c r="P119" s="2">
        <v>400</v>
      </c>
      <c r="Q119" s="1">
        <f>S119-R119</f>
        <v>4.3337898218674175E-14</v>
      </c>
      <c r="R119" s="4">
        <f>BinaryTree_put("e",S0,Sigma,P119,P119,T,X,N)</f>
        <v>2.4167945574436976E-57</v>
      </c>
      <c r="S119" s="4">
        <f>BinaryTree_put("a",S0,Sigma,P119,P119,T,X,N)</f>
        <v>4.3337898218674175E-14</v>
      </c>
      <c r="U119" s="2">
        <v>400</v>
      </c>
      <c r="V119" s="1">
        <f>X119-W119</f>
        <v>9.1093024002086881E-2</v>
      </c>
      <c r="W119" s="4">
        <f>BinaryTree_put("e",S0,Sigma,rf,q,U119,X,N)</f>
        <v>3.749598801831223E-12</v>
      </c>
      <c r="X119" s="4">
        <f>BinaryTree_put("a",S0,Sigma,rf,q,U119,X,N)</f>
        <v>9.1093024005836479E-2</v>
      </c>
    </row>
  </sheetData>
  <mergeCells count="2">
    <mergeCell ref="A1:G1"/>
    <mergeCell ref="A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2C66B-9E7A-4AA1-85A9-50EAFBA6446B}">
  <dimension ref="A1"/>
  <sheetViews>
    <sheetView workbookViewId="0"/>
  </sheetViews>
  <sheetFormatPr defaultRowHeight="14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13</vt:i4>
      </vt:variant>
    </vt:vector>
  </HeadingPairs>
  <TitlesOfParts>
    <vt:vector size="17" baseType="lpstr">
      <vt:lpstr>BS公式</vt:lpstr>
      <vt:lpstr>(欧美式)期权二叉树定价</vt:lpstr>
      <vt:lpstr>差值-资产价格</vt:lpstr>
      <vt:lpstr>Sheet1</vt:lpstr>
      <vt:lpstr>bs_q</vt:lpstr>
      <vt:lpstr>bs_rf</vt:lpstr>
      <vt:lpstr>bs_s</vt:lpstr>
      <vt:lpstr>bs_sigma</vt:lpstr>
      <vt:lpstr>bs_T</vt:lpstr>
      <vt:lpstr>bs_X</vt:lpstr>
      <vt:lpstr>N</vt:lpstr>
      <vt:lpstr>q</vt:lpstr>
      <vt:lpstr>rf</vt:lpstr>
      <vt:lpstr>S0</vt:lpstr>
      <vt:lpstr>Sigma</vt:lpstr>
      <vt:lpstr>T</vt:lpstr>
      <vt:lpstr>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jjj</dc:creator>
  <cp:lastModifiedBy>Liu</cp:lastModifiedBy>
  <dcterms:created xsi:type="dcterms:W3CDTF">2014-11-01T13:58:10Z</dcterms:created>
  <dcterms:modified xsi:type="dcterms:W3CDTF">2022-12-17T16:24:33Z</dcterms:modified>
</cp:coreProperties>
</file>