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kf\Dropbox\PC\Desktop\"/>
    </mc:Choice>
  </mc:AlternateContent>
  <xr:revisionPtr revIDLastSave="0" documentId="8_{FE04702A-0CE6-4DCB-964C-F471A6C64B65}" xr6:coauthVersionLast="47" xr6:coauthVersionMax="47" xr10:uidLastSave="{00000000-0000-0000-0000-000000000000}"/>
  <bookViews>
    <workbookView xWindow="-110" yWindow="-110" windowWidth="21820" windowHeight="14020" xr2:uid="{00000000-000D-0000-FFFF-FFFF00000000}"/>
  </bookViews>
  <sheets>
    <sheet name="公式应用示例" sheetId="1" r:id="rId1"/>
    <sheet name="Sheet1" sheetId="2" r:id="rId2"/>
  </sheets>
  <functionGroups builtInGroupCount="19"/>
  <definedNames>
    <definedName name="q">公式应用示例!$B$4</definedName>
    <definedName name="rf">公式应用示例!$B$3</definedName>
    <definedName name="S">公式应用示例!$B$1</definedName>
    <definedName name="T">公式应用示例!$B$5</definedName>
    <definedName name="X">公式应用示例!$B$6</definedName>
    <definedName name="σ">公式应用示例!$B$2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A18" i="1" l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29" i="1"/>
  <c r="BA53" i="1"/>
  <c r="BA77" i="1"/>
  <c r="BA101" i="1"/>
  <c r="BA17" i="1"/>
  <c r="BA57" i="1"/>
  <c r="BA105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37" i="1"/>
  <c r="BA61" i="1"/>
  <c r="BA93" i="1"/>
  <c r="BA104" i="1"/>
  <c r="BA41" i="1"/>
  <c r="BA65" i="1"/>
  <c r="BA97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21" i="1"/>
  <c r="BA45" i="1"/>
  <c r="BA69" i="1"/>
  <c r="BA85" i="1"/>
  <c r="BA109" i="1"/>
  <c r="BA33" i="1"/>
  <c r="BA81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24" i="1"/>
  <c r="BA40" i="1"/>
  <c r="BA56" i="1"/>
  <c r="BA72" i="1"/>
  <c r="BA88" i="1"/>
  <c r="BA112" i="1"/>
  <c r="BA49" i="1"/>
  <c r="BA89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32" i="1"/>
  <c r="BA48" i="1"/>
  <c r="BA64" i="1"/>
  <c r="BA80" i="1"/>
  <c r="BA96" i="1"/>
  <c r="BA25" i="1"/>
  <c r="BA73" i="1"/>
  <c r="BA113" i="1"/>
  <c r="BA16" i="1"/>
  <c r="B12" i="1"/>
  <c r="BE16" i="1"/>
  <c r="AZ17" i="1"/>
  <c r="BF17" i="1"/>
  <c r="AZ18" i="1"/>
  <c r="BF18" i="1"/>
  <c r="AZ19" i="1"/>
  <c r="BF19" i="1"/>
  <c r="AZ20" i="1"/>
  <c r="BF20" i="1"/>
  <c r="AZ21" i="1"/>
  <c r="BF21" i="1"/>
  <c r="AZ22" i="1"/>
  <c r="BF22" i="1"/>
  <c r="AZ23" i="1"/>
  <c r="BF23" i="1"/>
  <c r="AZ24" i="1"/>
  <c r="BF24" i="1"/>
  <c r="AZ25" i="1"/>
  <c r="BF25" i="1"/>
  <c r="AZ26" i="1"/>
  <c r="BF26" i="1"/>
  <c r="AZ27" i="1"/>
  <c r="BF27" i="1"/>
  <c r="AZ28" i="1"/>
  <c r="BF28" i="1"/>
  <c r="AZ29" i="1"/>
  <c r="BF29" i="1"/>
  <c r="AZ30" i="1"/>
  <c r="BF30" i="1"/>
  <c r="AZ31" i="1"/>
  <c r="BF31" i="1"/>
  <c r="AZ32" i="1"/>
  <c r="BF32" i="1"/>
  <c r="AZ33" i="1"/>
  <c r="BF33" i="1"/>
  <c r="AZ34" i="1"/>
  <c r="BF34" i="1"/>
  <c r="AZ35" i="1"/>
  <c r="BF35" i="1"/>
  <c r="AZ36" i="1"/>
  <c r="BF36" i="1"/>
  <c r="AZ37" i="1"/>
  <c r="BF37" i="1"/>
  <c r="AZ38" i="1"/>
  <c r="BF38" i="1"/>
  <c r="AZ39" i="1"/>
  <c r="BF39" i="1"/>
  <c r="AZ40" i="1"/>
  <c r="BF40" i="1"/>
  <c r="AZ41" i="1"/>
  <c r="BF41" i="1"/>
  <c r="AZ42" i="1"/>
  <c r="BF42" i="1"/>
  <c r="AZ43" i="1"/>
  <c r="BF43" i="1"/>
  <c r="AZ44" i="1"/>
  <c r="BF44" i="1"/>
  <c r="AZ45" i="1"/>
  <c r="BF45" i="1"/>
  <c r="AZ46" i="1"/>
  <c r="BF46" i="1"/>
  <c r="AZ47" i="1"/>
  <c r="BF47" i="1"/>
  <c r="AZ48" i="1"/>
  <c r="BF48" i="1"/>
  <c r="AZ49" i="1"/>
  <c r="BF49" i="1"/>
  <c r="AZ50" i="1"/>
  <c r="BF50" i="1"/>
  <c r="AZ51" i="1"/>
  <c r="BF51" i="1"/>
  <c r="AZ52" i="1"/>
  <c r="BF52" i="1"/>
  <c r="AZ53" i="1"/>
  <c r="BF53" i="1"/>
  <c r="AZ54" i="1"/>
  <c r="BF54" i="1"/>
  <c r="AZ55" i="1"/>
  <c r="BF55" i="1"/>
  <c r="AZ56" i="1"/>
  <c r="BF56" i="1"/>
  <c r="AZ57" i="1"/>
  <c r="BF57" i="1"/>
  <c r="AZ58" i="1"/>
  <c r="BF58" i="1"/>
  <c r="AZ59" i="1"/>
  <c r="BF59" i="1"/>
  <c r="AZ60" i="1"/>
  <c r="BF60" i="1"/>
  <c r="AZ61" i="1"/>
  <c r="BF61" i="1"/>
  <c r="AZ62" i="1"/>
  <c r="BF62" i="1"/>
  <c r="AZ63" i="1"/>
  <c r="BF63" i="1"/>
  <c r="AZ64" i="1"/>
  <c r="BF64" i="1"/>
  <c r="AZ65" i="1"/>
  <c r="BF65" i="1"/>
  <c r="AZ66" i="1"/>
  <c r="BF66" i="1"/>
  <c r="AZ67" i="1"/>
  <c r="BF67" i="1"/>
  <c r="AZ68" i="1"/>
  <c r="BF68" i="1"/>
  <c r="AZ69" i="1"/>
  <c r="BF69" i="1"/>
  <c r="AZ70" i="1"/>
  <c r="BF70" i="1"/>
  <c r="AZ71" i="1"/>
  <c r="BF71" i="1"/>
  <c r="AZ72" i="1"/>
  <c r="BF72" i="1"/>
  <c r="AZ73" i="1"/>
  <c r="BF73" i="1"/>
  <c r="AZ74" i="1"/>
  <c r="BF74" i="1"/>
  <c r="AZ75" i="1"/>
  <c r="BF75" i="1"/>
  <c r="AZ76" i="1"/>
  <c r="BF76" i="1"/>
  <c r="AZ77" i="1"/>
  <c r="BF77" i="1"/>
  <c r="AZ78" i="1"/>
  <c r="BF78" i="1"/>
  <c r="AZ79" i="1"/>
  <c r="BF79" i="1"/>
  <c r="AZ80" i="1"/>
  <c r="BF80" i="1"/>
  <c r="AZ81" i="1"/>
  <c r="BF81" i="1"/>
  <c r="AZ82" i="1"/>
  <c r="BF82" i="1"/>
  <c r="AZ83" i="1"/>
  <c r="BF83" i="1"/>
  <c r="AZ84" i="1"/>
  <c r="BF84" i="1"/>
  <c r="AZ85" i="1"/>
  <c r="BF85" i="1"/>
  <c r="AZ86" i="1"/>
  <c r="BF86" i="1"/>
  <c r="AZ87" i="1"/>
  <c r="BF87" i="1"/>
  <c r="AZ88" i="1"/>
  <c r="BF88" i="1"/>
  <c r="AZ89" i="1"/>
  <c r="BF89" i="1"/>
  <c r="AZ90" i="1"/>
  <c r="BF90" i="1"/>
  <c r="AZ91" i="1"/>
  <c r="BF91" i="1"/>
  <c r="AZ92" i="1"/>
  <c r="BF92" i="1"/>
  <c r="AZ93" i="1"/>
  <c r="BF93" i="1"/>
  <c r="AZ94" i="1"/>
  <c r="BF94" i="1"/>
  <c r="AZ95" i="1"/>
  <c r="BF95" i="1"/>
  <c r="AZ96" i="1"/>
  <c r="BF96" i="1"/>
  <c r="AZ97" i="1"/>
  <c r="BF97" i="1"/>
  <c r="AZ98" i="1"/>
  <c r="BF98" i="1"/>
  <c r="AZ99" i="1"/>
  <c r="BF99" i="1"/>
  <c r="AZ100" i="1"/>
  <c r="BF100" i="1"/>
  <c r="AZ101" i="1"/>
  <c r="BF101" i="1"/>
  <c r="AZ102" i="1"/>
  <c r="BF102" i="1"/>
  <c r="AZ103" i="1"/>
  <c r="BF103" i="1"/>
  <c r="AZ104" i="1"/>
  <c r="BF104" i="1"/>
  <c r="AZ105" i="1"/>
  <c r="BF105" i="1"/>
  <c r="AZ106" i="1"/>
  <c r="BF106" i="1"/>
  <c r="AZ107" i="1"/>
  <c r="BF107" i="1"/>
  <c r="AZ108" i="1"/>
  <c r="BF108" i="1"/>
  <c r="AZ109" i="1"/>
  <c r="BF109" i="1"/>
  <c r="AZ110" i="1"/>
  <c r="BF110" i="1"/>
  <c r="AZ111" i="1"/>
  <c r="BF111" i="1"/>
  <c r="AZ112" i="1"/>
  <c r="BF112" i="1"/>
  <c r="AZ113" i="1"/>
  <c r="BF113" i="1"/>
  <c r="AZ114" i="1"/>
  <c r="BF114" i="1"/>
  <c r="AZ115" i="1"/>
  <c r="BF115" i="1"/>
  <c r="BF16" i="1"/>
  <c r="AZ16" i="1"/>
  <c r="AM17" i="1"/>
  <c r="AR17" i="1"/>
  <c r="AM18" i="1"/>
  <c r="AR18" i="1"/>
  <c r="AM19" i="1"/>
  <c r="AR19" i="1"/>
  <c r="AM20" i="1"/>
  <c r="AR20" i="1"/>
  <c r="AM21" i="1"/>
  <c r="AR21" i="1"/>
  <c r="AM22" i="1"/>
  <c r="AR22" i="1"/>
  <c r="AM23" i="1"/>
  <c r="AR23" i="1"/>
  <c r="AM24" i="1"/>
  <c r="AR24" i="1"/>
  <c r="AM25" i="1"/>
  <c r="AR25" i="1"/>
  <c r="AM26" i="1"/>
  <c r="AR26" i="1"/>
  <c r="AM27" i="1"/>
  <c r="AR27" i="1"/>
  <c r="AM28" i="1"/>
  <c r="AR28" i="1"/>
  <c r="AM29" i="1"/>
  <c r="AR29" i="1"/>
  <c r="AM30" i="1"/>
  <c r="AR30" i="1"/>
  <c r="AM31" i="1"/>
  <c r="AR31" i="1"/>
  <c r="AM32" i="1"/>
  <c r="AR32" i="1"/>
  <c r="AM33" i="1"/>
  <c r="AR33" i="1"/>
  <c r="AM34" i="1"/>
  <c r="AR34" i="1"/>
  <c r="AM35" i="1"/>
  <c r="AR35" i="1"/>
  <c r="AM36" i="1"/>
  <c r="AR36" i="1"/>
  <c r="AM37" i="1"/>
  <c r="AR37" i="1"/>
  <c r="AM38" i="1"/>
  <c r="AR38" i="1"/>
  <c r="AM39" i="1"/>
  <c r="AR39" i="1"/>
  <c r="AM40" i="1"/>
  <c r="AR40" i="1"/>
  <c r="AM41" i="1"/>
  <c r="AR41" i="1"/>
  <c r="AM42" i="1"/>
  <c r="AR42" i="1"/>
  <c r="AM43" i="1"/>
  <c r="AR43" i="1"/>
  <c r="AM44" i="1"/>
  <c r="AR44" i="1"/>
  <c r="AM45" i="1"/>
  <c r="AR45" i="1"/>
  <c r="AM46" i="1"/>
  <c r="AR46" i="1"/>
  <c r="AM47" i="1"/>
  <c r="AR47" i="1"/>
  <c r="AM48" i="1"/>
  <c r="AR48" i="1"/>
  <c r="AM49" i="1"/>
  <c r="AR49" i="1"/>
  <c r="AM50" i="1"/>
  <c r="AR50" i="1"/>
  <c r="AM51" i="1"/>
  <c r="AR51" i="1"/>
  <c r="AM52" i="1"/>
  <c r="AR52" i="1"/>
  <c r="AM53" i="1"/>
  <c r="AR53" i="1"/>
  <c r="AM54" i="1"/>
  <c r="AR54" i="1"/>
  <c r="AM55" i="1"/>
  <c r="AR55" i="1"/>
  <c r="AM56" i="1"/>
  <c r="AR56" i="1"/>
  <c r="AM57" i="1"/>
  <c r="AR57" i="1"/>
  <c r="AM58" i="1"/>
  <c r="AR58" i="1"/>
  <c r="AM59" i="1"/>
  <c r="AR59" i="1"/>
  <c r="AM60" i="1"/>
  <c r="AR60" i="1"/>
  <c r="AM61" i="1"/>
  <c r="AR61" i="1"/>
  <c r="AM62" i="1"/>
  <c r="AR62" i="1"/>
  <c r="AM63" i="1"/>
  <c r="AR63" i="1"/>
  <c r="AM64" i="1"/>
  <c r="AR64" i="1"/>
  <c r="AM65" i="1"/>
  <c r="AR65" i="1"/>
  <c r="AM66" i="1"/>
  <c r="AR66" i="1"/>
  <c r="AM67" i="1"/>
  <c r="AR67" i="1"/>
  <c r="AM68" i="1"/>
  <c r="AR68" i="1"/>
  <c r="AM69" i="1"/>
  <c r="AR69" i="1"/>
  <c r="AM70" i="1"/>
  <c r="AR70" i="1"/>
  <c r="AM71" i="1"/>
  <c r="AR71" i="1"/>
  <c r="AM72" i="1"/>
  <c r="AR72" i="1"/>
  <c r="AM73" i="1"/>
  <c r="AR73" i="1"/>
  <c r="AM74" i="1"/>
  <c r="AR74" i="1"/>
  <c r="AM75" i="1"/>
  <c r="AR75" i="1"/>
  <c r="AM76" i="1"/>
  <c r="AR76" i="1"/>
  <c r="AM77" i="1"/>
  <c r="AR77" i="1"/>
  <c r="AM78" i="1"/>
  <c r="AR78" i="1"/>
  <c r="AM79" i="1"/>
  <c r="AR79" i="1"/>
  <c r="AM80" i="1"/>
  <c r="AR80" i="1"/>
  <c r="AM81" i="1"/>
  <c r="AR81" i="1"/>
  <c r="AM82" i="1"/>
  <c r="AR82" i="1"/>
  <c r="AM83" i="1"/>
  <c r="AR83" i="1"/>
  <c r="AM84" i="1"/>
  <c r="AR84" i="1"/>
  <c r="AM85" i="1"/>
  <c r="AR85" i="1"/>
  <c r="AM86" i="1"/>
  <c r="AR86" i="1"/>
  <c r="AM87" i="1"/>
  <c r="AR87" i="1"/>
  <c r="AM88" i="1"/>
  <c r="AR88" i="1"/>
  <c r="AM89" i="1"/>
  <c r="AR89" i="1"/>
  <c r="AM90" i="1"/>
  <c r="AR90" i="1"/>
  <c r="AM91" i="1"/>
  <c r="AR91" i="1"/>
  <c r="AM92" i="1"/>
  <c r="AR92" i="1"/>
  <c r="AM93" i="1"/>
  <c r="AR93" i="1"/>
  <c r="AM94" i="1"/>
  <c r="AR94" i="1"/>
  <c r="AM95" i="1"/>
  <c r="AR95" i="1"/>
  <c r="AM96" i="1"/>
  <c r="AR96" i="1"/>
  <c r="AM97" i="1"/>
  <c r="AR97" i="1"/>
  <c r="AM98" i="1"/>
  <c r="AR98" i="1"/>
  <c r="AM99" i="1"/>
  <c r="AR99" i="1"/>
  <c r="AM100" i="1"/>
  <c r="AR100" i="1"/>
  <c r="AM101" i="1"/>
  <c r="AR101" i="1"/>
  <c r="AM102" i="1"/>
  <c r="AR102" i="1"/>
  <c r="AM103" i="1"/>
  <c r="AR103" i="1"/>
  <c r="AM104" i="1"/>
  <c r="AR104" i="1"/>
  <c r="AM105" i="1"/>
  <c r="AR105" i="1"/>
  <c r="AM106" i="1"/>
  <c r="AR106" i="1"/>
  <c r="AM107" i="1"/>
  <c r="AR107" i="1"/>
  <c r="AM108" i="1"/>
  <c r="AR108" i="1"/>
  <c r="AM109" i="1"/>
  <c r="AR109" i="1"/>
  <c r="AM110" i="1"/>
  <c r="AR110" i="1"/>
  <c r="AM111" i="1"/>
  <c r="AR111" i="1"/>
  <c r="AM112" i="1"/>
  <c r="AR112" i="1"/>
  <c r="AM113" i="1"/>
  <c r="AR113" i="1"/>
  <c r="AM114" i="1"/>
  <c r="AR114" i="1"/>
  <c r="AM115" i="1"/>
  <c r="AR115" i="1"/>
  <c r="AR16" i="1"/>
  <c r="AM16" i="1"/>
  <c r="C16" i="1"/>
  <c r="Y17" i="1"/>
  <c r="AD17" i="1"/>
  <c r="Y18" i="1"/>
  <c r="AD18" i="1"/>
  <c r="Y19" i="1"/>
  <c r="AD19" i="1"/>
  <c r="Y20" i="1"/>
  <c r="AD20" i="1"/>
  <c r="Y21" i="1"/>
  <c r="AD21" i="1"/>
  <c r="Y22" i="1"/>
  <c r="AD22" i="1"/>
  <c r="Y23" i="1"/>
  <c r="AD23" i="1"/>
  <c r="Y24" i="1"/>
  <c r="AD24" i="1"/>
  <c r="Y25" i="1"/>
  <c r="AD25" i="1"/>
  <c r="Y26" i="1"/>
  <c r="AD26" i="1"/>
  <c r="Y27" i="1"/>
  <c r="AD27" i="1"/>
  <c r="Y28" i="1"/>
  <c r="AD28" i="1"/>
  <c r="Y29" i="1"/>
  <c r="AD29" i="1"/>
  <c r="Y30" i="1"/>
  <c r="AD30" i="1"/>
  <c r="Y31" i="1"/>
  <c r="AD31" i="1"/>
  <c r="Y32" i="1"/>
  <c r="AD32" i="1"/>
  <c r="Y33" i="1"/>
  <c r="AD33" i="1"/>
  <c r="Y34" i="1"/>
  <c r="AD34" i="1"/>
  <c r="Y35" i="1"/>
  <c r="AD35" i="1"/>
  <c r="Y36" i="1"/>
  <c r="AD36" i="1"/>
  <c r="Y37" i="1"/>
  <c r="AD37" i="1"/>
  <c r="Y38" i="1"/>
  <c r="AD38" i="1"/>
  <c r="Y39" i="1"/>
  <c r="AD39" i="1"/>
  <c r="Y40" i="1"/>
  <c r="AD40" i="1"/>
  <c r="Y41" i="1"/>
  <c r="AD41" i="1"/>
  <c r="Y42" i="1"/>
  <c r="AD42" i="1"/>
  <c r="Y43" i="1"/>
  <c r="AD43" i="1"/>
  <c r="Y44" i="1"/>
  <c r="AD44" i="1"/>
  <c r="Y45" i="1"/>
  <c r="AD45" i="1"/>
  <c r="Y46" i="1"/>
  <c r="AD46" i="1"/>
  <c r="Y47" i="1"/>
  <c r="AD47" i="1"/>
  <c r="Y48" i="1"/>
  <c r="AD48" i="1"/>
  <c r="Y49" i="1"/>
  <c r="AD49" i="1"/>
  <c r="Y50" i="1"/>
  <c r="AD50" i="1"/>
  <c r="Y51" i="1"/>
  <c r="AD51" i="1"/>
  <c r="Y52" i="1"/>
  <c r="AD52" i="1"/>
  <c r="Y53" i="1"/>
  <c r="AD53" i="1"/>
  <c r="Y54" i="1"/>
  <c r="AD54" i="1"/>
  <c r="Y55" i="1"/>
  <c r="AD55" i="1"/>
  <c r="Y56" i="1"/>
  <c r="AD56" i="1"/>
  <c r="Y57" i="1"/>
  <c r="AD57" i="1"/>
  <c r="Y58" i="1"/>
  <c r="AD58" i="1"/>
  <c r="Y59" i="1"/>
  <c r="AD59" i="1"/>
  <c r="Y60" i="1"/>
  <c r="AD60" i="1"/>
  <c r="Y61" i="1"/>
  <c r="AD61" i="1"/>
  <c r="Y62" i="1"/>
  <c r="AD62" i="1"/>
  <c r="Y63" i="1"/>
  <c r="AD63" i="1"/>
  <c r="Y64" i="1"/>
  <c r="AD64" i="1"/>
  <c r="Y65" i="1"/>
  <c r="AD65" i="1"/>
  <c r="Y66" i="1"/>
  <c r="AD66" i="1"/>
  <c r="Y67" i="1"/>
  <c r="AD67" i="1"/>
  <c r="Y68" i="1"/>
  <c r="AD68" i="1"/>
  <c r="Y69" i="1"/>
  <c r="AD69" i="1"/>
  <c r="Y70" i="1"/>
  <c r="AD70" i="1"/>
  <c r="Y71" i="1"/>
  <c r="AD71" i="1"/>
  <c r="Y72" i="1"/>
  <c r="AD72" i="1"/>
  <c r="Y73" i="1"/>
  <c r="AD73" i="1"/>
  <c r="Y74" i="1"/>
  <c r="AD74" i="1"/>
  <c r="Y75" i="1"/>
  <c r="AD75" i="1"/>
  <c r="Y76" i="1"/>
  <c r="AD76" i="1"/>
  <c r="Y77" i="1"/>
  <c r="AD77" i="1"/>
  <c r="Y78" i="1"/>
  <c r="AD78" i="1"/>
  <c r="Y79" i="1"/>
  <c r="AD79" i="1"/>
  <c r="Y80" i="1"/>
  <c r="AD80" i="1"/>
  <c r="Y81" i="1"/>
  <c r="AD81" i="1"/>
  <c r="Y82" i="1"/>
  <c r="AD82" i="1"/>
  <c r="Y83" i="1"/>
  <c r="AD83" i="1"/>
  <c r="Y84" i="1"/>
  <c r="AD84" i="1"/>
  <c r="Y85" i="1"/>
  <c r="AD85" i="1"/>
  <c r="Y86" i="1"/>
  <c r="AD86" i="1"/>
  <c r="Y87" i="1"/>
  <c r="AD87" i="1"/>
  <c r="Y88" i="1"/>
  <c r="AD88" i="1"/>
  <c r="Y89" i="1"/>
  <c r="AD89" i="1"/>
  <c r="Y90" i="1"/>
  <c r="AD90" i="1"/>
  <c r="Y91" i="1"/>
  <c r="AD91" i="1"/>
  <c r="Y92" i="1"/>
  <c r="AD92" i="1"/>
  <c r="Y93" i="1"/>
  <c r="AD93" i="1"/>
  <c r="Y94" i="1"/>
  <c r="AD94" i="1"/>
  <c r="Y95" i="1"/>
  <c r="AD95" i="1"/>
  <c r="Y96" i="1"/>
  <c r="AD96" i="1"/>
  <c r="Y97" i="1"/>
  <c r="AD97" i="1"/>
  <c r="Y98" i="1"/>
  <c r="AD98" i="1"/>
  <c r="Y99" i="1"/>
  <c r="AD99" i="1"/>
  <c r="Y100" i="1"/>
  <c r="AD100" i="1"/>
  <c r="Y101" i="1"/>
  <c r="AD101" i="1"/>
  <c r="Y102" i="1"/>
  <c r="AD102" i="1"/>
  <c r="Y103" i="1"/>
  <c r="AD103" i="1"/>
  <c r="Y104" i="1"/>
  <c r="AD104" i="1"/>
  <c r="Y105" i="1"/>
  <c r="AD105" i="1"/>
  <c r="Y106" i="1"/>
  <c r="AD106" i="1"/>
  <c r="Y107" i="1"/>
  <c r="AD107" i="1"/>
  <c r="Y108" i="1"/>
  <c r="AD108" i="1"/>
  <c r="Y109" i="1"/>
  <c r="AD109" i="1"/>
  <c r="Y110" i="1"/>
  <c r="AD110" i="1"/>
  <c r="Y111" i="1"/>
  <c r="AD111" i="1"/>
  <c r="Y112" i="1"/>
  <c r="AD112" i="1"/>
  <c r="Y113" i="1"/>
  <c r="AD113" i="1"/>
  <c r="Y114" i="1"/>
  <c r="AD114" i="1"/>
  <c r="Y115" i="1"/>
  <c r="AD115" i="1"/>
  <c r="AD16" i="1"/>
  <c r="H16" i="1"/>
  <c r="R16" i="1"/>
  <c r="Y16" i="1"/>
  <c r="N17" i="1"/>
  <c r="R17" i="1"/>
  <c r="N18" i="1"/>
  <c r="R18" i="1"/>
  <c r="N19" i="1"/>
  <c r="R19" i="1"/>
  <c r="N20" i="1"/>
  <c r="R20" i="1"/>
  <c r="N21" i="1"/>
  <c r="R21" i="1"/>
  <c r="N22" i="1"/>
  <c r="R22" i="1"/>
  <c r="N23" i="1"/>
  <c r="R23" i="1"/>
  <c r="N24" i="1"/>
  <c r="R24" i="1"/>
  <c r="N25" i="1"/>
  <c r="R25" i="1"/>
  <c r="N26" i="1"/>
  <c r="R26" i="1"/>
  <c r="N27" i="1"/>
  <c r="R27" i="1"/>
  <c r="N28" i="1"/>
  <c r="R28" i="1"/>
  <c r="N29" i="1"/>
  <c r="R29" i="1"/>
  <c r="N30" i="1"/>
  <c r="R30" i="1"/>
  <c r="N31" i="1"/>
  <c r="R31" i="1"/>
  <c r="N32" i="1"/>
  <c r="R32" i="1"/>
  <c r="N33" i="1"/>
  <c r="R33" i="1"/>
  <c r="N34" i="1"/>
  <c r="R34" i="1"/>
  <c r="N35" i="1"/>
  <c r="R35" i="1"/>
  <c r="N36" i="1"/>
  <c r="R36" i="1"/>
  <c r="N37" i="1"/>
  <c r="R37" i="1"/>
  <c r="N38" i="1"/>
  <c r="R38" i="1"/>
  <c r="N39" i="1"/>
  <c r="R39" i="1"/>
  <c r="N40" i="1"/>
  <c r="R40" i="1"/>
  <c r="N41" i="1"/>
  <c r="R41" i="1"/>
  <c r="N42" i="1"/>
  <c r="R42" i="1"/>
  <c r="N43" i="1"/>
  <c r="R43" i="1"/>
  <c r="N44" i="1"/>
  <c r="R44" i="1"/>
  <c r="N45" i="1"/>
  <c r="R45" i="1"/>
  <c r="N46" i="1"/>
  <c r="R46" i="1"/>
  <c r="N47" i="1"/>
  <c r="R47" i="1"/>
  <c r="N48" i="1"/>
  <c r="R48" i="1"/>
  <c r="N49" i="1"/>
  <c r="R49" i="1"/>
  <c r="N50" i="1"/>
  <c r="R50" i="1"/>
  <c r="N51" i="1"/>
  <c r="R51" i="1"/>
  <c r="N52" i="1"/>
  <c r="R52" i="1"/>
  <c r="N53" i="1"/>
  <c r="R53" i="1"/>
  <c r="N54" i="1"/>
  <c r="R54" i="1"/>
  <c r="N55" i="1"/>
  <c r="R55" i="1"/>
  <c r="N56" i="1"/>
  <c r="R56" i="1"/>
  <c r="N57" i="1"/>
  <c r="R57" i="1"/>
  <c r="N58" i="1"/>
  <c r="R58" i="1"/>
  <c r="N59" i="1"/>
  <c r="R59" i="1"/>
  <c r="N60" i="1"/>
  <c r="R60" i="1"/>
  <c r="N61" i="1"/>
  <c r="R61" i="1"/>
  <c r="N62" i="1"/>
  <c r="R62" i="1"/>
  <c r="N63" i="1"/>
  <c r="R63" i="1"/>
  <c r="N64" i="1"/>
  <c r="R64" i="1"/>
  <c r="N65" i="1"/>
  <c r="R65" i="1"/>
  <c r="N66" i="1"/>
  <c r="R66" i="1"/>
  <c r="N67" i="1"/>
  <c r="R67" i="1"/>
  <c r="N68" i="1"/>
  <c r="R68" i="1"/>
  <c r="N69" i="1"/>
  <c r="R69" i="1"/>
  <c r="N70" i="1"/>
  <c r="R70" i="1"/>
  <c r="N71" i="1"/>
  <c r="R71" i="1"/>
  <c r="N72" i="1"/>
  <c r="R72" i="1"/>
  <c r="N73" i="1"/>
  <c r="R73" i="1"/>
  <c r="N74" i="1"/>
  <c r="R74" i="1"/>
  <c r="N75" i="1"/>
  <c r="R75" i="1"/>
  <c r="N76" i="1"/>
  <c r="R76" i="1"/>
  <c r="N77" i="1"/>
  <c r="R77" i="1"/>
  <c r="N78" i="1"/>
  <c r="R78" i="1"/>
  <c r="N79" i="1"/>
  <c r="R79" i="1"/>
  <c r="N80" i="1"/>
  <c r="R80" i="1"/>
  <c r="N81" i="1"/>
  <c r="R81" i="1"/>
  <c r="N82" i="1"/>
  <c r="R82" i="1"/>
  <c r="N83" i="1"/>
  <c r="R83" i="1"/>
  <c r="N84" i="1"/>
  <c r="R84" i="1"/>
  <c r="N85" i="1"/>
  <c r="R85" i="1"/>
  <c r="N86" i="1"/>
  <c r="R86" i="1"/>
  <c r="N87" i="1"/>
  <c r="R87" i="1"/>
  <c r="N88" i="1"/>
  <c r="R88" i="1"/>
  <c r="N89" i="1"/>
  <c r="R89" i="1"/>
  <c r="N90" i="1"/>
  <c r="R90" i="1"/>
  <c r="N91" i="1"/>
  <c r="R91" i="1"/>
  <c r="N92" i="1"/>
  <c r="R92" i="1"/>
  <c r="N93" i="1"/>
  <c r="R93" i="1"/>
  <c r="N94" i="1"/>
  <c r="R94" i="1"/>
  <c r="N95" i="1"/>
  <c r="R95" i="1"/>
  <c r="N96" i="1"/>
  <c r="R96" i="1"/>
  <c r="N97" i="1"/>
  <c r="R97" i="1"/>
  <c r="N98" i="1"/>
  <c r="R98" i="1"/>
  <c r="N99" i="1"/>
  <c r="R99" i="1"/>
  <c r="N100" i="1"/>
  <c r="R100" i="1"/>
  <c r="N101" i="1"/>
  <c r="R101" i="1"/>
  <c r="N102" i="1"/>
  <c r="R102" i="1"/>
  <c r="N103" i="1"/>
  <c r="R103" i="1"/>
  <c r="N104" i="1"/>
  <c r="R104" i="1"/>
  <c r="N105" i="1"/>
  <c r="R105" i="1"/>
  <c r="N106" i="1"/>
  <c r="R106" i="1"/>
  <c r="N107" i="1"/>
  <c r="R107" i="1"/>
  <c r="N108" i="1"/>
  <c r="R108" i="1"/>
  <c r="N109" i="1"/>
  <c r="R109" i="1"/>
  <c r="N110" i="1"/>
  <c r="R110" i="1"/>
  <c r="N111" i="1"/>
  <c r="R111" i="1"/>
  <c r="N112" i="1"/>
  <c r="R112" i="1"/>
  <c r="N113" i="1"/>
  <c r="R113" i="1"/>
  <c r="N114" i="1"/>
  <c r="R114" i="1"/>
  <c r="N115" i="1"/>
  <c r="R115" i="1"/>
  <c r="N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AY17" i="1"/>
  <c r="BE19" i="1"/>
  <c r="AY21" i="1"/>
  <c r="BE23" i="1"/>
  <c r="AY25" i="1"/>
  <c r="BE27" i="1"/>
  <c r="AY29" i="1"/>
  <c r="BE31" i="1"/>
  <c r="AY33" i="1"/>
  <c r="BE35" i="1"/>
  <c r="AY37" i="1"/>
  <c r="BE39" i="1"/>
  <c r="AY41" i="1"/>
  <c r="BE43" i="1"/>
  <c r="AY45" i="1"/>
  <c r="BE47" i="1"/>
  <c r="AY49" i="1"/>
  <c r="BE51" i="1"/>
  <c r="AY53" i="1"/>
  <c r="BE55" i="1"/>
  <c r="AY57" i="1"/>
  <c r="BE59" i="1"/>
  <c r="AY61" i="1"/>
  <c r="BE63" i="1"/>
  <c r="AY65" i="1"/>
  <c r="BE67" i="1"/>
  <c r="AY69" i="1"/>
  <c r="BE71" i="1"/>
  <c r="AY73" i="1"/>
  <c r="BE75" i="1"/>
  <c r="AY77" i="1"/>
  <c r="BE79" i="1"/>
  <c r="AY81" i="1"/>
  <c r="BE83" i="1"/>
  <c r="AY85" i="1"/>
  <c r="BE87" i="1"/>
  <c r="AY89" i="1"/>
  <c r="BE91" i="1"/>
  <c r="AY93" i="1"/>
  <c r="BE95" i="1"/>
  <c r="AY97" i="1"/>
  <c r="BE99" i="1"/>
  <c r="AY101" i="1"/>
  <c r="BE103" i="1"/>
  <c r="AY105" i="1"/>
  <c r="BE107" i="1"/>
  <c r="AY109" i="1"/>
  <c r="BE111" i="1"/>
  <c r="AY113" i="1"/>
  <c r="BE115" i="1"/>
  <c r="BD48" i="1"/>
  <c r="BD84" i="1"/>
  <c r="BD100" i="1"/>
  <c r="BD47" i="1"/>
  <c r="BD75" i="1"/>
  <c r="BD99" i="1"/>
  <c r="BD115" i="1"/>
  <c r="BD18" i="1"/>
  <c r="BD22" i="1"/>
  <c r="BD26" i="1"/>
  <c r="BD30" i="1"/>
  <c r="BD34" i="1"/>
  <c r="BD38" i="1"/>
  <c r="BD42" i="1"/>
  <c r="BD46" i="1"/>
  <c r="BD50" i="1"/>
  <c r="BD54" i="1"/>
  <c r="BD58" i="1"/>
  <c r="BD62" i="1"/>
  <c r="BD66" i="1"/>
  <c r="BD70" i="1"/>
  <c r="BD74" i="1"/>
  <c r="BD78" i="1"/>
  <c r="BD82" i="1"/>
  <c r="BD86" i="1"/>
  <c r="BD90" i="1"/>
  <c r="BD94" i="1"/>
  <c r="BD98" i="1"/>
  <c r="BD102" i="1"/>
  <c r="BD106" i="1"/>
  <c r="BD110" i="1"/>
  <c r="BD114" i="1"/>
  <c r="BD80" i="1"/>
  <c r="BD88" i="1"/>
  <c r="BD104" i="1"/>
  <c r="BD107" i="1"/>
  <c r="BE18" i="1"/>
  <c r="AY20" i="1"/>
  <c r="BE22" i="1"/>
  <c r="AY24" i="1"/>
  <c r="BE26" i="1"/>
  <c r="AY28" i="1"/>
  <c r="BE30" i="1"/>
  <c r="AY32" i="1"/>
  <c r="BE34" i="1"/>
  <c r="AY36" i="1"/>
  <c r="BE38" i="1"/>
  <c r="AY40" i="1"/>
  <c r="BE42" i="1"/>
  <c r="AY44" i="1"/>
  <c r="BE46" i="1"/>
  <c r="AY48" i="1"/>
  <c r="BE50" i="1"/>
  <c r="AY52" i="1"/>
  <c r="BE54" i="1"/>
  <c r="AY56" i="1"/>
  <c r="BE58" i="1"/>
  <c r="AY60" i="1"/>
  <c r="BE62" i="1"/>
  <c r="AY64" i="1"/>
  <c r="BE66" i="1"/>
  <c r="AY68" i="1"/>
  <c r="BE70" i="1"/>
  <c r="AY72" i="1"/>
  <c r="BE74" i="1"/>
  <c r="AY76" i="1"/>
  <c r="BE78" i="1"/>
  <c r="AY80" i="1"/>
  <c r="BE82" i="1"/>
  <c r="AY84" i="1"/>
  <c r="BE86" i="1"/>
  <c r="AY88" i="1"/>
  <c r="BE90" i="1"/>
  <c r="AY92" i="1"/>
  <c r="BE94" i="1"/>
  <c r="AY96" i="1"/>
  <c r="BE98" i="1"/>
  <c r="AY100" i="1"/>
  <c r="BE102" i="1"/>
  <c r="AY104" i="1"/>
  <c r="BE106" i="1"/>
  <c r="AY108" i="1"/>
  <c r="BE110" i="1"/>
  <c r="AY112" i="1"/>
  <c r="BE114" i="1"/>
  <c r="BD64" i="1"/>
  <c r="BD76" i="1"/>
  <c r="BD108" i="1"/>
  <c r="BD91" i="1"/>
  <c r="BD17" i="1"/>
  <c r="BD21" i="1"/>
  <c r="BD25" i="1"/>
  <c r="BD29" i="1"/>
  <c r="BD33" i="1"/>
  <c r="BD37" i="1"/>
  <c r="BD41" i="1"/>
  <c r="BD45" i="1"/>
  <c r="BD49" i="1"/>
  <c r="BD53" i="1"/>
  <c r="BD57" i="1"/>
  <c r="BD61" i="1"/>
  <c r="BD65" i="1"/>
  <c r="BD69" i="1"/>
  <c r="BD73" i="1"/>
  <c r="BD77" i="1"/>
  <c r="BD81" i="1"/>
  <c r="BD85" i="1"/>
  <c r="BD89" i="1"/>
  <c r="BD93" i="1"/>
  <c r="BD97" i="1"/>
  <c r="BD101" i="1"/>
  <c r="BD105" i="1"/>
  <c r="BD109" i="1"/>
  <c r="BD113" i="1"/>
  <c r="BD44" i="1"/>
  <c r="BD52" i="1"/>
  <c r="BD56" i="1"/>
  <c r="BD60" i="1"/>
  <c r="BD68" i="1"/>
  <c r="BD72" i="1"/>
  <c r="BD92" i="1"/>
  <c r="BD96" i="1"/>
  <c r="BD71" i="1"/>
  <c r="BD95" i="1"/>
  <c r="BD103" i="1"/>
  <c r="BD111" i="1"/>
  <c r="BE17" i="1"/>
  <c r="AY19" i="1"/>
  <c r="BE21" i="1"/>
  <c r="AY23" i="1"/>
  <c r="BE25" i="1"/>
  <c r="AY27" i="1"/>
  <c r="BE29" i="1"/>
  <c r="AY31" i="1"/>
  <c r="BE33" i="1"/>
  <c r="AY35" i="1"/>
  <c r="BE37" i="1"/>
  <c r="AY39" i="1"/>
  <c r="BE41" i="1"/>
  <c r="AY43" i="1"/>
  <c r="BE45" i="1"/>
  <c r="AY47" i="1"/>
  <c r="BE49" i="1"/>
  <c r="AY51" i="1"/>
  <c r="BE53" i="1"/>
  <c r="AY55" i="1"/>
  <c r="BE57" i="1"/>
  <c r="AY59" i="1"/>
  <c r="BE61" i="1"/>
  <c r="AY63" i="1"/>
  <c r="BE65" i="1"/>
  <c r="AY67" i="1"/>
  <c r="BE69" i="1"/>
  <c r="AY71" i="1"/>
  <c r="BE73" i="1"/>
  <c r="AY75" i="1"/>
  <c r="BE77" i="1"/>
  <c r="AY79" i="1"/>
  <c r="BE81" i="1"/>
  <c r="AY83" i="1"/>
  <c r="BE85" i="1"/>
  <c r="AY87" i="1"/>
  <c r="BE89" i="1"/>
  <c r="AY91" i="1"/>
  <c r="BE93" i="1"/>
  <c r="AY95" i="1"/>
  <c r="BE97" i="1"/>
  <c r="AY99" i="1"/>
  <c r="BE101" i="1"/>
  <c r="AY103" i="1"/>
  <c r="BE105" i="1"/>
  <c r="AY107" i="1"/>
  <c r="BE109" i="1"/>
  <c r="AY111" i="1"/>
  <c r="BE113" i="1"/>
  <c r="AY115" i="1"/>
  <c r="BD112" i="1"/>
  <c r="BD83" i="1"/>
  <c r="BD20" i="1"/>
  <c r="BD24" i="1"/>
  <c r="BD28" i="1"/>
  <c r="BD32" i="1"/>
  <c r="BD36" i="1"/>
  <c r="BD40" i="1"/>
  <c r="AY18" i="1"/>
  <c r="BE20" i="1"/>
  <c r="AY22" i="1"/>
  <c r="BE24" i="1"/>
  <c r="AY26" i="1"/>
  <c r="BE28" i="1"/>
  <c r="AY30" i="1"/>
  <c r="BE32" i="1"/>
  <c r="AY34" i="1"/>
  <c r="BE36" i="1"/>
  <c r="AY38" i="1"/>
  <c r="BE40" i="1"/>
  <c r="AY42" i="1"/>
  <c r="BE44" i="1"/>
  <c r="AY46" i="1"/>
  <c r="BE48" i="1"/>
  <c r="AY50" i="1"/>
  <c r="BE52" i="1"/>
  <c r="AY54" i="1"/>
  <c r="BE56" i="1"/>
  <c r="AY58" i="1"/>
  <c r="BE60" i="1"/>
  <c r="AY62" i="1"/>
  <c r="BE64" i="1"/>
  <c r="AY66" i="1"/>
  <c r="BE68" i="1"/>
  <c r="AY70" i="1"/>
  <c r="BE72" i="1"/>
  <c r="AY74" i="1"/>
  <c r="BE76" i="1"/>
  <c r="AY78" i="1"/>
  <c r="BE80" i="1"/>
  <c r="AY82" i="1"/>
  <c r="BE84" i="1"/>
  <c r="AY86" i="1"/>
  <c r="BE88" i="1"/>
  <c r="AY90" i="1"/>
  <c r="BE92" i="1"/>
  <c r="AY94" i="1"/>
  <c r="BE96" i="1"/>
  <c r="AY98" i="1"/>
  <c r="BE100" i="1"/>
  <c r="AY102" i="1"/>
  <c r="BE104" i="1"/>
  <c r="AY106" i="1"/>
  <c r="BE108" i="1"/>
  <c r="AY110" i="1"/>
  <c r="BE112" i="1"/>
  <c r="AY114" i="1"/>
  <c r="BD19" i="1"/>
  <c r="BD23" i="1"/>
  <c r="BD27" i="1"/>
  <c r="BD31" i="1"/>
  <c r="BD35" i="1"/>
  <c r="BD39" i="1"/>
  <c r="BD43" i="1"/>
  <c r="BD51" i="1"/>
  <c r="BD55" i="1"/>
  <c r="BD59" i="1"/>
  <c r="BD63" i="1"/>
  <c r="BD67" i="1"/>
  <c r="BD79" i="1"/>
  <c r="BD87" i="1"/>
  <c r="BD16" i="1"/>
  <c r="AY16" i="1"/>
  <c r="AK17" i="1"/>
  <c r="AQ19" i="1"/>
  <c r="AK21" i="1"/>
  <c r="AQ23" i="1"/>
  <c r="AK25" i="1"/>
  <c r="AQ27" i="1"/>
  <c r="AK29" i="1"/>
  <c r="AQ31" i="1"/>
  <c r="AK33" i="1"/>
  <c r="AQ35" i="1"/>
  <c r="AK37" i="1"/>
  <c r="AQ39" i="1"/>
  <c r="AK41" i="1"/>
  <c r="AQ43" i="1"/>
  <c r="AK45" i="1"/>
  <c r="AQ47" i="1"/>
  <c r="AK49" i="1"/>
  <c r="AQ51" i="1"/>
  <c r="AK53" i="1"/>
  <c r="AQ55" i="1"/>
  <c r="AK57" i="1"/>
  <c r="AQ59" i="1"/>
  <c r="AK61" i="1"/>
  <c r="AQ63" i="1"/>
  <c r="AK65" i="1"/>
  <c r="AQ67" i="1"/>
  <c r="AK69" i="1"/>
  <c r="AQ71" i="1"/>
  <c r="AK73" i="1"/>
  <c r="AQ75" i="1"/>
  <c r="AK77" i="1"/>
  <c r="AQ79" i="1"/>
  <c r="AK81" i="1"/>
  <c r="AQ83" i="1"/>
  <c r="AK85" i="1"/>
  <c r="AQ87" i="1"/>
  <c r="AK89" i="1"/>
  <c r="AQ91" i="1"/>
  <c r="AK93" i="1"/>
  <c r="AQ95" i="1"/>
  <c r="AK97" i="1"/>
  <c r="AQ99" i="1"/>
  <c r="AK101" i="1"/>
  <c r="AQ103" i="1"/>
  <c r="AK105" i="1"/>
  <c r="AQ107" i="1"/>
  <c r="AK109" i="1"/>
  <c r="AQ111" i="1"/>
  <c r="AK113" i="1"/>
  <c r="AQ115" i="1"/>
  <c r="AL78" i="1"/>
  <c r="AL17" i="1"/>
  <c r="AP18" i="1"/>
  <c r="AL21" i="1"/>
  <c r="AP22" i="1"/>
  <c r="AL25" i="1"/>
  <c r="AP26" i="1"/>
  <c r="AL29" i="1"/>
  <c r="AP30" i="1"/>
  <c r="AL33" i="1"/>
  <c r="AP34" i="1"/>
  <c r="AL37" i="1"/>
  <c r="AP38" i="1"/>
  <c r="AL41" i="1"/>
  <c r="AP42" i="1"/>
  <c r="AL45" i="1"/>
  <c r="AP46" i="1"/>
  <c r="AL49" i="1"/>
  <c r="AP50" i="1"/>
  <c r="AL53" i="1"/>
  <c r="AP54" i="1"/>
  <c r="AL57" i="1"/>
  <c r="AP58" i="1"/>
  <c r="AL61" i="1"/>
  <c r="AP62" i="1"/>
  <c r="AL65" i="1"/>
  <c r="AP66" i="1"/>
  <c r="AL69" i="1"/>
  <c r="AP70" i="1"/>
  <c r="AL73" i="1"/>
  <c r="AP74" i="1"/>
  <c r="AL77" i="1"/>
  <c r="AP78" i="1"/>
  <c r="AL81" i="1"/>
  <c r="AP82" i="1"/>
  <c r="AL85" i="1"/>
  <c r="AP86" i="1"/>
  <c r="AL89" i="1"/>
  <c r="AP90" i="1"/>
  <c r="AL93" i="1"/>
  <c r="AP94" i="1"/>
  <c r="AL97" i="1"/>
  <c r="AP98" i="1"/>
  <c r="AL101" i="1"/>
  <c r="AP102" i="1"/>
  <c r="AL105" i="1"/>
  <c r="AP106" i="1"/>
  <c r="AL109" i="1"/>
  <c r="AP110" i="1"/>
  <c r="AL113" i="1"/>
  <c r="AP114" i="1"/>
  <c r="AQ113" i="1"/>
  <c r="AP55" i="1"/>
  <c r="AP67" i="1"/>
  <c r="AP91" i="1"/>
  <c r="AP99" i="1"/>
  <c r="AQ18" i="1"/>
  <c r="AK20" i="1"/>
  <c r="AQ22" i="1"/>
  <c r="AK24" i="1"/>
  <c r="AQ26" i="1"/>
  <c r="AK28" i="1"/>
  <c r="AQ30" i="1"/>
  <c r="AK32" i="1"/>
  <c r="AQ34" i="1"/>
  <c r="AK36" i="1"/>
  <c r="AQ38" i="1"/>
  <c r="AK40" i="1"/>
  <c r="AQ42" i="1"/>
  <c r="AK44" i="1"/>
  <c r="AQ46" i="1"/>
  <c r="AK48" i="1"/>
  <c r="AQ50" i="1"/>
  <c r="AK52" i="1"/>
  <c r="AQ54" i="1"/>
  <c r="AK56" i="1"/>
  <c r="AQ58" i="1"/>
  <c r="AK60" i="1"/>
  <c r="AQ62" i="1"/>
  <c r="AK64" i="1"/>
  <c r="AQ66" i="1"/>
  <c r="AK68" i="1"/>
  <c r="AQ70" i="1"/>
  <c r="AK72" i="1"/>
  <c r="AQ74" i="1"/>
  <c r="AK76" i="1"/>
  <c r="AQ78" i="1"/>
  <c r="AK80" i="1"/>
  <c r="AQ82" i="1"/>
  <c r="AK84" i="1"/>
  <c r="AQ86" i="1"/>
  <c r="AK88" i="1"/>
  <c r="AQ90" i="1"/>
  <c r="AK92" i="1"/>
  <c r="AQ94" i="1"/>
  <c r="AK96" i="1"/>
  <c r="AQ98" i="1"/>
  <c r="AK100" i="1"/>
  <c r="AQ102" i="1"/>
  <c r="AK104" i="1"/>
  <c r="AQ106" i="1"/>
  <c r="AK108" i="1"/>
  <c r="AQ110" i="1"/>
  <c r="AK112" i="1"/>
  <c r="AQ114" i="1"/>
  <c r="AK87" i="1"/>
  <c r="AK95" i="1"/>
  <c r="AQ97" i="1"/>
  <c r="AK103" i="1"/>
  <c r="AQ109" i="1"/>
  <c r="AP51" i="1"/>
  <c r="AL66" i="1"/>
  <c r="AP107" i="1"/>
  <c r="AP115" i="1"/>
  <c r="AP17" i="1"/>
  <c r="AL20" i="1"/>
  <c r="AP21" i="1"/>
  <c r="AL24" i="1"/>
  <c r="AP25" i="1"/>
  <c r="AL28" i="1"/>
  <c r="AP29" i="1"/>
  <c r="AL32" i="1"/>
  <c r="AP33" i="1"/>
  <c r="AL36" i="1"/>
  <c r="AP37" i="1"/>
  <c r="AL40" i="1"/>
  <c r="AP41" i="1"/>
  <c r="AL44" i="1"/>
  <c r="AP45" i="1"/>
  <c r="AL48" i="1"/>
  <c r="AP49" i="1"/>
  <c r="AL52" i="1"/>
  <c r="AP53" i="1"/>
  <c r="AL56" i="1"/>
  <c r="AP57" i="1"/>
  <c r="AL60" i="1"/>
  <c r="AP61" i="1"/>
  <c r="AL64" i="1"/>
  <c r="AP65" i="1"/>
  <c r="AL68" i="1"/>
  <c r="AP69" i="1"/>
  <c r="AL72" i="1"/>
  <c r="AP73" i="1"/>
  <c r="AL76" i="1"/>
  <c r="AP77" i="1"/>
  <c r="AL80" i="1"/>
  <c r="AP81" i="1"/>
  <c r="AL84" i="1"/>
  <c r="AP85" i="1"/>
  <c r="AL88" i="1"/>
  <c r="AP89" i="1"/>
  <c r="AL92" i="1"/>
  <c r="AP93" i="1"/>
  <c r="AL96" i="1"/>
  <c r="AP97" i="1"/>
  <c r="AL100" i="1"/>
  <c r="AP101" i="1"/>
  <c r="AL104" i="1"/>
  <c r="AP105" i="1"/>
  <c r="AL108" i="1"/>
  <c r="AP109" i="1"/>
  <c r="AL112" i="1"/>
  <c r="AP113" i="1"/>
  <c r="AK75" i="1"/>
  <c r="AQ89" i="1"/>
  <c r="AQ101" i="1"/>
  <c r="AQ105" i="1"/>
  <c r="AK111" i="1"/>
  <c r="AP35" i="1"/>
  <c r="AP59" i="1"/>
  <c r="AP71" i="1"/>
  <c r="AP83" i="1"/>
  <c r="AL94" i="1"/>
  <c r="AP103" i="1"/>
  <c r="AQ17" i="1"/>
  <c r="AK19" i="1"/>
  <c r="AQ21" i="1"/>
  <c r="AK23" i="1"/>
  <c r="AQ25" i="1"/>
  <c r="AK27" i="1"/>
  <c r="AQ29" i="1"/>
  <c r="AK31" i="1"/>
  <c r="AQ33" i="1"/>
  <c r="AK35" i="1"/>
  <c r="AQ37" i="1"/>
  <c r="AK39" i="1"/>
  <c r="AQ41" i="1"/>
  <c r="AK43" i="1"/>
  <c r="AQ45" i="1"/>
  <c r="AK47" i="1"/>
  <c r="AQ49" i="1"/>
  <c r="AK51" i="1"/>
  <c r="AQ53" i="1"/>
  <c r="AK55" i="1"/>
  <c r="AQ57" i="1"/>
  <c r="AK59" i="1"/>
  <c r="AQ61" i="1"/>
  <c r="AK63" i="1"/>
  <c r="AQ65" i="1"/>
  <c r="AK67" i="1"/>
  <c r="AQ69" i="1"/>
  <c r="AK71" i="1"/>
  <c r="AQ73" i="1"/>
  <c r="AQ77" i="1"/>
  <c r="AK79" i="1"/>
  <c r="AQ81" i="1"/>
  <c r="AK83" i="1"/>
  <c r="AQ85" i="1"/>
  <c r="AK91" i="1"/>
  <c r="AQ93" i="1"/>
  <c r="AK99" i="1"/>
  <c r="AK107" i="1"/>
  <c r="AK115" i="1"/>
  <c r="AL42" i="1"/>
  <c r="AP63" i="1"/>
  <c r="AP75" i="1"/>
  <c r="AL86" i="1"/>
  <c r="AP95" i="1"/>
  <c r="AL102" i="1"/>
  <c r="AP111" i="1"/>
  <c r="AL19" i="1"/>
  <c r="AP20" i="1"/>
  <c r="AL23" i="1"/>
  <c r="AP24" i="1"/>
  <c r="AL27" i="1"/>
  <c r="AP28" i="1"/>
  <c r="AL31" i="1"/>
  <c r="AP32" i="1"/>
  <c r="AL35" i="1"/>
  <c r="AP36" i="1"/>
  <c r="AL39" i="1"/>
  <c r="AP40" i="1"/>
  <c r="AL43" i="1"/>
  <c r="AP44" i="1"/>
  <c r="AL47" i="1"/>
  <c r="AP48" i="1"/>
  <c r="AL51" i="1"/>
  <c r="AP52" i="1"/>
  <c r="AL55" i="1"/>
  <c r="AP56" i="1"/>
  <c r="AL59" i="1"/>
  <c r="AP60" i="1"/>
  <c r="AL63" i="1"/>
  <c r="AP64" i="1"/>
  <c r="AL67" i="1"/>
  <c r="AP68" i="1"/>
  <c r="AL71" i="1"/>
  <c r="AP72" i="1"/>
  <c r="AL75" i="1"/>
  <c r="AP76" i="1"/>
  <c r="AL79" i="1"/>
  <c r="AP80" i="1"/>
  <c r="AL83" i="1"/>
  <c r="AP84" i="1"/>
  <c r="AL87" i="1"/>
  <c r="AP88" i="1"/>
  <c r="AL91" i="1"/>
  <c r="AP92" i="1"/>
  <c r="AL95" i="1"/>
  <c r="AP96" i="1"/>
  <c r="AL99" i="1"/>
  <c r="AP100" i="1"/>
  <c r="AL103" i="1"/>
  <c r="AP104" i="1"/>
  <c r="AL107" i="1"/>
  <c r="AP108" i="1"/>
  <c r="AL111" i="1"/>
  <c r="AP112" i="1"/>
  <c r="AL115" i="1"/>
  <c r="AP23" i="1"/>
  <c r="AP39" i="1"/>
  <c r="AP43" i="1"/>
  <c r="AL46" i="1"/>
  <c r="AL50" i="1"/>
  <c r="AL54" i="1"/>
  <c r="AL58" i="1"/>
  <c r="AL70" i="1"/>
  <c r="AP79" i="1"/>
  <c r="AP87" i="1"/>
  <c r="AL110" i="1"/>
  <c r="AK18" i="1"/>
  <c r="AQ20" i="1"/>
  <c r="AK22" i="1"/>
  <c r="AQ24" i="1"/>
  <c r="AK26" i="1"/>
  <c r="AQ28" i="1"/>
  <c r="AK30" i="1"/>
  <c r="AQ32" i="1"/>
  <c r="AK34" i="1"/>
  <c r="AQ36" i="1"/>
  <c r="AK38" i="1"/>
  <c r="AQ40" i="1"/>
  <c r="AK42" i="1"/>
  <c r="AQ44" i="1"/>
  <c r="AK46" i="1"/>
  <c r="AQ48" i="1"/>
  <c r="AK50" i="1"/>
  <c r="AQ52" i="1"/>
  <c r="AK54" i="1"/>
  <c r="AQ56" i="1"/>
  <c r="AK58" i="1"/>
  <c r="AQ60" i="1"/>
  <c r="AK62" i="1"/>
  <c r="AQ64" i="1"/>
  <c r="AK66" i="1"/>
  <c r="AQ68" i="1"/>
  <c r="AK70" i="1"/>
  <c r="AQ72" i="1"/>
  <c r="AK74" i="1"/>
  <c r="AQ76" i="1"/>
  <c r="AK78" i="1"/>
  <c r="AQ80" i="1"/>
  <c r="AK82" i="1"/>
  <c r="AQ84" i="1"/>
  <c r="AK86" i="1"/>
  <c r="AQ88" i="1"/>
  <c r="AK90" i="1"/>
  <c r="AQ92" i="1"/>
  <c r="AK94" i="1"/>
  <c r="AQ96" i="1"/>
  <c r="AK98" i="1"/>
  <c r="AQ100" i="1"/>
  <c r="AK102" i="1"/>
  <c r="AQ104" i="1"/>
  <c r="AK106" i="1"/>
  <c r="AQ108" i="1"/>
  <c r="AK110" i="1"/>
  <c r="AQ112" i="1"/>
  <c r="AK114" i="1"/>
  <c r="AL18" i="1"/>
  <c r="AP19" i="1"/>
  <c r="AL22" i="1"/>
  <c r="AL26" i="1"/>
  <c r="AP27" i="1"/>
  <c r="AL30" i="1"/>
  <c r="AP31" i="1"/>
  <c r="AL34" i="1"/>
  <c r="AL38" i="1"/>
  <c r="AP47" i="1"/>
  <c r="AL62" i="1"/>
  <c r="AL74" i="1"/>
  <c r="AL82" i="1"/>
  <c r="AL90" i="1"/>
  <c r="AL98" i="1"/>
  <c r="AL106" i="1"/>
  <c r="AL114" i="1"/>
  <c r="AQ16" i="1"/>
  <c r="I16" i="1"/>
  <c r="AP16" i="1"/>
  <c r="AL16" i="1"/>
  <c r="AK16" i="1"/>
  <c r="X17" i="1"/>
  <c r="Z18" i="1"/>
  <c r="X21" i="1"/>
  <c r="Z22" i="1"/>
  <c r="X25" i="1"/>
  <c r="Z26" i="1"/>
  <c r="X29" i="1"/>
  <c r="Z30" i="1"/>
  <c r="X33" i="1"/>
  <c r="Z34" i="1"/>
  <c r="X37" i="1"/>
  <c r="Z38" i="1"/>
  <c r="X41" i="1"/>
  <c r="Z42" i="1"/>
  <c r="X45" i="1"/>
  <c r="Z46" i="1"/>
  <c r="X49" i="1"/>
  <c r="Z50" i="1"/>
  <c r="X53" i="1"/>
  <c r="Z54" i="1"/>
  <c r="X57" i="1"/>
  <c r="Z58" i="1"/>
  <c r="X61" i="1"/>
  <c r="Z62" i="1"/>
  <c r="X65" i="1"/>
  <c r="Z66" i="1"/>
  <c r="X69" i="1"/>
  <c r="Z70" i="1"/>
  <c r="X73" i="1"/>
  <c r="Z74" i="1"/>
  <c r="X77" i="1"/>
  <c r="Z78" i="1"/>
  <c r="X81" i="1"/>
  <c r="Z82" i="1"/>
  <c r="X85" i="1"/>
  <c r="Z86" i="1"/>
  <c r="X89" i="1"/>
  <c r="Z90" i="1"/>
  <c r="X93" i="1"/>
  <c r="Z94" i="1"/>
  <c r="X97" i="1"/>
  <c r="Z98" i="1"/>
  <c r="X101" i="1"/>
  <c r="Z102" i="1"/>
  <c r="X105" i="1"/>
  <c r="Z106" i="1"/>
  <c r="X109" i="1"/>
  <c r="Z110" i="1"/>
  <c r="X113" i="1"/>
  <c r="Z114" i="1"/>
  <c r="AE86" i="1"/>
  <c r="AC93" i="1"/>
  <c r="AE98" i="1"/>
  <c r="AC109" i="1"/>
  <c r="AE114" i="1"/>
  <c r="X87" i="1"/>
  <c r="X95" i="1"/>
  <c r="Z100" i="1"/>
  <c r="X111" i="1"/>
  <c r="Z59" i="1"/>
  <c r="Z67" i="1"/>
  <c r="X94" i="1"/>
  <c r="X102" i="1"/>
  <c r="Z111" i="1"/>
  <c r="AC18" i="1"/>
  <c r="AE19" i="1"/>
  <c r="AC22" i="1"/>
  <c r="AE23" i="1"/>
  <c r="AC26" i="1"/>
  <c r="AE27" i="1"/>
  <c r="AC30" i="1"/>
  <c r="AE31" i="1"/>
  <c r="AC34" i="1"/>
  <c r="AE35" i="1"/>
  <c r="AC38" i="1"/>
  <c r="AE39" i="1"/>
  <c r="AC42" i="1"/>
  <c r="AE43" i="1"/>
  <c r="AC46" i="1"/>
  <c r="AE47" i="1"/>
  <c r="AC50" i="1"/>
  <c r="AE51" i="1"/>
  <c r="AC54" i="1"/>
  <c r="AE55" i="1"/>
  <c r="AC58" i="1"/>
  <c r="AE59" i="1"/>
  <c r="AC62" i="1"/>
  <c r="AE63" i="1"/>
  <c r="AC66" i="1"/>
  <c r="AE67" i="1"/>
  <c r="AC70" i="1"/>
  <c r="AE71" i="1"/>
  <c r="AC74" i="1"/>
  <c r="AE75" i="1"/>
  <c r="AC78" i="1"/>
  <c r="AE79" i="1"/>
  <c r="AC82" i="1"/>
  <c r="AE83" i="1"/>
  <c r="AC86" i="1"/>
  <c r="AE87" i="1"/>
  <c r="AC90" i="1"/>
  <c r="AE91" i="1"/>
  <c r="AC94" i="1"/>
  <c r="AE95" i="1"/>
  <c r="AC98" i="1"/>
  <c r="AE99" i="1"/>
  <c r="AC102" i="1"/>
  <c r="AE103" i="1"/>
  <c r="AC106" i="1"/>
  <c r="AE107" i="1"/>
  <c r="AC110" i="1"/>
  <c r="AE111" i="1"/>
  <c r="AC114" i="1"/>
  <c r="AE115" i="1"/>
  <c r="AE74" i="1"/>
  <c r="AE82" i="1"/>
  <c r="AE94" i="1"/>
  <c r="AC105" i="1"/>
  <c r="AE110" i="1"/>
  <c r="X99" i="1"/>
  <c r="X107" i="1"/>
  <c r="X58" i="1"/>
  <c r="X82" i="1"/>
  <c r="Z91" i="1"/>
  <c r="X98" i="1"/>
  <c r="X106" i="1"/>
  <c r="Z115" i="1"/>
  <c r="Z17" i="1"/>
  <c r="X20" i="1"/>
  <c r="Z21" i="1"/>
  <c r="X24" i="1"/>
  <c r="Z25" i="1"/>
  <c r="X28" i="1"/>
  <c r="Z29" i="1"/>
  <c r="X32" i="1"/>
  <c r="Z33" i="1"/>
  <c r="X36" i="1"/>
  <c r="Z37" i="1"/>
  <c r="X40" i="1"/>
  <c r="Z41" i="1"/>
  <c r="X44" i="1"/>
  <c r="Z45" i="1"/>
  <c r="X48" i="1"/>
  <c r="Z49" i="1"/>
  <c r="X52" i="1"/>
  <c r="Z53" i="1"/>
  <c r="X56" i="1"/>
  <c r="Z57" i="1"/>
  <c r="X60" i="1"/>
  <c r="Z61" i="1"/>
  <c r="X64" i="1"/>
  <c r="Z65" i="1"/>
  <c r="X68" i="1"/>
  <c r="Z69" i="1"/>
  <c r="X72" i="1"/>
  <c r="Z73" i="1"/>
  <c r="X76" i="1"/>
  <c r="Z77" i="1"/>
  <c r="X80" i="1"/>
  <c r="Z81" i="1"/>
  <c r="X84" i="1"/>
  <c r="Z85" i="1"/>
  <c r="X88" i="1"/>
  <c r="Z89" i="1"/>
  <c r="X92" i="1"/>
  <c r="Z93" i="1"/>
  <c r="X96" i="1"/>
  <c r="Z97" i="1"/>
  <c r="X100" i="1"/>
  <c r="Z101" i="1"/>
  <c r="X104" i="1"/>
  <c r="Z105" i="1"/>
  <c r="X108" i="1"/>
  <c r="Z109" i="1"/>
  <c r="X112" i="1"/>
  <c r="Z113" i="1"/>
  <c r="AE78" i="1"/>
  <c r="AC89" i="1"/>
  <c r="AC101" i="1"/>
  <c r="AE106" i="1"/>
  <c r="AC113" i="1"/>
  <c r="X103" i="1"/>
  <c r="Z108" i="1"/>
  <c r="X115" i="1"/>
  <c r="Z43" i="1"/>
  <c r="Z75" i="1"/>
  <c r="Z83" i="1"/>
  <c r="X110" i="1"/>
  <c r="AC17" i="1"/>
  <c r="AE18" i="1"/>
  <c r="AC21" i="1"/>
  <c r="AE22" i="1"/>
  <c r="AC25" i="1"/>
  <c r="AE26" i="1"/>
  <c r="AC29" i="1"/>
  <c r="AE30" i="1"/>
  <c r="AC33" i="1"/>
  <c r="AE34" i="1"/>
  <c r="AC37" i="1"/>
  <c r="AE38" i="1"/>
  <c r="AC41" i="1"/>
  <c r="AE42" i="1"/>
  <c r="AC45" i="1"/>
  <c r="AE46" i="1"/>
  <c r="AC49" i="1"/>
  <c r="AE50" i="1"/>
  <c r="AC53" i="1"/>
  <c r="AE54" i="1"/>
  <c r="AC57" i="1"/>
  <c r="AE58" i="1"/>
  <c r="AC61" i="1"/>
  <c r="AE62" i="1"/>
  <c r="AC65" i="1"/>
  <c r="AE66" i="1"/>
  <c r="AC69" i="1"/>
  <c r="AE70" i="1"/>
  <c r="AC73" i="1"/>
  <c r="AC77" i="1"/>
  <c r="AC81" i="1"/>
  <c r="AC85" i="1"/>
  <c r="AE90" i="1"/>
  <c r="AC97" i="1"/>
  <c r="AE102" i="1"/>
  <c r="Z92" i="1"/>
  <c r="Z104" i="1"/>
  <c r="Z112" i="1"/>
  <c r="Z47" i="1"/>
  <c r="X62" i="1"/>
  <c r="X70" i="1"/>
  <c r="Z79" i="1"/>
  <c r="X90" i="1"/>
  <c r="Z99" i="1"/>
  <c r="X19" i="1"/>
  <c r="Z20" i="1"/>
  <c r="X23" i="1"/>
  <c r="Z24" i="1"/>
  <c r="X27" i="1"/>
  <c r="Z28" i="1"/>
  <c r="X31" i="1"/>
  <c r="Z32" i="1"/>
  <c r="X35" i="1"/>
  <c r="Z36" i="1"/>
  <c r="X39" i="1"/>
  <c r="Z40" i="1"/>
  <c r="X43" i="1"/>
  <c r="Z44" i="1"/>
  <c r="X47" i="1"/>
  <c r="Z48" i="1"/>
  <c r="X51" i="1"/>
  <c r="Z52" i="1"/>
  <c r="X55" i="1"/>
  <c r="Z56" i="1"/>
  <c r="X59" i="1"/>
  <c r="Z60" i="1"/>
  <c r="X63" i="1"/>
  <c r="Z64" i="1"/>
  <c r="X67" i="1"/>
  <c r="Z68" i="1"/>
  <c r="X71" i="1"/>
  <c r="Z72" i="1"/>
  <c r="X75" i="1"/>
  <c r="Z76" i="1"/>
  <c r="X79" i="1"/>
  <c r="Z80" i="1"/>
  <c r="X83" i="1"/>
  <c r="Z84" i="1"/>
  <c r="Z88" i="1"/>
  <c r="X91" i="1"/>
  <c r="Z96" i="1"/>
  <c r="Z51" i="1"/>
  <c r="Z71" i="1"/>
  <c r="X86" i="1"/>
  <c r="Z107" i="1"/>
  <c r="AE17" i="1"/>
  <c r="AC20" i="1"/>
  <c r="AE21" i="1"/>
  <c r="AC24" i="1"/>
  <c r="AE25" i="1"/>
  <c r="AC28" i="1"/>
  <c r="AE29" i="1"/>
  <c r="AC32" i="1"/>
  <c r="AE33" i="1"/>
  <c r="AC36" i="1"/>
  <c r="AE37" i="1"/>
  <c r="AC40" i="1"/>
  <c r="AE41" i="1"/>
  <c r="AC44" i="1"/>
  <c r="AE45" i="1"/>
  <c r="AC48" i="1"/>
  <c r="AE49" i="1"/>
  <c r="AC52" i="1"/>
  <c r="AE53" i="1"/>
  <c r="AC56" i="1"/>
  <c r="AE57" i="1"/>
  <c r="AC60" i="1"/>
  <c r="AE61" i="1"/>
  <c r="AC64" i="1"/>
  <c r="AE65" i="1"/>
  <c r="AC68" i="1"/>
  <c r="AE69" i="1"/>
  <c r="AC72" i="1"/>
  <c r="AE73" i="1"/>
  <c r="AC76" i="1"/>
  <c r="AE77" i="1"/>
  <c r="AC80" i="1"/>
  <c r="AE81" i="1"/>
  <c r="AC84" i="1"/>
  <c r="AE85" i="1"/>
  <c r="AC88" i="1"/>
  <c r="AE89" i="1"/>
  <c r="AC92" i="1"/>
  <c r="AE93" i="1"/>
  <c r="AC96" i="1"/>
  <c r="AE97" i="1"/>
  <c r="AC100" i="1"/>
  <c r="AE101" i="1"/>
  <c r="AC104" i="1"/>
  <c r="AE105" i="1"/>
  <c r="AC108" i="1"/>
  <c r="AE109" i="1"/>
  <c r="AC112" i="1"/>
  <c r="AE113" i="1"/>
  <c r="X18" i="1"/>
  <c r="Z19" i="1"/>
  <c r="X22" i="1"/>
  <c r="Z23" i="1"/>
  <c r="X26" i="1"/>
  <c r="Z27" i="1"/>
  <c r="X30" i="1"/>
  <c r="Z31" i="1"/>
  <c r="X34" i="1"/>
  <c r="Z35" i="1"/>
  <c r="X38" i="1"/>
  <c r="Z39" i="1"/>
  <c r="X42" i="1"/>
  <c r="X46" i="1"/>
  <c r="X50" i="1"/>
  <c r="X54" i="1"/>
  <c r="Z63" i="1"/>
  <c r="X66" i="1"/>
  <c r="X74" i="1"/>
  <c r="Z87" i="1"/>
  <c r="Z95" i="1"/>
  <c r="X114" i="1"/>
  <c r="AC19" i="1"/>
  <c r="AE20" i="1"/>
  <c r="AC23" i="1"/>
  <c r="AE24" i="1"/>
  <c r="AC27" i="1"/>
  <c r="AE28" i="1"/>
  <c r="AC31" i="1"/>
  <c r="AE32" i="1"/>
  <c r="AC35" i="1"/>
  <c r="AE36" i="1"/>
  <c r="AC39" i="1"/>
  <c r="AE40" i="1"/>
  <c r="AC43" i="1"/>
  <c r="AE44" i="1"/>
  <c r="AC47" i="1"/>
  <c r="AE48" i="1"/>
  <c r="AC51" i="1"/>
  <c r="AE52" i="1"/>
  <c r="AC55" i="1"/>
  <c r="AE56" i="1"/>
  <c r="AC59" i="1"/>
  <c r="AE60" i="1"/>
  <c r="AC63" i="1"/>
  <c r="AE64" i="1"/>
  <c r="AC67" i="1"/>
  <c r="AE68" i="1"/>
  <c r="AC71" i="1"/>
  <c r="AE72" i="1"/>
  <c r="AC75" i="1"/>
  <c r="AE76" i="1"/>
  <c r="AC79" i="1"/>
  <c r="AE80" i="1"/>
  <c r="AC83" i="1"/>
  <c r="AE84" i="1"/>
  <c r="AC87" i="1"/>
  <c r="AE88" i="1"/>
  <c r="AC91" i="1"/>
  <c r="AE92" i="1"/>
  <c r="AC95" i="1"/>
  <c r="AE96" i="1"/>
  <c r="AC99" i="1"/>
  <c r="AE100" i="1"/>
  <c r="AC103" i="1"/>
  <c r="AE104" i="1"/>
  <c r="AC107" i="1"/>
  <c r="AE108" i="1"/>
  <c r="AC111" i="1"/>
  <c r="AE112" i="1"/>
  <c r="AC115" i="1"/>
  <c r="Z55" i="1"/>
  <c r="X78" i="1"/>
  <c r="Z103" i="1"/>
  <c r="AE16" i="1"/>
  <c r="AC16" i="1"/>
  <c r="Z16" i="1"/>
  <c r="D16" i="1"/>
  <c r="X16" i="1"/>
  <c r="M17" i="1"/>
  <c r="O18" i="1"/>
  <c r="M21" i="1"/>
  <c r="O22" i="1"/>
  <c r="M25" i="1"/>
  <c r="O26" i="1"/>
  <c r="M29" i="1"/>
  <c r="O30" i="1"/>
  <c r="M33" i="1"/>
  <c r="O34" i="1"/>
  <c r="M37" i="1"/>
  <c r="O38" i="1"/>
  <c r="M41" i="1"/>
  <c r="O42" i="1"/>
  <c r="M45" i="1"/>
  <c r="O46" i="1"/>
  <c r="M49" i="1"/>
  <c r="O50" i="1"/>
  <c r="M53" i="1"/>
  <c r="O54" i="1"/>
  <c r="M57" i="1"/>
  <c r="O58" i="1"/>
  <c r="M61" i="1"/>
  <c r="O62" i="1"/>
  <c r="M65" i="1"/>
  <c r="O66" i="1"/>
  <c r="M69" i="1"/>
  <c r="O70" i="1"/>
  <c r="M73" i="1"/>
  <c r="O74" i="1"/>
  <c r="M77" i="1"/>
  <c r="O78" i="1"/>
  <c r="M81" i="1"/>
  <c r="O82" i="1"/>
  <c r="M85" i="1"/>
  <c r="O86" i="1"/>
  <c r="M89" i="1"/>
  <c r="O90" i="1"/>
  <c r="M93" i="1"/>
  <c r="O94" i="1"/>
  <c r="M97" i="1"/>
  <c r="O98" i="1"/>
  <c r="M101" i="1"/>
  <c r="O102" i="1"/>
  <c r="M105" i="1"/>
  <c r="O106" i="1"/>
  <c r="M109" i="1"/>
  <c r="O110" i="1"/>
  <c r="M113" i="1"/>
  <c r="Q18" i="1"/>
  <c r="S19" i="1"/>
  <c r="Q22" i="1"/>
  <c r="S23" i="1"/>
  <c r="Q26" i="1"/>
  <c r="S27" i="1"/>
  <c r="Q30" i="1"/>
  <c r="S31" i="1"/>
  <c r="Q34" i="1"/>
  <c r="S35" i="1"/>
  <c r="Q38" i="1"/>
  <c r="S39" i="1"/>
  <c r="Q42" i="1"/>
  <c r="S43" i="1"/>
  <c r="Q46" i="1"/>
  <c r="S47" i="1"/>
  <c r="Q50" i="1"/>
  <c r="S51" i="1"/>
  <c r="Q54" i="1"/>
  <c r="S55" i="1"/>
  <c r="Q58" i="1"/>
  <c r="S59" i="1"/>
  <c r="Q62" i="1"/>
  <c r="S63" i="1"/>
  <c r="Q66" i="1"/>
  <c r="S67" i="1"/>
  <c r="Q70" i="1"/>
  <c r="S71" i="1"/>
  <c r="Q74" i="1"/>
  <c r="S75" i="1"/>
  <c r="Q78" i="1"/>
  <c r="S79" i="1"/>
  <c r="Q82" i="1"/>
  <c r="S83" i="1"/>
  <c r="Q86" i="1"/>
  <c r="S87" i="1"/>
  <c r="Q90" i="1"/>
  <c r="S91" i="1"/>
  <c r="Q94" i="1"/>
  <c r="S95" i="1"/>
  <c r="Q98" i="1"/>
  <c r="S99" i="1"/>
  <c r="Q102" i="1"/>
  <c r="S103" i="1"/>
  <c r="Q106" i="1"/>
  <c r="S107" i="1"/>
  <c r="Q110" i="1"/>
  <c r="S111" i="1"/>
  <c r="Q114" i="1"/>
  <c r="S115" i="1"/>
  <c r="O88" i="1"/>
  <c r="O100" i="1"/>
  <c r="O104" i="1"/>
  <c r="M115" i="1"/>
  <c r="S48" i="1"/>
  <c r="Q71" i="1"/>
  <c r="Q79" i="1"/>
  <c r="S100" i="1"/>
  <c r="Q107" i="1"/>
  <c r="Q115" i="1"/>
  <c r="O17" i="1"/>
  <c r="M20" i="1"/>
  <c r="O21" i="1"/>
  <c r="M24" i="1"/>
  <c r="O25" i="1"/>
  <c r="M28" i="1"/>
  <c r="O29" i="1"/>
  <c r="M32" i="1"/>
  <c r="O33" i="1"/>
  <c r="M36" i="1"/>
  <c r="O37" i="1"/>
  <c r="M40" i="1"/>
  <c r="O41" i="1"/>
  <c r="M44" i="1"/>
  <c r="O45" i="1"/>
  <c r="M48" i="1"/>
  <c r="O49" i="1"/>
  <c r="M52" i="1"/>
  <c r="O53" i="1"/>
  <c r="M56" i="1"/>
  <c r="O57" i="1"/>
  <c r="M60" i="1"/>
  <c r="O61" i="1"/>
  <c r="M64" i="1"/>
  <c r="O65" i="1"/>
  <c r="M68" i="1"/>
  <c r="O69" i="1"/>
  <c r="M72" i="1"/>
  <c r="O73" i="1"/>
  <c r="M76" i="1"/>
  <c r="O77" i="1"/>
  <c r="M80" i="1"/>
  <c r="O81" i="1"/>
  <c r="M84" i="1"/>
  <c r="O85" i="1"/>
  <c r="M88" i="1"/>
  <c r="O89" i="1"/>
  <c r="M92" i="1"/>
  <c r="O93" i="1"/>
  <c r="M96" i="1"/>
  <c r="O97" i="1"/>
  <c r="M100" i="1"/>
  <c r="O101" i="1"/>
  <c r="M104" i="1"/>
  <c r="O105" i="1"/>
  <c r="M108" i="1"/>
  <c r="O109" i="1"/>
  <c r="M112" i="1"/>
  <c r="O113" i="1"/>
  <c r="M79" i="1"/>
  <c r="O84" i="1"/>
  <c r="O92" i="1"/>
  <c r="O96" i="1"/>
  <c r="M107" i="1"/>
  <c r="M111" i="1"/>
  <c r="S44" i="1"/>
  <c r="S72" i="1"/>
  <c r="S84" i="1"/>
  <c r="S92" i="1"/>
  <c r="S108" i="1"/>
  <c r="Q17" i="1"/>
  <c r="S18" i="1"/>
  <c r="Q21" i="1"/>
  <c r="S22" i="1"/>
  <c r="Q25" i="1"/>
  <c r="S26" i="1"/>
  <c r="Q29" i="1"/>
  <c r="S30" i="1"/>
  <c r="Q33" i="1"/>
  <c r="S34" i="1"/>
  <c r="Q37" i="1"/>
  <c r="S38" i="1"/>
  <c r="Q41" i="1"/>
  <c r="S42" i="1"/>
  <c r="Q45" i="1"/>
  <c r="S46" i="1"/>
  <c r="Q49" i="1"/>
  <c r="S50" i="1"/>
  <c r="Q53" i="1"/>
  <c r="S54" i="1"/>
  <c r="Q57" i="1"/>
  <c r="S58" i="1"/>
  <c r="Q61" i="1"/>
  <c r="S62" i="1"/>
  <c r="Q65" i="1"/>
  <c r="S66" i="1"/>
  <c r="Q69" i="1"/>
  <c r="S70" i="1"/>
  <c r="Q73" i="1"/>
  <c r="S74" i="1"/>
  <c r="Q77" i="1"/>
  <c r="S78" i="1"/>
  <c r="Q81" i="1"/>
  <c r="S82" i="1"/>
  <c r="Q85" i="1"/>
  <c r="S86" i="1"/>
  <c r="Q89" i="1"/>
  <c r="S90" i="1"/>
  <c r="Q93" i="1"/>
  <c r="S94" i="1"/>
  <c r="Q97" i="1"/>
  <c r="S98" i="1"/>
  <c r="Q101" i="1"/>
  <c r="S102" i="1"/>
  <c r="Q105" i="1"/>
  <c r="S106" i="1"/>
  <c r="Q109" i="1"/>
  <c r="S110" i="1"/>
  <c r="Q113" i="1"/>
  <c r="S114" i="1"/>
  <c r="M75" i="1"/>
  <c r="O112" i="1"/>
  <c r="S64" i="1"/>
  <c r="S76" i="1"/>
  <c r="S88" i="1"/>
  <c r="Q99" i="1"/>
  <c r="M19" i="1"/>
  <c r="O20" i="1"/>
  <c r="M23" i="1"/>
  <c r="O24" i="1"/>
  <c r="M27" i="1"/>
  <c r="O28" i="1"/>
  <c r="M31" i="1"/>
  <c r="O32" i="1"/>
  <c r="M35" i="1"/>
  <c r="O36" i="1"/>
  <c r="M39" i="1"/>
  <c r="O40" i="1"/>
  <c r="M43" i="1"/>
  <c r="O44" i="1"/>
  <c r="M47" i="1"/>
  <c r="O48" i="1"/>
  <c r="M51" i="1"/>
  <c r="O52" i="1"/>
  <c r="M55" i="1"/>
  <c r="O56" i="1"/>
  <c r="M59" i="1"/>
  <c r="O60" i="1"/>
  <c r="M63" i="1"/>
  <c r="O64" i="1"/>
  <c r="M67" i="1"/>
  <c r="O68" i="1"/>
  <c r="M71" i="1"/>
  <c r="O72" i="1"/>
  <c r="O76" i="1"/>
  <c r="O80" i="1"/>
  <c r="M83" i="1"/>
  <c r="M87" i="1"/>
  <c r="M91" i="1"/>
  <c r="M95" i="1"/>
  <c r="M99" i="1"/>
  <c r="M103" i="1"/>
  <c r="O108" i="1"/>
  <c r="Q63" i="1"/>
  <c r="Q75" i="1"/>
  <c r="Q95" i="1"/>
  <c r="S17" i="1"/>
  <c r="Q20" i="1"/>
  <c r="S21" i="1"/>
  <c r="Q24" i="1"/>
  <c r="S25" i="1"/>
  <c r="Q28" i="1"/>
  <c r="S29" i="1"/>
  <c r="Q32" i="1"/>
  <c r="S33" i="1"/>
  <c r="Q36" i="1"/>
  <c r="S37" i="1"/>
  <c r="Q40" i="1"/>
  <c r="S41" i="1"/>
  <c r="Q44" i="1"/>
  <c r="S45" i="1"/>
  <c r="Q48" i="1"/>
  <c r="S49" i="1"/>
  <c r="Q52" i="1"/>
  <c r="S53" i="1"/>
  <c r="Q56" i="1"/>
  <c r="S57" i="1"/>
  <c r="Q60" i="1"/>
  <c r="S61" i="1"/>
  <c r="Q64" i="1"/>
  <c r="S65" i="1"/>
  <c r="Q68" i="1"/>
  <c r="S69" i="1"/>
  <c r="Q72" i="1"/>
  <c r="S73" i="1"/>
  <c r="Q76" i="1"/>
  <c r="S77" i="1"/>
  <c r="Q80" i="1"/>
  <c r="S81" i="1"/>
  <c r="Q84" i="1"/>
  <c r="S85" i="1"/>
  <c r="Q88" i="1"/>
  <c r="S89" i="1"/>
  <c r="Q92" i="1"/>
  <c r="S93" i="1"/>
  <c r="Q96" i="1"/>
  <c r="S97" i="1"/>
  <c r="Q100" i="1"/>
  <c r="S101" i="1"/>
  <c r="Q104" i="1"/>
  <c r="S105" i="1"/>
  <c r="Q108" i="1"/>
  <c r="S109" i="1"/>
  <c r="Q112" i="1"/>
  <c r="S113" i="1"/>
  <c r="Q19" i="1"/>
  <c r="Q23" i="1"/>
  <c r="S28" i="1"/>
  <c r="Q31" i="1"/>
  <c r="S36" i="1"/>
  <c r="Q39" i="1"/>
  <c r="Q47" i="1"/>
  <c r="S52" i="1"/>
  <c r="Q55" i="1"/>
  <c r="Q59" i="1"/>
  <c r="Q67" i="1"/>
  <c r="S80" i="1"/>
  <c r="Q87" i="1"/>
  <c r="S96" i="1"/>
  <c r="S104" i="1"/>
  <c r="S112" i="1"/>
  <c r="M18" i="1"/>
  <c r="O19" i="1"/>
  <c r="M22" i="1"/>
  <c r="O23" i="1"/>
  <c r="M26" i="1"/>
  <c r="O27" i="1"/>
  <c r="M30" i="1"/>
  <c r="O31" i="1"/>
  <c r="M34" i="1"/>
  <c r="O35" i="1"/>
  <c r="M38" i="1"/>
  <c r="O39" i="1"/>
  <c r="M42" i="1"/>
  <c r="O43" i="1"/>
  <c r="M46" i="1"/>
  <c r="O47" i="1"/>
  <c r="M50" i="1"/>
  <c r="O51" i="1"/>
  <c r="M54" i="1"/>
  <c r="O55" i="1"/>
  <c r="M58" i="1"/>
  <c r="O59" i="1"/>
  <c r="M62" i="1"/>
  <c r="O63" i="1"/>
  <c r="M66" i="1"/>
  <c r="O67" i="1"/>
  <c r="M70" i="1"/>
  <c r="O71" i="1"/>
  <c r="M74" i="1"/>
  <c r="O75" i="1"/>
  <c r="M78" i="1"/>
  <c r="O79" i="1"/>
  <c r="M82" i="1"/>
  <c r="O83" i="1"/>
  <c r="M86" i="1"/>
  <c r="O87" i="1"/>
  <c r="M90" i="1"/>
  <c r="O91" i="1"/>
  <c r="M94" i="1"/>
  <c r="O95" i="1"/>
  <c r="M98" i="1"/>
  <c r="O99" i="1"/>
  <c r="M102" i="1"/>
  <c r="O103" i="1"/>
  <c r="M106" i="1"/>
  <c r="O107" i="1"/>
  <c r="M110" i="1"/>
  <c r="O111" i="1"/>
  <c r="M114" i="1"/>
  <c r="O115" i="1"/>
  <c r="S20" i="1"/>
  <c r="S24" i="1"/>
  <c r="Q27" i="1"/>
  <c r="S32" i="1"/>
  <c r="Q35" i="1"/>
  <c r="S40" i="1"/>
  <c r="Q43" i="1"/>
  <c r="Q51" i="1"/>
  <c r="S56" i="1"/>
  <c r="S60" i="1"/>
  <c r="S68" i="1"/>
  <c r="Q83" i="1"/>
  <c r="Q91" i="1"/>
  <c r="Q103" i="1"/>
  <c r="Q111" i="1"/>
  <c r="O114" i="1"/>
  <c r="S16" i="1"/>
  <c r="Q16" i="1"/>
  <c r="M16" i="1"/>
  <c r="O16" i="1"/>
  <c r="B16" i="1"/>
  <c r="G17" i="1"/>
  <c r="I19" i="1"/>
  <c r="G25" i="1"/>
  <c r="I27" i="1"/>
  <c r="G33" i="1"/>
  <c r="I35" i="1"/>
  <c r="G41" i="1"/>
  <c r="I43" i="1"/>
  <c r="G49" i="1"/>
  <c r="I51" i="1"/>
  <c r="G57" i="1"/>
  <c r="I59" i="1"/>
  <c r="G65" i="1"/>
  <c r="I67" i="1"/>
  <c r="G73" i="1"/>
  <c r="I75" i="1"/>
  <c r="G81" i="1"/>
  <c r="I83" i="1"/>
  <c r="G89" i="1"/>
  <c r="G97" i="1"/>
  <c r="I107" i="1"/>
  <c r="G113" i="1"/>
  <c r="I69" i="1"/>
  <c r="G91" i="1"/>
  <c r="I109" i="1"/>
  <c r="G20" i="1"/>
  <c r="I22" i="1"/>
  <c r="G28" i="1"/>
  <c r="I30" i="1"/>
  <c r="G36" i="1"/>
  <c r="I38" i="1"/>
  <c r="G44" i="1"/>
  <c r="I46" i="1"/>
  <c r="G52" i="1"/>
  <c r="I54" i="1"/>
  <c r="G60" i="1"/>
  <c r="I62" i="1"/>
  <c r="G68" i="1"/>
  <c r="I70" i="1"/>
  <c r="G76" i="1"/>
  <c r="I78" i="1"/>
  <c r="G84" i="1"/>
  <c r="I86" i="1"/>
  <c r="G92" i="1"/>
  <c r="I94" i="1"/>
  <c r="G100" i="1"/>
  <c r="I102" i="1"/>
  <c r="G108" i="1"/>
  <c r="I110" i="1"/>
  <c r="G109" i="1"/>
  <c r="G27" i="1"/>
  <c r="G83" i="1"/>
  <c r="I101" i="1"/>
  <c r="G115" i="1"/>
  <c r="I17" i="1"/>
  <c r="G23" i="1"/>
  <c r="I25" i="1"/>
  <c r="G31" i="1"/>
  <c r="I33" i="1"/>
  <c r="G39" i="1"/>
  <c r="I41" i="1"/>
  <c r="G47" i="1"/>
  <c r="I49" i="1"/>
  <c r="G55" i="1"/>
  <c r="I57" i="1"/>
  <c r="G63" i="1"/>
  <c r="I65" i="1"/>
  <c r="G71" i="1"/>
  <c r="I73" i="1"/>
  <c r="G79" i="1"/>
  <c r="I81" i="1"/>
  <c r="G87" i="1"/>
  <c r="I89" i="1"/>
  <c r="G95" i="1"/>
  <c r="I97" i="1"/>
  <c r="G103" i="1"/>
  <c r="I105" i="1"/>
  <c r="G111" i="1"/>
  <c r="I113" i="1"/>
  <c r="G93" i="1"/>
  <c r="I103" i="1"/>
  <c r="G35" i="1"/>
  <c r="G59" i="1"/>
  <c r="I85" i="1"/>
  <c r="G18" i="1"/>
  <c r="I20" i="1"/>
  <c r="G26" i="1"/>
  <c r="I28" i="1"/>
  <c r="G34" i="1"/>
  <c r="I36" i="1"/>
  <c r="G42" i="1"/>
  <c r="I44" i="1"/>
  <c r="G50" i="1"/>
  <c r="I52" i="1"/>
  <c r="G58" i="1"/>
  <c r="I60" i="1"/>
  <c r="G66" i="1"/>
  <c r="I68" i="1"/>
  <c r="G74" i="1"/>
  <c r="I76" i="1"/>
  <c r="G82" i="1"/>
  <c r="I84" i="1"/>
  <c r="G90" i="1"/>
  <c r="I92" i="1"/>
  <c r="G98" i="1"/>
  <c r="I100" i="1"/>
  <c r="G106" i="1"/>
  <c r="I108" i="1"/>
  <c r="G114" i="1"/>
  <c r="I95" i="1"/>
  <c r="G99" i="1"/>
  <c r="G21" i="1"/>
  <c r="I23" i="1"/>
  <c r="G29" i="1"/>
  <c r="I31" i="1"/>
  <c r="G37" i="1"/>
  <c r="I39" i="1"/>
  <c r="G45" i="1"/>
  <c r="I47" i="1"/>
  <c r="G53" i="1"/>
  <c r="I55" i="1"/>
  <c r="G61" i="1"/>
  <c r="I63" i="1"/>
  <c r="G69" i="1"/>
  <c r="I71" i="1"/>
  <c r="G77" i="1"/>
  <c r="I79" i="1"/>
  <c r="G85" i="1"/>
  <c r="I87" i="1"/>
  <c r="G101" i="1"/>
  <c r="I111" i="1"/>
  <c r="I29" i="1"/>
  <c r="G51" i="1"/>
  <c r="G67" i="1"/>
  <c r="I18" i="1"/>
  <c r="G24" i="1"/>
  <c r="I26" i="1"/>
  <c r="G32" i="1"/>
  <c r="I34" i="1"/>
  <c r="G40" i="1"/>
  <c r="I42" i="1"/>
  <c r="G48" i="1"/>
  <c r="I50" i="1"/>
  <c r="G56" i="1"/>
  <c r="I58" i="1"/>
  <c r="G64" i="1"/>
  <c r="I66" i="1"/>
  <c r="G72" i="1"/>
  <c r="I74" i="1"/>
  <c r="G80" i="1"/>
  <c r="I82" i="1"/>
  <c r="G88" i="1"/>
  <c r="I90" i="1"/>
  <c r="G96" i="1"/>
  <c r="I98" i="1"/>
  <c r="G104" i="1"/>
  <c r="I106" i="1"/>
  <c r="G112" i="1"/>
  <c r="I114" i="1"/>
  <c r="G19" i="1"/>
  <c r="I21" i="1"/>
  <c r="I37" i="1"/>
  <c r="I45" i="1"/>
  <c r="I53" i="1"/>
  <c r="I61" i="1"/>
  <c r="I77" i="1"/>
  <c r="I93" i="1"/>
  <c r="G107" i="1"/>
  <c r="G22" i="1"/>
  <c r="I24" i="1"/>
  <c r="G30" i="1"/>
  <c r="I32" i="1"/>
  <c r="G38" i="1"/>
  <c r="I40" i="1"/>
  <c r="G46" i="1"/>
  <c r="I48" i="1"/>
  <c r="G54" i="1"/>
  <c r="I56" i="1"/>
  <c r="G62" i="1"/>
  <c r="I64" i="1"/>
  <c r="G70" i="1"/>
  <c r="I72" i="1"/>
  <c r="G78" i="1"/>
  <c r="I80" i="1"/>
  <c r="G86" i="1"/>
  <c r="I88" i="1"/>
  <c r="G94" i="1"/>
  <c r="I96" i="1"/>
  <c r="G102" i="1"/>
  <c r="I104" i="1"/>
  <c r="G110" i="1"/>
  <c r="I112" i="1"/>
  <c r="I91" i="1"/>
  <c r="I99" i="1"/>
  <c r="G105" i="1"/>
  <c r="I115" i="1"/>
  <c r="G43" i="1"/>
  <c r="G75" i="1"/>
  <c r="G16" i="1"/>
  <c r="D29" i="1"/>
  <c r="D57" i="1"/>
  <c r="D85" i="1"/>
  <c r="D17" i="1"/>
  <c r="D21" i="1"/>
  <c r="D33" i="1"/>
  <c r="D37" i="1"/>
  <c r="D45" i="1"/>
  <c r="D65" i="1"/>
  <c r="D89" i="1"/>
  <c r="D113" i="1"/>
  <c r="D26" i="1"/>
  <c r="D50" i="1"/>
  <c r="D58" i="1"/>
  <c r="D66" i="1"/>
  <c r="D74" i="1"/>
  <c r="D82" i="1"/>
  <c r="D90" i="1"/>
  <c r="D98" i="1"/>
  <c r="D106" i="1"/>
  <c r="D114" i="1"/>
  <c r="D19" i="1"/>
  <c r="D23" i="1"/>
  <c r="D27" i="1"/>
  <c r="D31" i="1"/>
  <c r="D39" i="1"/>
  <c r="D43" i="1"/>
  <c r="D47" i="1"/>
  <c r="D51" i="1"/>
  <c r="D59" i="1"/>
  <c r="D67" i="1"/>
  <c r="D75" i="1"/>
  <c r="D87" i="1"/>
  <c r="D99" i="1"/>
  <c r="D115" i="1"/>
  <c r="D69" i="1"/>
  <c r="D101" i="1"/>
  <c r="D18" i="1"/>
  <c r="D22" i="1"/>
  <c r="D30" i="1"/>
  <c r="D34" i="1"/>
  <c r="D38" i="1"/>
  <c r="D42" i="1"/>
  <c r="D46" i="1"/>
  <c r="D54" i="1"/>
  <c r="D62" i="1"/>
  <c r="D70" i="1"/>
  <c r="D78" i="1"/>
  <c r="D86" i="1"/>
  <c r="D94" i="1"/>
  <c r="D102" i="1"/>
  <c r="D110" i="1"/>
  <c r="D63" i="1"/>
  <c r="D71" i="1"/>
  <c r="D83" i="1"/>
  <c r="D91" i="1"/>
  <c r="D103" i="1"/>
  <c r="D53" i="1"/>
  <c r="D97" i="1"/>
  <c r="D55" i="1"/>
  <c r="D107" i="1"/>
  <c r="D61" i="1"/>
  <c r="D81" i="1"/>
  <c r="D109" i="1"/>
  <c r="D35" i="1"/>
  <c r="D79" i="1"/>
  <c r="D95" i="1"/>
  <c r="D111" i="1"/>
  <c r="D77" i="1"/>
  <c r="D105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25" i="1"/>
  <c r="D41" i="1"/>
  <c r="D49" i="1"/>
  <c r="D73" i="1"/>
  <c r="D93" i="1"/>
  <c r="B17" i="1"/>
  <c r="B25" i="1"/>
  <c r="B33" i="1"/>
  <c r="B41" i="1"/>
  <c r="B49" i="1"/>
  <c r="B57" i="1"/>
  <c r="B65" i="1"/>
  <c r="B97" i="1"/>
  <c r="B18" i="1"/>
  <c r="B26" i="1"/>
  <c r="B34" i="1"/>
  <c r="B42" i="1"/>
  <c r="B50" i="1"/>
  <c r="B58" i="1"/>
  <c r="B66" i="1"/>
  <c r="B74" i="1"/>
  <c r="B82" i="1"/>
  <c r="B90" i="1"/>
  <c r="B114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08" i="1"/>
  <c r="B37" i="1"/>
  <c r="B53" i="1"/>
  <c r="B69" i="1"/>
  <c r="B93" i="1"/>
  <c r="B70" i="1"/>
  <c r="B102" i="1"/>
  <c r="B112" i="1"/>
  <c r="B81" i="1"/>
  <c r="B106" i="1"/>
  <c r="B20" i="1"/>
  <c r="B28" i="1"/>
  <c r="B36" i="1"/>
  <c r="B44" i="1"/>
  <c r="B52" i="1"/>
  <c r="B60" i="1"/>
  <c r="B68" i="1"/>
  <c r="B76" i="1"/>
  <c r="B84" i="1"/>
  <c r="B92" i="1"/>
  <c r="B100" i="1"/>
  <c r="B29" i="1"/>
  <c r="B45" i="1"/>
  <c r="B61" i="1"/>
  <c r="B85" i="1"/>
  <c r="B109" i="1"/>
  <c r="B86" i="1"/>
  <c r="B104" i="1"/>
  <c r="B105" i="1"/>
  <c r="B21" i="1"/>
  <c r="B77" i="1"/>
  <c r="B101" i="1"/>
  <c r="B94" i="1"/>
  <c r="B96" i="1"/>
  <c r="B113" i="1"/>
  <c r="B22" i="1"/>
  <c r="B30" i="1"/>
  <c r="B38" i="1"/>
  <c r="B46" i="1"/>
  <c r="B54" i="1"/>
  <c r="B62" i="1"/>
  <c r="B78" i="1"/>
  <c r="B110" i="1"/>
  <c r="B89" i="1"/>
  <c r="B23" i="1"/>
  <c r="B31" i="1"/>
  <c r="B39" i="1"/>
  <c r="B47" i="1"/>
  <c r="B55" i="1"/>
  <c r="B63" i="1"/>
  <c r="B71" i="1"/>
  <c r="B79" i="1"/>
  <c r="B87" i="1"/>
  <c r="B95" i="1"/>
  <c r="B103" i="1"/>
  <c r="B111" i="1"/>
  <c r="B24" i="1"/>
  <c r="B32" i="1"/>
  <c r="B40" i="1"/>
  <c r="B48" i="1"/>
  <c r="B56" i="1"/>
  <c r="B64" i="1"/>
  <c r="B72" i="1"/>
  <c r="B80" i="1"/>
  <c r="B88" i="1"/>
  <c r="B73" i="1"/>
  <c r="B98" i="1"/>
  <c r="B13" i="1"/>
  <c r="B11" i="1"/>
  <c r="B10" i="1"/>
  <c r="B9" i="1"/>
  <c r="B8" i="1"/>
</calcChain>
</file>

<file path=xl/sharedStrings.xml><?xml version="1.0" encoding="utf-8"?>
<sst xmlns="http://schemas.openxmlformats.org/spreadsheetml/2006/main" count="62" uniqueCount="44">
  <si>
    <t>看涨期权B-S</t>
    <phoneticPr fontId="1" type="noConversion"/>
  </si>
  <si>
    <t>看跌期权B-S</t>
    <phoneticPr fontId="1" type="noConversion"/>
  </si>
  <si>
    <t>资产价格(S)</t>
    <phoneticPr fontId="1" type="noConversion"/>
  </si>
  <si>
    <r>
      <t>资产波动率(</t>
    </r>
    <r>
      <rPr>
        <sz val="20"/>
        <rFont val="Tahoma"/>
        <family val="2"/>
      </rPr>
      <t>σ</t>
    </r>
    <r>
      <rPr>
        <sz val="20"/>
        <rFont val="宋体"/>
        <family val="3"/>
        <charset val="134"/>
      </rPr>
      <t>)</t>
    </r>
    <phoneticPr fontId="1" type="noConversion"/>
  </si>
  <si>
    <t>红利率(q)</t>
    <phoneticPr fontId="1" type="noConversion"/>
  </si>
  <si>
    <t>到期期限(T,year)</t>
    <phoneticPr fontId="1" type="noConversion"/>
  </si>
  <si>
    <t>无风险利率（ r )</t>
    <phoneticPr fontId="1" type="noConversion"/>
  </si>
  <si>
    <t>执行价格（X）</t>
    <phoneticPr fontId="1" type="noConversion"/>
  </si>
  <si>
    <t>bs_call(S,σ,rf,q,T,X)</t>
    <phoneticPr fontId="1" type="noConversion"/>
  </si>
  <si>
    <t>bs_put(S,σ,rf,q,T,X)</t>
    <phoneticPr fontId="1" type="noConversion"/>
  </si>
  <si>
    <t>函数名</t>
    <phoneticPr fontId="1" type="noConversion"/>
  </si>
  <si>
    <t>操作说明：1.该工作簿中函数参数顺序完全一致，参数依次表示：标的资产价格，标的资产的波动率，无风险利率，红利率，期权到期期限（以年为单位），执行价格。参数个数不可缺少，顺序不可倒换</t>
    <phoneticPr fontId="1" type="noConversion"/>
  </si>
  <si>
    <t>in_val_call(S,σ,rf,q,T,X)</t>
    <phoneticPr fontId="1" type="noConversion"/>
  </si>
  <si>
    <t>用途</t>
    <phoneticPr fontId="1" type="noConversion"/>
  </si>
  <si>
    <t>in_val_put(S,σ,rf,q,T,X)</t>
    <phoneticPr fontId="1" type="noConversion"/>
  </si>
  <si>
    <t>floor_call(S,σ,rf,q,T,X)</t>
    <phoneticPr fontId="1" type="noConversion"/>
  </si>
  <si>
    <t>floor_put(S,σ,rf,q,T,X)</t>
    <phoneticPr fontId="1" type="noConversion"/>
  </si>
  <si>
    <t>计算欧式看涨期权价值</t>
    <phoneticPr fontId="1" type="noConversion"/>
  </si>
  <si>
    <t>计算欧式看跌期权价值</t>
    <phoneticPr fontId="1" type="noConversion"/>
  </si>
  <si>
    <t>计算看涨期权内在价值</t>
    <phoneticPr fontId="1" type="noConversion"/>
  </si>
  <si>
    <t>计算看跌期权内在价值</t>
    <phoneticPr fontId="1" type="noConversion"/>
  </si>
  <si>
    <t>计算欧式看涨期权下限</t>
    <phoneticPr fontId="1" type="noConversion"/>
  </si>
  <si>
    <t>计算欧式看跌期权下限</t>
    <phoneticPr fontId="1" type="noConversion"/>
  </si>
  <si>
    <t>看涨期权内在价值</t>
    <phoneticPr fontId="1" type="noConversion"/>
  </si>
  <si>
    <t>看跌期权内在价值</t>
    <phoneticPr fontId="1" type="noConversion"/>
  </si>
  <si>
    <t>欧式看涨下限</t>
    <phoneticPr fontId="1" type="noConversion"/>
  </si>
  <si>
    <t>欧式看跌下限</t>
    <phoneticPr fontId="1" type="noConversion"/>
  </si>
  <si>
    <t>资产价格</t>
    <phoneticPr fontId="1" type="noConversion"/>
  </si>
  <si>
    <t>看涨期权的价值</t>
    <phoneticPr fontId="1" type="noConversion"/>
  </si>
  <si>
    <t>看涨期权的上限</t>
    <phoneticPr fontId="1" type="noConversion"/>
  </si>
  <si>
    <t>看涨期权的下限</t>
    <phoneticPr fontId="1" type="noConversion"/>
  </si>
  <si>
    <t>看跌期权的价值</t>
    <phoneticPr fontId="1" type="noConversion"/>
  </si>
  <si>
    <t>看跌期权的上限</t>
    <phoneticPr fontId="1" type="noConversion"/>
  </si>
  <si>
    <t>看跌期权的下限</t>
    <phoneticPr fontId="1" type="noConversion"/>
  </si>
  <si>
    <t>执行价格</t>
    <phoneticPr fontId="1" type="noConversion"/>
  </si>
  <si>
    <t>到期期限</t>
    <phoneticPr fontId="1" type="noConversion"/>
  </si>
  <si>
    <t>波动率</t>
    <phoneticPr fontId="1" type="noConversion"/>
  </si>
  <si>
    <t>看涨期权价值</t>
    <phoneticPr fontId="1" type="noConversion"/>
  </si>
  <si>
    <t>看涨期权下限</t>
    <phoneticPr fontId="1" type="noConversion"/>
  </si>
  <si>
    <t>看涨期权上限</t>
    <phoneticPr fontId="1" type="noConversion"/>
  </si>
  <si>
    <t>看跌期权价值</t>
    <phoneticPr fontId="1" type="noConversion"/>
  </si>
  <si>
    <t>看跌期权下限</t>
    <phoneticPr fontId="1" type="noConversion"/>
  </si>
  <si>
    <t>看跌期权上限</t>
    <phoneticPr fontId="1" type="noConversion"/>
  </si>
  <si>
    <t>无风险利率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</si>
</sst>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20"/>
      <name val="Tahoma"/>
      <family val="2"/>
    </font>
    <font>
      <b/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4" borderId="1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3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看涨期权的价值、上下限随资产价格的变化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公式应用示例!$B$15</c:f>
              <c:strCache>
                <c:ptCount val="1"/>
                <c:pt idx="0">
                  <c:v>看涨期权的价值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公式应用示例!$B$16:$B$115</c:f>
              <c:numCache>
                <c:formatCode>General</c:formatCode>
                <c:ptCount val="100"/>
                <c:pt idx="0">
                  <c:v>2.3918898115314945E-33</c:v>
                </c:pt>
                <c:pt idx="1">
                  <c:v>1.769849265371335E-24</c:v>
                </c:pt>
                <c:pt idx="2">
                  <c:v>6.2452578664080619E-20</c:v>
                </c:pt>
                <c:pt idx="3">
                  <c:v>5.4534253251635885E-17</c:v>
                </c:pt>
                <c:pt idx="4">
                  <c:v>7.1686735509831068E-15</c:v>
                </c:pt>
                <c:pt idx="5">
                  <c:v>3.0309412121634828E-13</c:v>
                </c:pt>
                <c:pt idx="6">
                  <c:v>6.0678801346844447E-12</c:v>
                </c:pt>
                <c:pt idx="7">
                  <c:v>7.1816816427662705E-11</c:v>
                </c:pt>
                <c:pt idx="8">
                  <c:v>5.7708298282254981E-10</c:v>
                </c:pt>
                <c:pt idx="9">
                  <c:v>3.450379027926914E-9</c:v>
                </c:pt>
                <c:pt idx="10">
                  <c:v>1.635744030548058E-8</c:v>
                </c:pt>
                <c:pt idx="11">
                  <c:v>6.4365019685376627E-8</c:v>
                </c:pt>
                <c:pt idx="12">
                  <c:v>2.1747154114171288E-7</c:v>
                </c:pt>
                <c:pt idx="13">
                  <c:v>6.4739954677905324E-7</c:v>
                </c:pt>
                <c:pt idx="14">
                  <c:v>1.7324235449130088E-6</c:v>
                </c:pt>
                <c:pt idx="15">
                  <c:v>4.2336894622861302E-6</c:v>
                </c:pt>
                <c:pt idx="16">
                  <c:v>9.5693593551405773E-6</c:v>
                </c:pt>
                <c:pt idx="17">
                  <c:v>2.0213124719624837E-5</c:v>
                </c:pt>
                <c:pt idx="18">
                  <c:v>4.0240749328823201E-5</c:v>
                </c:pt>
                <c:pt idx="19">
                  <c:v>7.6042404278583607E-5</c:v>
                </c:pt>
                <c:pt idx="20">
                  <c:v>1.3721016580646407E-4</c:v>
                </c:pt>
                <c:pt idx="21">
                  <c:v>2.3759999618804158E-4</c:v>
                </c:pt>
                <c:pt idx="22">
                  <c:v>3.9655680674199629E-4</c:v>
                </c:pt>
                <c:pt idx="23">
                  <c:v>6.4028079401398305E-4</c:v>
                </c:pt>
                <c:pt idx="24">
                  <c:v>1.0033040056264975E-3</c:v>
                </c:pt>
                <c:pt idx="25">
                  <c:v>1.5300386887204878E-3</c:v>
                </c:pt>
                <c:pt idx="26">
                  <c:v>2.2763538213526127E-3</c:v>
                </c:pt>
                <c:pt idx="27">
                  <c:v>3.3111335085672274E-3</c:v>
                </c:pt>
                <c:pt idx="28">
                  <c:v>4.717770612336171E-3</c:v>
                </c:pt>
                <c:pt idx="29">
                  <c:v>6.5955508813518166E-3</c:v>
                </c:pt>
                <c:pt idx="30">
                  <c:v>9.0608866350296996E-3</c:v>
                </c:pt>
                <c:pt idx="31">
                  <c:v>1.2248364344945417E-2</c:v>
                </c:pt>
                <c:pt idx="32">
                  <c:v>1.6311576824332014E-2</c:v>
                </c:pt>
                <c:pt idx="33">
                  <c:v>2.1423717764184919E-2</c:v>
                </c:pt>
                <c:pt idx="34">
                  <c:v>2.7777923655141146E-2</c:v>
                </c:pt>
                <c:pt idx="35">
                  <c:v>3.5587355367639351E-2</c:v>
                </c:pt>
                <c:pt idx="36">
                  <c:v>4.5085018547197597E-2</c:v>
                </c:pt>
                <c:pt idx="37">
                  <c:v>5.6523328297291231E-2</c:v>
                </c:pt>
                <c:pt idx="38">
                  <c:v>7.0173429210926619E-2</c:v>
                </c:pt>
                <c:pt idx="39">
                  <c:v>8.6324286572258768E-2</c:v>
                </c:pt>
                <c:pt idx="40">
                  <c:v>0.10528156843057257</c:v>
                </c:pt>
                <c:pt idx="41">
                  <c:v>0.1273663412424656</c:v>
                </c:pt>
                <c:pt idx="42">
                  <c:v>0.15291360391041486</c:v>
                </c:pt>
                <c:pt idx="43">
                  <c:v>0.18227068636990884</c:v>
                </c:pt>
                <c:pt idx="44">
                  <c:v>0.21579553946472796</c:v>
                </c:pt>
                <c:pt idx="45">
                  <c:v>0.25385494278515708</c:v>
                </c:pt>
                <c:pt idx="46">
                  <c:v>0.29682265651757911</c:v>
                </c:pt>
                <c:pt idx="47">
                  <c:v>0.34507754225952292</c:v>
                </c:pt>
                <c:pt idx="48">
                  <c:v>0.39900167628278416</c:v>
                </c:pt>
                <c:pt idx="49">
                  <c:v>0.45897847696594196</c:v>
                </c:pt>
                <c:pt idx="50">
                  <c:v>0.52539086614704189</c:v>
                </c:pt>
                <c:pt idx="51">
                  <c:v>0.59861948203987136</c:v>
                </c:pt>
                <c:pt idx="52">
                  <c:v>0.67904095917768581</c:v>
                </c:pt>
                <c:pt idx="53">
                  <c:v>0.7670262886517305</c:v>
                </c:pt>
                <c:pt idx="54">
                  <c:v>0.86293926974501289</c:v>
                </c:pt>
                <c:pt idx="55">
                  <c:v>0.96713506196317844</c:v>
                </c:pt>
                <c:pt idx="56">
                  <c:v>1.0799588444641799</c:v>
                </c:pt>
                <c:pt idx="57">
                  <c:v>1.2017445880100333</c:v>
                </c:pt>
                <c:pt idx="58">
                  <c:v>1.3328139428244796</c:v>
                </c:pt>
                <c:pt idx="59">
                  <c:v>1.4734752441505687</c:v>
                </c:pt>
                <c:pt idx="60">
                  <c:v>1.624022635868843</c:v>
                </c:pt>
                <c:pt idx="61">
                  <c:v>1.7847353112617075</c:v>
                </c:pt>
                <c:pt idx="62">
                  <c:v>1.9558768688918491</c:v>
                </c:pt>
                <c:pt idx="63">
                  <c:v>2.1376947805978972</c:v>
                </c:pt>
                <c:pt idx="64">
                  <c:v>2.3304199677930182</c:v>
                </c:pt>
                <c:pt idx="65">
                  <c:v>2.5342664815736047</c:v>
                </c:pt>
                <c:pt idx="66">
                  <c:v>2.7494312815971558</c:v>
                </c:pt>
                <c:pt idx="67">
                  <c:v>2.976094108260062</c:v>
                </c:pt>
                <c:pt idx="68">
                  <c:v>3.2144174423883936</c:v>
                </c:pt>
                <c:pt idx="69">
                  <c:v>3.464546546435777</c:v>
                </c:pt>
                <c:pt idx="70">
                  <c:v>3.7266095810531592</c:v>
                </c:pt>
                <c:pt idx="71">
                  <c:v>4.0007177908442415</c:v>
                </c:pt>
                <c:pt idx="72">
                  <c:v>4.2869657531386842</c:v>
                </c:pt>
                <c:pt idx="73">
                  <c:v>4.5854316836925335</c:v>
                </c:pt>
                <c:pt idx="74">
                  <c:v>4.8961777933541804</c:v>
                </c:pt>
                <c:pt idx="75">
                  <c:v>5.2192506899046514</c:v>
                </c:pt>
                <c:pt idx="76">
                  <c:v>5.5546818194872536</c:v>
                </c:pt>
                <c:pt idx="77">
                  <c:v>5.9024879422757586</c:v>
                </c:pt>
                <c:pt idx="78">
                  <c:v>6.2626716372856457</c:v>
                </c:pt>
                <c:pt idx="79">
                  <c:v>6.635221831505806</c:v>
                </c:pt>
                <c:pt idx="80">
                  <c:v>7.0201143488107185</c:v>
                </c:pt>
                <c:pt idx="81">
                  <c:v>7.4173124744040067</c:v>
                </c:pt>
                <c:pt idx="82">
                  <c:v>7.8267675308369604</c:v>
                </c:pt>
                <c:pt idx="83">
                  <c:v>8.248419461939303</c:v>
                </c:pt>
                <c:pt idx="84">
                  <c:v>8.6821974212884285</c:v>
                </c:pt>
                <c:pt idx="85">
                  <c:v>9.1280203621286802</c:v>
                </c:pt>
                <c:pt idx="86">
                  <c:v>9.5857976259284925</c:v>
                </c:pt>
                <c:pt idx="87">
                  <c:v>10.05542952703118</c:v>
                </c:pt>
                <c:pt idx="88">
                  <c:v>10.536807931112698</c:v>
                </c:pt>
                <c:pt idx="89">
                  <c:v>11.029816825405717</c:v>
                </c:pt>
                <c:pt idx="90">
                  <c:v>11.534332878883021</c:v>
                </c:pt>
                <c:pt idx="91">
                  <c:v>12.050225990815051</c:v>
                </c:pt>
                <c:pt idx="92">
                  <c:v>12.577359826324347</c:v>
                </c:pt>
                <c:pt idx="93">
                  <c:v>13.115592337755167</c:v>
                </c:pt>
                <c:pt idx="94">
                  <c:v>13.664776270858965</c:v>
                </c:pt>
                <c:pt idx="95">
                  <c:v>14.224759654965546</c:v>
                </c:pt>
                <c:pt idx="96">
                  <c:v>14.795386276466516</c:v>
                </c:pt>
                <c:pt idx="97">
                  <c:v>15.376496135082093</c:v>
                </c:pt>
                <c:pt idx="98">
                  <c:v>15.967925882514386</c:v>
                </c:pt>
                <c:pt idx="99">
                  <c:v>16.569509243211563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B-464A-A186-E8ED497530F2}"/>
            </c:ext>
          </c:extLst>
        </c:ser>
        <c:ser>
          <c:idx val="1"/>
          <c:order val="1"/>
          <c:tx>
            <c:strRef>
              <c:f>公式应用示例!$C$15</c:f>
              <c:strCache>
                <c:ptCount val="1"/>
                <c:pt idx="0">
                  <c:v>看涨期权的上限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公式应用示例!$C$16:$C$115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AB-464A-A186-E8ED497530F2}"/>
            </c:ext>
          </c:extLst>
        </c:ser>
        <c:ser>
          <c:idx val="2"/>
          <c:order val="2"/>
          <c:tx>
            <c:strRef>
              <c:f>公式应用示例!$D$15</c:f>
              <c:strCache>
                <c:ptCount val="1"/>
                <c:pt idx="0">
                  <c:v>看涨期权的下限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公式应用示例!$D$16:$D$115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AB-464A-A186-E8ED49753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949279"/>
        <c:axId val="547939295"/>
      </c:lineChart>
      <c:catAx>
        <c:axId val="547949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资产价格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939295"/>
        <c:crosses val="autoZero"/>
        <c:auto val="1"/>
        <c:lblAlgn val="ctr"/>
        <c:lblOffset val="100"/>
        <c:noMultiLvlLbl val="0"/>
      </c:catAx>
      <c:valAx>
        <c:axId val="54793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94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baseline="0">
                <a:effectLst/>
              </a:rPr>
              <a:t>看</a:t>
            </a:r>
            <a:r>
              <a:rPr lang="zh-CN" altLang="en-US" sz="1400" b="0" i="0" baseline="0">
                <a:effectLst/>
              </a:rPr>
              <a:t>跌</a:t>
            </a:r>
            <a:r>
              <a:rPr lang="zh-CN" altLang="zh-CN" sz="1400" b="0" i="0" baseline="0">
                <a:effectLst/>
              </a:rPr>
              <a:t>期权的价值、上下限随资产价格的变化</a:t>
            </a:r>
            <a:endParaRPr lang="zh-CN" altLang="zh-CN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公式应用示例!$G$15</c:f>
              <c:strCache>
                <c:ptCount val="1"/>
                <c:pt idx="0">
                  <c:v>看跌期权的价值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公式应用示例!$G$16:$G$115</c:f>
              <c:numCache>
                <c:formatCode>General</c:formatCode>
                <c:ptCount val="100"/>
                <c:pt idx="0">
                  <c:v>96.044553354850819</c:v>
                </c:pt>
                <c:pt idx="1">
                  <c:v>95.044553354850819</c:v>
                </c:pt>
                <c:pt idx="2">
                  <c:v>94.044553354850819</c:v>
                </c:pt>
                <c:pt idx="3">
                  <c:v>93.044553354850819</c:v>
                </c:pt>
                <c:pt idx="4">
                  <c:v>92.044553354850834</c:v>
                </c:pt>
                <c:pt idx="5">
                  <c:v>91.044553354851118</c:v>
                </c:pt>
                <c:pt idx="6">
                  <c:v>90.044553354856887</c:v>
                </c:pt>
                <c:pt idx="7">
                  <c:v>89.044553354922641</c:v>
                </c:pt>
                <c:pt idx="8">
                  <c:v>88.044553355427908</c:v>
                </c:pt>
                <c:pt idx="9">
                  <c:v>87.044553358301201</c:v>
                </c:pt>
                <c:pt idx="10">
                  <c:v>86.044553371208266</c:v>
                </c:pt>
                <c:pt idx="11">
                  <c:v>85.044553419215831</c:v>
                </c:pt>
                <c:pt idx="12">
                  <c:v>84.044553572322357</c:v>
                </c:pt>
                <c:pt idx="13">
                  <c:v>83.044554002250379</c:v>
                </c:pt>
                <c:pt idx="14">
                  <c:v>82.044555087274361</c:v>
                </c:pt>
                <c:pt idx="15">
                  <c:v>81.044557588540286</c:v>
                </c:pt>
                <c:pt idx="16">
                  <c:v>80.044562924210169</c:v>
                </c:pt>
                <c:pt idx="17">
                  <c:v>79.044573567975547</c:v>
                </c:pt>
                <c:pt idx="18">
                  <c:v>78.044593595600148</c:v>
                </c:pt>
                <c:pt idx="19">
                  <c:v>77.044629397255108</c:v>
                </c:pt>
                <c:pt idx="20">
                  <c:v>76.044690565016623</c:v>
                </c:pt>
                <c:pt idx="21">
                  <c:v>75.044790954847002</c:v>
                </c:pt>
                <c:pt idx="22">
                  <c:v>74.044949911657568</c:v>
                </c:pt>
                <c:pt idx="23">
                  <c:v>73.045193635644836</c:v>
                </c:pt>
                <c:pt idx="24">
                  <c:v>72.045556658856441</c:v>
                </c:pt>
                <c:pt idx="25">
                  <c:v>71.046083393539533</c:v>
                </c:pt>
                <c:pt idx="26">
                  <c:v>70.046829708672163</c:v>
                </c:pt>
                <c:pt idx="27">
                  <c:v>69.04786448835938</c:v>
                </c:pt>
                <c:pt idx="28">
                  <c:v>68.04927112546315</c:v>
                </c:pt>
                <c:pt idx="29">
                  <c:v>67.051148905732163</c:v>
                </c:pt>
                <c:pt idx="30">
                  <c:v>66.05361424148586</c:v>
                </c:pt>
                <c:pt idx="31">
                  <c:v>65.056801719195761</c:v>
                </c:pt>
                <c:pt idx="32">
                  <c:v>64.060864931675155</c:v>
                </c:pt>
                <c:pt idx="33">
                  <c:v>63.065977072615006</c:v>
                </c:pt>
                <c:pt idx="34">
                  <c:v>62.072331278505963</c:v>
                </c:pt>
                <c:pt idx="35">
                  <c:v>61.080140710218458</c:v>
                </c:pt>
                <c:pt idx="36">
                  <c:v>60.089638373398003</c:v>
                </c:pt>
                <c:pt idx="37">
                  <c:v>59.101076683148108</c:v>
                </c:pt>
                <c:pt idx="38">
                  <c:v>58.114726784061759</c:v>
                </c:pt>
                <c:pt idx="39">
                  <c:v>57.130877641423076</c:v>
                </c:pt>
                <c:pt idx="40">
                  <c:v>56.149834923281389</c:v>
                </c:pt>
                <c:pt idx="41">
                  <c:v>55.171919696093283</c:v>
                </c:pt>
                <c:pt idx="42">
                  <c:v>54.197466958761233</c:v>
                </c:pt>
                <c:pt idx="43">
                  <c:v>53.226824041220731</c:v>
                </c:pt>
                <c:pt idx="44">
                  <c:v>52.260348894315548</c:v>
                </c:pt>
                <c:pt idx="45">
                  <c:v>51.298408297635973</c:v>
                </c:pt>
                <c:pt idx="46">
                  <c:v>50.341376011368389</c:v>
                </c:pt>
                <c:pt idx="47">
                  <c:v>49.389630897110337</c:v>
                </c:pt>
                <c:pt idx="48">
                  <c:v>48.443555031133606</c:v>
                </c:pt>
                <c:pt idx="49">
                  <c:v>47.503531831816773</c:v>
                </c:pt>
                <c:pt idx="50">
                  <c:v>46.569944220997861</c:v>
                </c:pt>
                <c:pt idx="51">
                  <c:v>45.643172836890685</c:v>
                </c:pt>
                <c:pt idx="52">
                  <c:v>44.72359431402851</c:v>
                </c:pt>
                <c:pt idx="53">
                  <c:v>43.811579643502554</c:v>
                </c:pt>
                <c:pt idx="54">
                  <c:v>42.907492624595825</c:v>
                </c:pt>
                <c:pt idx="55">
                  <c:v>42.011688416813989</c:v>
                </c:pt>
                <c:pt idx="56">
                  <c:v>41.124512199315014</c:v>
                </c:pt>
                <c:pt idx="57">
                  <c:v>40.246297942860849</c:v>
                </c:pt>
                <c:pt idx="58">
                  <c:v>39.377367297675306</c:v>
                </c:pt>
                <c:pt idx="59">
                  <c:v>38.518028599001397</c:v>
                </c:pt>
                <c:pt idx="60">
                  <c:v>37.668575990719667</c:v>
                </c:pt>
                <c:pt idx="61">
                  <c:v>36.829288666112518</c:v>
                </c:pt>
                <c:pt idx="62">
                  <c:v>36.000430223742676</c:v>
                </c:pt>
                <c:pt idx="63">
                  <c:v>35.182248135448717</c:v>
                </c:pt>
                <c:pt idx="64">
                  <c:v>34.374973322643825</c:v>
                </c:pt>
                <c:pt idx="65">
                  <c:v>33.578819836424422</c:v>
                </c:pt>
                <c:pt idx="66">
                  <c:v>32.793984636447973</c:v>
                </c:pt>
                <c:pt idx="67">
                  <c:v>32.020647463110883</c:v>
                </c:pt>
                <c:pt idx="68">
                  <c:v>31.258970797239215</c:v>
                </c:pt>
                <c:pt idx="69">
                  <c:v>30.509099901286596</c:v>
                </c:pt>
                <c:pt idx="70">
                  <c:v>29.771162935903973</c:v>
                </c:pt>
                <c:pt idx="71">
                  <c:v>29.045271145695061</c:v>
                </c:pt>
                <c:pt idx="72">
                  <c:v>28.3315191079895</c:v>
                </c:pt>
                <c:pt idx="73">
                  <c:v>27.629985038543353</c:v>
                </c:pt>
                <c:pt idx="74">
                  <c:v>26.940731148204996</c:v>
                </c:pt>
                <c:pt idx="75">
                  <c:v>26.263804044755467</c:v>
                </c:pt>
                <c:pt idx="76">
                  <c:v>25.599235174338069</c:v>
                </c:pt>
                <c:pt idx="77">
                  <c:v>24.947041297126582</c:v>
                </c:pt>
                <c:pt idx="78">
                  <c:v>24.307224992136462</c:v>
                </c:pt>
                <c:pt idx="79">
                  <c:v>23.679775186356615</c:v>
                </c:pt>
                <c:pt idx="80">
                  <c:v>23.064667703661549</c:v>
                </c:pt>
                <c:pt idx="81">
                  <c:v>22.461865829254819</c:v>
                </c:pt>
                <c:pt idx="82">
                  <c:v>21.871320885687773</c:v>
                </c:pt>
                <c:pt idx="83">
                  <c:v>21.292972816790119</c:v>
                </c:pt>
                <c:pt idx="84">
                  <c:v>20.726750776139248</c:v>
                </c:pt>
                <c:pt idx="85">
                  <c:v>20.1725737169795</c:v>
                </c:pt>
                <c:pt idx="86">
                  <c:v>19.630350980779319</c:v>
                </c:pt>
                <c:pt idx="87">
                  <c:v>19.099982881881999</c:v>
                </c:pt>
                <c:pt idx="88">
                  <c:v>18.581361285963531</c:v>
                </c:pt>
                <c:pt idx="89">
                  <c:v>18.074370180256537</c:v>
                </c:pt>
                <c:pt idx="90">
                  <c:v>17.578886233733847</c:v>
                </c:pt>
                <c:pt idx="91">
                  <c:v>17.094779345665877</c:v>
                </c:pt>
                <c:pt idx="92">
                  <c:v>16.621913181175159</c:v>
                </c:pt>
                <c:pt idx="93">
                  <c:v>16.16014569260598</c:v>
                </c:pt>
                <c:pt idx="94">
                  <c:v>15.709329625709785</c:v>
                </c:pt>
                <c:pt idx="95">
                  <c:v>15.269313009816358</c:v>
                </c:pt>
                <c:pt idx="96">
                  <c:v>14.839939631317336</c:v>
                </c:pt>
                <c:pt idx="97">
                  <c:v>14.421049489932912</c:v>
                </c:pt>
                <c:pt idx="98">
                  <c:v>14.012479237365206</c:v>
                </c:pt>
                <c:pt idx="99">
                  <c:v>13.614062598062382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9D-47F4-8996-FA5C58C0F5A7}"/>
            </c:ext>
          </c:extLst>
        </c:ser>
        <c:ser>
          <c:idx val="1"/>
          <c:order val="1"/>
          <c:tx>
            <c:strRef>
              <c:f>公式应用示例!$H$15</c:f>
              <c:strCache>
                <c:ptCount val="1"/>
                <c:pt idx="0">
                  <c:v>看跌期权的上限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公式应用示例!$H$16:$H$115</c:f>
              <c:numCache>
                <c:formatCode>General</c:formatCode>
                <c:ptCount val="100"/>
                <c:pt idx="0">
                  <c:v>97.044553354850819</c:v>
                </c:pt>
                <c:pt idx="1">
                  <c:v>97.044553354850819</c:v>
                </c:pt>
                <c:pt idx="2">
                  <c:v>97.044553354850819</c:v>
                </c:pt>
                <c:pt idx="3">
                  <c:v>97.044553354850819</c:v>
                </c:pt>
                <c:pt idx="4">
                  <c:v>97.044553354850819</c:v>
                </c:pt>
                <c:pt idx="5">
                  <c:v>97.044553354850819</c:v>
                </c:pt>
                <c:pt idx="6">
                  <c:v>97.044553354850819</c:v>
                </c:pt>
                <c:pt idx="7">
                  <c:v>97.044553354850819</c:v>
                </c:pt>
                <c:pt idx="8">
                  <c:v>97.044553354850819</c:v>
                </c:pt>
                <c:pt idx="9">
                  <c:v>97.044553354850819</c:v>
                </c:pt>
                <c:pt idx="10">
                  <c:v>97.044553354850819</c:v>
                </c:pt>
                <c:pt idx="11">
                  <c:v>97.044553354850819</c:v>
                </c:pt>
                <c:pt idx="12">
                  <c:v>97.044553354850819</c:v>
                </c:pt>
                <c:pt idx="13">
                  <c:v>97.044553354850819</c:v>
                </c:pt>
                <c:pt idx="14">
                  <c:v>97.044553354850819</c:v>
                </c:pt>
                <c:pt idx="15">
                  <c:v>97.044553354850819</c:v>
                </c:pt>
                <c:pt idx="16">
                  <c:v>97.044553354850819</c:v>
                </c:pt>
                <c:pt idx="17">
                  <c:v>97.044553354850819</c:v>
                </c:pt>
                <c:pt idx="18">
                  <c:v>97.044553354850819</c:v>
                </c:pt>
                <c:pt idx="19">
                  <c:v>97.044553354850819</c:v>
                </c:pt>
                <c:pt idx="20">
                  <c:v>97.044553354850819</c:v>
                </c:pt>
                <c:pt idx="21">
                  <c:v>97.044553354850819</c:v>
                </c:pt>
                <c:pt idx="22">
                  <c:v>97.044553354850819</c:v>
                </c:pt>
                <c:pt idx="23">
                  <c:v>97.044553354850819</c:v>
                </c:pt>
                <c:pt idx="24">
                  <c:v>97.044553354850819</c:v>
                </c:pt>
                <c:pt idx="25">
                  <c:v>97.044553354850819</c:v>
                </c:pt>
                <c:pt idx="26">
                  <c:v>97.044553354850819</c:v>
                </c:pt>
                <c:pt idx="27">
                  <c:v>97.044553354850819</c:v>
                </c:pt>
                <c:pt idx="28">
                  <c:v>97.044553354850819</c:v>
                </c:pt>
                <c:pt idx="29">
                  <c:v>97.044553354850819</c:v>
                </c:pt>
                <c:pt idx="30">
                  <c:v>97.044553354850819</c:v>
                </c:pt>
                <c:pt idx="31">
                  <c:v>97.044553354850819</c:v>
                </c:pt>
                <c:pt idx="32">
                  <c:v>97.044553354850819</c:v>
                </c:pt>
                <c:pt idx="33">
                  <c:v>97.044553354850819</c:v>
                </c:pt>
                <c:pt idx="34">
                  <c:v>97.044553354850819</c:v>
                </c:pt>
                <c:pt idx="35">
                  <c:v>97.044553354850819</c:v>
                </c:pt>
                <c:pt idx="36">
                  <c:v>97.044553354850819</c:v>
                </c:pt>
                <c:pt idx="37">
                  <c:v>97.044553354850819</c:v>
                </c:pt>
                <c:pt idx="38">
                  <c:v>97.044553354850819</c:v>
                </c:pt>
                <c:pt idx="39">
                  <c:v>97.044553354850819</c:v>
                </c:pt>
                <c:pt idx="40">
                  <c:v>97.044553354850819</c:v>
                </c:pt>
                <c:pt idx="41">
                  <c:v>97.044553354850819</c:v>
                </c:pt>
                <c:pt idx="42">
                  <c:v>97.044553354850819</c:v>
                </c:pt>
                <c:pt idx="43">
                  <c:v>97.044553354850819</c:v>
                </c:pt>
                <c:pt idx="44">
                  <c:v>97.044553354850819</c:v>
                </c:pt>
                <c:pt idx="45">
                  <c:v>97.044553354850819</c:v>
                </c:pt>
                <c:pt idx="46">
                  <c:v>97.044553354850819</c:v>
                </c:pt>
                <c:pt idx="47">
                  <c:v>97.044553354850819</c:v>
                </c:pt>
                <c:pt idx="48">
                  <c:v>97.044553354850819</c:v>
                </c:pt>
                <c:pt idx="49">
                  <c:v>97.044553354850819</c:v>
                </c:pt>
                <c:pt idx="50">
                  <c:v>97.044553354850819</c:v>
                </c:pt>
                <c:pt idx="51">
                  <c:v>97.044553354850819</c:v>
                </c:pt>
                <c:pt idx="52">
                  <c:v>97.044553354850819</c:v>
                </c:pt>
                <c:pt idx="53">
                  <c:v>97.044553354850819</c:v>
                </c:pt>
                <c:pt idx="54">
                  <c:v>97.044553354850819</c:v>
                </c:pt>
                <c:pt idx="55">
                  <c:v>97.044553354850819</c:v>
                </c:pt>
                <c:pt idx="56">
                  <c:v>97.044553354850819</c:v>
                </c:pt>
                <c:pt idx="57">
                  <c:v>97.044553354850819</c:v>
                </c:pt>
                <c:pt idx="58">
                  <c:v>97.044553354850819</c:v>
                </c:pt>
                <c:pt idx="59">
                  <c:v>97.044553354850819</c:v>
                </c:pt>
                <c:pt idx="60">
                  <c:v>97.044553354850819</c:v>
                </c:pt>
                <c:pt idx="61">
                  <c:v>97.044553354850819</c:v>
                </c:pt>
                <c:pt idx="62">
                  <c:v>97.044553354850819</c:v>
                </c:pt>
                <c:pt idx="63">
                  <c:v>97.044553354850819</c:v>
                </c:pt>
                <c:pt idx="64">
                  <c:v>97.044553354850819</c:v>
                </c:pt>
                <c:pt idx="65">
                  <c:v>97.044553354850819</c:v>
                </c:pt>
                <c:pt idx="66">
                  <c:v>97.044553354850819</c:v>
                </c:pt>
                <c:pt idx="67">
                  <c:v>97.044553354850819</c:v>
                </c:pt>
                <c:pt idx="68">
                  <c:v>97.044553354850819</c:v>
                </c:pt>
                <c:pt idx="69">
                  <c:v>97.044553354850819</c:v>
                </c:pt>
                <c:pt idx="70">
                  <c:v>97.044553354850819</c:v>
                </c:pt>
                <c:pt idx="71">
                  <c:v>97.044553354850819</c:v>
                </c:pt>
                <c:pt idx="72">
                  <c:v>97.044553354850819</c:v>
                </c:pt>
                <c:pt idx="73">
                  <c:v>97.044553354850819</c:v>
                </c:pt>
                <c:pt idx="74">
                  <c:v>97.044553354850819</c:v>
                </c:pt>
                <c:pt idx="75">
                  <c:v>97.044553354850819</c:v>
                </c:pt>
                <c:pt idx="76">
                  <c:v>97.044553354850819</c:v>
                </c:pt>
                <c:pt idx="77">
                  <c:v>97.044553354850819</c:v>
                </c:pt>
                <c:pt idx="78">
                  <c:v>97.044553354850819</c:v>
                </c:pt>
                <c:pt idx="79">
                  <c:v>97.044553354850819</c:v>
                </c:pt>
                <c:pt idx="80">
                  <c:v>97.044553354850819</c:v>
                </c:pt>
                <c:pt idx="81">
                  <c:v>97.044553354850819</c:v>
                </c:pt>
                <c:pt idx="82">
                  <c:v>97.044553354850819</c:v>
                </c:pt>
                <c:pt idx="83">
                  <c:v>97.044553354850819</c:v>
                </c:pt>
                <c:pt idx="84">
                  <c:v>97.044553354850819</c:v>
                </c:pt>
                <c:pt idx="85">
                  <c:v>97.044553354850819</c:v>
                </c:pt>
                <c:pt idx="86">
                  <c:v>97.044553354850819</c:v>
                </c:pt>
                <c:pt idx="87">
                  <c:v>97.044553354850819</c:v>
                </c:pt>
                <c:pt idx="88">
                  <c:v>97.044553354850819</c:v>
                </c:pt>
                <c:pt idx="89">
                  <c:v>97.044553354850819</c:v>
                </c:pt>
                <c:pt idx="90">
                  <c:v>97.044553354850819</c:v>
                </c:pt>
                <c:pt idx="91">
                  <c:v>97.044553354850819</c:v>
                </c:pt>
                <c:pt idx="92">
                  <c:v>97.044553354850819</c:v>
                </c:pt>
                <c:pt idx="93">
                  <c:v>97.044553354850819</c:v>
                </c:pt>
                <c:pt idx="94">
                  <c:v>97.044553354850819</c:v>
                </c:pt>
                <c:pt idx="95">
                  <c:v>97.044553354850819</c:v>
                </c:pt>
                <c:pt idx="96">
                  <c:v>97.044553354850819</c:v>
                </c:pt>
                <c:pt idx="97">
                  <c:v>97.044553354850819</c:v>
                </c:pt>
                <c:pt idx="98">
                  <c:v>97.044553354850819</c:v>
                </c:pt>
                <c:pt idx="99">
                  <c:v>97.044553354850819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9D-47F4-8996-FA5C58C0F5A7}"/>
            </c:ext>
          </c:extLst>
        </c:ser>
        <c:ser>
          <c:idx val="2"/>
          <c:order val="2"/>
          <c:tx>
            <c:strRef>
              <c:f>公式应用示例!$I$15</c:f>
              <c:strCache>
                <c:ptCount val="1"/>
                <c:pt idx="0">
                  <c:v>看跌期权的下限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公式应用示例!$I$16:$I$115</c:f>
              <c:numCache>
                <c:formatCode>General</c:formatCode>
                <c:ptCount val="100"/>
                <c:pt idx="0">
                  <c:v>99</c:v>
                </c:pt>
                <c:pt idx="1">
                  <c:v>98</c:v>
                </c:pt>
                <c:pt idx="2">
                  <c:v>97</c:v>
                </c:pt>
                <c:pt idx="3">
                  <c:v>96</c:v>
                </c:pt>
                <c:pt idx="4">
                  <c:v>95</c:v>
                </c:pt>
                <c:pt idx="5">
                  <c:v>94</c:v>
                </c:pt>
                <c:pt idx="6">
                  <c:v>93</c:v>
                </c:pt>
                <c:pt idx="7">
                  <c:v>92</c:v>
                </c:pt>
                <c:pt idx="8">
                  <c:v>91</c:v>
                </c:pt>
                <c:pt idx="9">
                  <c:v>90</c:v>
                </c:pt>
                <c:pt idx="10">
                  <c:v>89</c:v>
                </c:pt>
                <c:pt idx="11">
                  <c:v>88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83</c:v>
                </c:pt>
                <c:pt idx="17">
                  <c:v>82</c:v>
                </c:pt>
                <c:pt idx="18">
                  <c:v>81</c:v>
                </c:pt>
                <c:pt idx="19">
                  <c:v>80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76</c:v>
                </c:pt>
                <c:pt idx="24">
                  <c:v>75</c:v>
                </c:pt>
                <c:pt idx="25">
                  <c:v>74</c:v>
                </c:pt>
                <c:pt idx="26">
                  <c:v>73</c:v>
                </c:pt>
                <c:pt idx="27">
                  <c:v>72</c:v>
                </c:pt>
                <c:pt idx="28">
                  <c:v>71</c:v>
                </c:pt>
                <c:pt idx="29">
                  <c:v>70</c:v>
                </c:pt>
                <c:pt idx="30">
                  <c:v>69</c:v>
                </c:pt>
                <c:pt idx="31">
                  <c:v>68</c:v>
                </c:pt>
                <c:pt idx="32">
                  <c:v>67</c:v>
                </c:pt>
                <c:pt idx="33">
                  <c:v>66</c:v>
                </c:pt>
                <c:pt idx="34">
                  <c:v>65</c:v>
                </c:pt>
                <c:pt idx="35">
                  <c:v>64</c:v>
                </c:pt>
                <c:pt idx="36">
                  <c:v>63</c:v>
                </c:pt>
                <c:pt idx="37">
                  <c:v>62</c:v>
                </c:pt>
                <c:pt idx="38">
                  <c:v>61</c:v>
                </c:pt>
                <c:pt idx="39">
                  <c:v>60</c:v>
                </c:pt>
                <c:pt idx="40">
                  <c:v>59</c:v>
                </c:pt>
                <c:pt idx="41">
                  <c:v>58</c:v>
                </c:pt>
                <c:pt idx="42">
                  <c:v>57</c:v>
                </c:pt>
                <c:pt idx="43">
                  <c:v>56</c:v>
                </c:pt>
                <c:pt idx="44">
                  <c:v>55</c:v>
                </c:pt>
                <c:pt idx="45">
                  <c:v>54</c:v>
                </c:pt>
                <c:pt idx="46">
                  <c:v>53</c:v>
                </c:pt>
                <c:pt idx="47">
                  <c:v>52</c:v>
                </c:pt>
                <c:pt idx="48">
                  <c:v>51</c:v>
                </c:pt>
                <c:pt idx="49">
                  <c:v>50</c:v>
                </c:pt>
                <c:pt idx="50">
                  <c:v>49</c:v>
                </c:pt>
                <c:pt idx="51">
                  <c:v>48</c:v>
                </c:pt>
                <c:pt idx="52">
                  <c:v>47</c:v>
                </c:pt>
                <c:pt idx="53">
                  <c:v>46</c:v>
                </c:pt>
                <c:pt idx="54">
                  <c:v>45</c:v>
                </c:pt>
                <c:pt idx="55">
                  <c:v>44</c:v>
                </c:pt>
                <c:pt idx="56">
                  <c:v>43</c:v>
                </c:pt>
                <c:pt idx="57">
                  <c:v>42</c:v>
                </c:pt>
                <c:pt idx="58">
                  <c:v>41</c:v>
                </c:pt>
                <c:pt idx="59">
                  <c:v>40</c:v>
                </c:pt>
                <c:pt idx="60">
                  <c:v>39</c:v>
                </c:pt>
                <c:pt idx="61">
                  <c:v>38</c:v>
                </c:pt>
                <c:pt idx="62">
                  <c:v>37</c:v>
                </c:pt>
                <c:pt idx="63">
                  <c:v>36</c:v>
                </c:pt>
                <c:pt idx="64">
                  <c:v>35</c:v>
                </c:pt>
                <c:pt idx="65">
                  <c:v>34</c:v>
                </c:pt>
                <c:pt idx="66">
                  <c:v>33</c:v>
                </c:pt>
                <c:pt idx="67">
                  <c:v>32</c:v>
                </c:pt>
                <c:pt idx="68">
                  <c:v>31</c:v>
                </c:pt>
                <c:pt idx="69">
                  <c:v>30</c:v>
                </c:pt>
                <c:pt idx="70">
                  <c:v>29</c:v>
                </c:pt>
                <c:pt idx="71">
                  <c:v>28</c:v>
                </c:pt>
                <c:pt idx="72">
                  <c:v>27</c:v>
                </c:pt>
                <c:pt idx="73">
                  <c:v>26</c:v>
                </c:pt>
                <c:pt idx="74">
                  <c:v>25</c:v>
                </c:pt>
                <c:pt idx="75">
                  <c:v>24</c:v>
                </c:pt>
                <c:pt idx="76">
                  <c:v>23</c:v>
                </c:pt>
                <c:pt idx="77">
                  <c:v>22</c:v>
                </c:pt>
                <c:pt idx="78">
                  <c:v>21</c:v>
                </c:pt>
                <c:pt idx="79">
                  <c:v>20</c:v>
                </c:pt>
                <c:pt idx="80">
                  <c:v>19</c:v>
                </c:pt>
                <c:pt idx="81">
                  <c:v>18</c:v>
                </c:pt>
                <c:pt idx="82">
                  <c:v>17</c:v>
                </c:pt>
                <c:pt idx="83">
                  <c:v>16</c:v>
                </c:pt>
                <c:pt idx="84">
                  <c:v>15</c:v>
                </c:pt>
                <c:pt idx="85">
                  <c:v>14</c:v>
                </c:pt>
                <c:pt idx="86">
                  <c:v>13</c:v>
                </c:pt>
                <c:pt idx="87">
                  <c:v>12</c:v>
                </c:pt>
                <c:pt idx="88">
                  <c:v>11</c:v>
                </c:pt>
                <c:pt idx="89">
                  <c:v>10</c:v>
                </c:pt>
                <c:pt idx="90">
                  <c:v>9</c:v>
                </c:pt>
                <c:pt idx="91">
                  <c:v>8</c:v>
                </c:pt>
                <c:pt idx="92">
                  <c:v>7</c:v>
                </c:pt>
                <c:pt idx="93">
                  <c:v>6</c:v>
                </c:pt>
                <c:pt idx="94">
                  <c:v>5</c:v>
                </c:pt>
                <c:pt idx="95">
                  <c:v>4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9D-47F4-8996-FA5C58C0F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521023"/>
        <c:axId val="820309503"/>
      </c:lineChart>
      <c:catAx>
        <c:axId val="549521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资产价格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309503"/>
        <c:crosses val="autoZero"/>
        <c:auto val="1"/>
        <c:lblAlgn val="ctr"/>
        <c:lblOffset val="100"/>
        <c:noMultiLvlLbl val="0"/>
      </c:catAx>
      <c:valAx>
        <c:axId val="82030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952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看涨期权上下限随执行价格的变化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公式应用示例!$M$15</c:f>
              <c:strCache>
                <c:ptCount val="1"/>
                <c:pt idx="0">
                  <c:v>看涨期权的价值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公式应用示例!$M$16:$M$115</c:f>
              <c:numCache>
                <c:formatCode>General</c:formatCode>
                <c:ptCount val="100"/>
                <c:pt idx="0">
                  <c:v>99.029554466451486</c:v>
                </c:pt>
                <c:pt idx="1">
                  <c:v>98.059108932902987</c:v>
                </c:pt>
                <c:pt idx="2">
                  <c:v>97.088663399354473</c:v>
                </c:pt>
                <c:pt idx="3">
                  <c:v>96.118217865805974</c:v>
                </c:pt>
                <c:pt idx="4">
                  <c:v>95.14777233225746</c:v>
                </c:pt>
                <c:pt idx="5">
                  <c:v>94.177326798709046</c:v>
                </c:pt>
                <c:pt idx="6">
                  <c:v>93.206881265162423</c:v>
                </c:pt>
                <c:pt idx="7">
                  <c:v>92.236435731636661</c:v>
                </c:pt>
                <c:pt idx="8">
                  <c:v>91.265990198271439</c:v>
                </c:pt>
                <c:pt idx="9">
                  <c:v>90.295544665810411</c:v>
                </c:pt>
                <c:pt idx="10">
                  <c:v>89.325099137337787</c:v>
                </c:pt>
                <c:pt idx="11">
                  <c:v>88.354653623340795</c:v>
                </c:pt>
                <c:pt idx="12">
                  <c:v>87.38420815418084</c:v>
                </c:pt>
                <c:pt idx="13">
                  <c:v>86.413762806881635</c:v>
                </c:pt>
                <c:pt idx="14">
                  <c:v>85.44331775650862</c:v>
                </c:pt>
                <c:pt idx="15">
                  <c:v>84.472873365815516</c:v>
                </c:pt>
                <c:pt idx="16">
                  <c:v>83.502430329627586</c:v>
                </c:pt>
                <c:pt idx="17">
                  <c:v>82.531989892006038</c:v>
                </c:pt>
                <c:pt idx="18">
                  <c:v>81.561554154139458</c:v>
                </c:pt>
                <c:pt idx="19">
                  <c:v>80.591126488930797</c:v>
                </c:pt>
                <c:pt idx="20">
                  <c:v>79.620712074456947</c:v>
                </c:pt>
                <c:pt idx="21">
                  <c:v>78.650318553172212</c:v>
                </c:pt>
                <c:pt idx="22">
                  <c:v>77.6799568173778</c:v>
                </c:pt>
                <c:pt idx="23">
                  <c:v>76.709641914645729</c:v>
                </c:pt>
                <c:pt idx="24">
                  <c:v>75.739394060130977</c:v>
                </c:pt>
                <c:pt idx="25">
                  <c:v>74.769239736541564</c:v>
                </c:pt>
                <c:pt idx="26">
                  <c:v>73.79921285736873</c:v>
                </c:pt>
                <c:pt idx="27">
                  <c:v>72.829355965095573</c:v>
                </c:pt>
                <c:pt idx="28">
                  <c:v>71.859721433653363</c:v>
                </c:pt>
                <c:pt idx="29">
                  <c:v>70.890372643420207</c:v>
                </c:pt>
                <c:pt idx="30">
                  <c:v>69.921385097486407</c:v>
                </c:pt>
                <c:pt idx="31">
                  <c:v>68.952847449601137</c:v>
                </c:pt>
                <c:pt idx="32">
                  <c:v>67.984862416965939</c:v>
                </c:pt>
                <c:pt idx="33">
                  <c:v>67.017547554623803</c:v>
                </c:pt>
                <c:pt idx="34">
                  <c:v>66.051035872363713</c:v>
                </c:pt>
                <c:pt idx="35">
                  <c:v>65.085476279590068</c:v>
                </c:pt>
                <c:pt idx="36">
                  <c:v>64.121033848272489</c:v>
                </c:pt>
                <c:pt idx="37">
                  <c:v>63.157889888708404</c:v>
                </c:pt>
                <c:pt idx="38">
                  <c:v>62.19624183723667</c:v>
                </c:pt>
                <c:pt idx="39">
                  <c:v>61.23630295911159</c:v>
                </c:pt>
                <c:pt idx="40">
                  <c:v>60.278301873389523</c:v>
                </c:pt>
                <c:pt idx="41">
                  <c:v>59.322481909833492</c:v>
                </c:pt>
                <c:pt idx="42">
                  <c:v>58.3691003104693</c:v>
                </c:pt>
                <c:pt idx="43">
                  <c:v>57.418427290521052</c:v>
                </c:pt>
                <c:pt idx="44">
                  <c:v>56.4707449750222</c:v>
                </c:pt>
                <c:pt idx="45">
                  <c:v>55.52634622846503</c:v>
                </c:pt>
                <c:pt idx="46">
                  <c:v>54.58553339545557</c:v>
                </c:pt>
                <c:pt idx="47">
                  <c:v>53.648616970523875</c:v>
                </c:pt>
                <c:pt idx="48">
                  <c:v>52.715914215052756</c:v>
                </c:pt>
                <c:pt idx="49">
                  <c:v>51.787747738785605</c:v>
                </c:pt>
                <c:pt idx="50">
                  <c:v>50.864444062603361</c:v>
                </c:pt>
                <c:pt idx="51">
                  <c:v>49.946332178279576</c:v>
                </c:pt>
                <c:pt idx="52">
                  <c:v>49.033742119774281</c:v>
                </c:pt>
                <c:pt idx="53">
                  <c:v>48.127003559359608</c:v>
                </c:pt>
                <c:pt idx="54">
                  <c:v>47.226444440523295</c:v>
                </c:pt>
                <c:pt idx="55">
                  <c:v>46.332389658205571</c:v>
                </c:pt>
                <c:pt idx="56">
                  <c:v>45.445159795523033</c:v>
                </c:pt>
                <c:pt idx="57">
                  <c:v>44.565069924746183</c:v>
                </c:pt>
                <c:pt idx="58">
                  <c:v>43.692428478947761</c:v>
                </c:pt>
                <c:pt idx="59">
                  <c:v>42.827536199445028</c:v>
                </c:pt>
                <c:pt idx="60">
                  <c:v>41.970685162934899</c:v>
                </c:pt>
                <c:pt idx="61">
                  <c:v>41.12215789107686</c:v>
                </c:pt>
                <c:pt idx="62">
                  <c:v>40.282226544222446</c:v>
                </c:pt>
                <c:pt idx="63">
                  <c:v>39.451152200026293</c:v>
                </c:pt>
                <c:pt idx="64">
                  <c:v>38.629184216805243</c:v>
                </c:pt>
                <c:pt idx="65">
                  <c:v>37.816559680737832</c:v>
                </c:pt>
                <c:pt idx="66">
                  <c:v>37.013502935317263</c:v>
                </c:pt>
                <c:pt idx="67">
                  <c:v>36.22022519088101</c:v>
                </c:pt>
                <c:pt idx="68">
                  <c:v>35.436924211540095</c:v>
                </c:pt>
                <c:pt idx="69">
                  <c:v>34.663784076410479</c:v>
                </c:pt>
                <c:pt idx="70">
                  <c:v>33.900975011708859</c:v>
                </c:pt>
                <c:pt idx="71">
                  <c:v>33.148653290004525</c:v>
                </c:pt>
                <c:pt idx="72">
                  <c:v>32.406961192715215</c:v>
                </c:pt>
                <c:pt idx="73">
                  <c:v>31.676027031792238</c:v>
                </c:pt>
                <c:pt idx="74">
                  <c:v>30.955965226448498</c:v>
                </c:pt>
                <c:pt idx="75">
                  <c:v>30.246876430743804</c:v>
                </c:pt>
                <c:pt idx="76">
                  <c:v>29.548847707841759</c:v>
                </c:pt>
                <c:pt idx="77">
                  <c:v>28.861952746791644</c:v>
                </c:pt>
                <c:pt idx="78">
                  <c:v>28.186252117759366</c:v>
                </c:pt>
                <c:pt idx="79">
                  <c:v>27.521793561730384</c:v>
                </c:pt>
                <c:pt idx="80">
                  <c:v>26.868612310827352</c:v>
                </c:pt>
                <c:pt idx="81">
                  <c:v>26.226731435527476</c:v>
                </c:pt>
                <c:pt idx="82">
                  <c:v>25.596162215217923</c:v>
                </c:pt>
                <c:pt idx="83">
                  <c:v>24.976904528696281</c:v>
                </c:pt>
                <c:pt idx="84">
                  <c:v>24.36894726139839</c:v>
                </c:pt>
                <c:pt idx="85">
                  <c:v>23.772268726317726</c:v>
                </c:pt>
                <c:pt idx="86">
                  <c:v>23.186837095766961</c:v>
                </c:pt>
                <c:pt idx="87">
                  <c:v>22.612610841318151</c:v>
                </c:pt>
                <c:pt idx="88">
                  <c:v>22.049539179446292</c:v>
                </c:pt>
                <c:pt idx="89">
                  <c:v>21.497562520584978</c:v>
                </c:pt>
                <c:pt idx="90">
                  <c:v>20.956612919484456</c:v>
                </c:pt>
                <c:pt idx="91">
                  <c:v>20.42661452494049</c:v>
                </c:pt>
                <c:pt idx="92">
                  <c:v>19.907484027133357</c:v>
                </c:pt>
                <c:pt idx="93">
                  <c:v>19.3991311009828</c:v>
                </c:pt>
                <c:pt idx="94">
                  <c:v>18.901458844083798</c:v>
                </c:pt>
                <c:pt idx="95">
                  <c:v>18.414364207939435</c:v>
                </c:pt>
                <c:pt idx="96">
                  <c:v>17.937738421352577</c:v>
                </c:pt>
                <c:pt idx="97">
                  <c:v>17.471467404974284</c:v>
                </c:pt>
                <c:pt idx="98">
                  <c:v>17.015432176135597</c:v>
                </c:pt>
                <c:pt idx="99">
                  <c:v>16.569509243211563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3-4D31-9CAE-2048ADFFEFE4}"/>
            </c:ext>
          </c:extLst>
        </c:ser>
        <c:ser>
          <c:idx val="1"/>
          <c:order val="1"/>
          <c:tx>
            <c:strRef>
              <c:f>公式应用示例!$N$15</c:f>
              <c:strCache>
                <c:ptCount val="1"/>
                <c:pt idx="0">
                  <c:v>看涨期权的上限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公式应用示例!$N$16:$N$115</c:f>
              <c:numCache>
                <c:formatCode>General</c:formatCode>
                <c:ptCount val="10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3-4D31-9CAE-2048ADFFEFE4}"/>
            </c:ext>
          </c:extLst>
        </c:ser>
        <c:ser>
          <c:idx val="2"/>
          <c:order val="2"/>
          <c:tx>
            <c:strRef>
              <c:f>公式应用示例!$O$15</c:f>
              <c:strCache>
                <c:ptCount val="1"/>
                <c:pt idx="0">
                  <c:v>看涨期权的下限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公式应用示例!$O$16:$O$115</c:f>
              <c:numCache>
                <c:formatCode>General</c:formatCode>
                <c:ptCount val="100"/>
                <c:pt idx="0">
                  <c:v>99</c:v>
                </c:pt>
                <c:pt idx="1">
                  <c:v>98</c:v>
                </c:pt>
                <c:pt idx="2">
                  <c:v>97</c:v>
                </c:pt>
                <c:pt idx="3">
                  <c:v>96</c:v>
                </c:pt>
                <c:pt idx="4">
                  <c:v>95</c:v>
                </c:pt>
                <c:pt idx="5">
                  <c:v>94</c:v>
                </c:pt>
                <c:pt idx="6">
                  <c:v>93</c:v>
                </c:pt>
                <c:pt idx="7">
                  <c:v>92</c:v>
                </c:pt>
                <c:pt idx="8">
                  <c:v>91</c:v>
                </c:pt>
                <c:pt idx="9">
                  <c:v>90</c:v>
                </c:pt>
                <c:pt idx="10">
                  <c:v>89</c:v>
                </c:pt>
                <c:pt idx="11">
                  <c:v>88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83</c:v>
                </c:pt>
                <c:pt idx="17">
                  <c:v>82</c:v>
                </c:pt>
                <c:pt idx="18">
                  <c:v>81</c:v>
                </c:pt>
                <c:pt idx="19">
                  <c:v>80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76</c:v>
                </c:pt>
                <c:pt idx="24">
                  <c:v>75</c:v>
                </c:pt>
                <c:pt idx="25">
                  <c:v>74</c:v>
                </c:pt>
                <c:pt idx="26">
                  <c:v>73</c:v>
                </c:pt>
                <c:pt idx="27">
                  <c:v>72</c:v>
                </c:pt>
                <c:pt idx="28">
                  <c:v>71</c:v>
                </c:pt>
                <c:pt idx="29">
                  <c:v>70</c:v>
                </c:pt>
                <c:pt idx="30">
                  <c:v>69</c:v>
                </c:pt>
                <c:pt idx="31">
                  <c:v>68</c:v>
                </c:pt>
                <c:pt idx="32">
                  <c:v>67</c:v>
                </c:pt>
                <c:pt idx="33">
                  <c:v>66</c:v>
                </c:pt>
                <c:pt idx="34">
                  <c:v>65</c:v>
                </c:pt>
                <c:pt idx="35">
                  <c:v>64</c:v>
                </c:pt>
                <c:pt idx="36">
                  <c:v>63</c:v>
                </c:pt>
                <c:pt idx="37">
                  <c:v>62</c:v>
                </c:pt>
                <c:pt idx="38">
                  <c:v>61</c:v>
                </c:pt>
                <c:pt idx="39">
                  <c:v>60</c:v>
                </c:pt>
                <c:pt idx="40">
                  <c:v>59</c:v>
                </c:pt>
                <c:pt idx="41">
                  <c:v>58</c:v>
                </c:pt>
                <c:pt idx="42">
                  <c:v>57</c:v>
                </c:pt>
                <c:pt idx="43">
                  <c:v>56</c:v>
                </c:pt>
                <c:pt idx="44">
                  <c:v>55</c:v>
                </c:pt>
                <c:pt idx="45">
                  <c:v>54</c:v>
                </c:pt>
                <c:pt idx="46">
                  <c:v>53</c:v>
                </c:pt>
                <c:pt idx="47">
                  <c:v>52</c:v>
                </c:pt>
                <c:pt idx="48">
                  <c:v>51</c:v>
                </c:pt>
                <c:pt idx="49">
                  <c:v>50</c:v>
                </c:pt>
                <c:pt idx="50">
                  <c:v>49</c:v>
                </c:pt>
                <c:pt idx="51">
                  <c:v>48</c:v>
                </c:pt>
                <c:pt idx="52">
                  <c:v>47</c:v>
                </c:pt>
                <c:pt idx="53">
                  <c:v>46</c:v>
                </c:pt>
                <c:pt idx="54">
                  <c:v>45</c:v>
                </c:pt>
                <c:pt idx="55">
                  <c:v>44</c:v>
                </c:pt>
                <c:pt idx="56">
                  <c:v>43</c:v>
                </c:pt>
                <c:pt idx="57">
                  <c:v>42</c:v>
                </c:pt>
                <c:pt idx="58">
                  <c:v>41</c:v>
                </c:pt>
                <c:pt idx="59">
                  <c:v>40</c:v>
                </c:pt>
                <c:pt idx="60">
                  <c:v>39</c:v>
                </c:pt>
                <c:pt idx="61">
                  <c:v>38</c:v>
                </c:pt>
                <c:pt idx="62">
                  <c:v>37</c:v>
                </c:pt>
                <c:pt idx="63">
                  <c:v>36</c:v>
                </c:pt>
                <c:pt idx="64">
                  <c:v>35</c:v>
                </c:pt>
                <c:pt idx="65">
                  <c:v>34</c:v>
                </c:pt>
                <c:pt idx="66">
                  <c:v>33</c:v>
                </c:pt>
                <c:pt idx="67">
                  <c:v>32</c:v>
                </c:pt>
                <c:pt idx="68">
                  <c:v>31</c:v>
                </c:pt>
                <c:pt idx="69">
                  <c:v>30</c:v>
                </c:pt>
                <c:pt idx="70">
                  <c:v>29</c:v>
                </c:pt>
                <c:pt idx="71">
                  <c:v>28</c:v>
                </c:pt>
                <c:pt idx="72">
                  <c:v>27</c:v>
                </c:pt>
                <c:pt idx="73">
                  <c:v>26</c:v>
                </c:pt>
                <c:pt idx="74">
                  <c:v>25</c:v>
                </c:pt>
                <c:pt idx="75">
                  <c:v>24</c:v>
                </c:pt>
                <c:pt idx="76">
                  <c:v>23</c:v>
                </c:pt>
                <c:pt idx="77">
                  <c:v>22</c:v>
                </c:pt>
                <c:pt idx="78">
                  <c:v>21</c:v>
                </c:pt>
                <c:pt idx="79">
                  <c:v>20</c:v>
                </c:pt>
                <c:pt idx="80">
                  <c:v>19</c:v>
                </c:pt>
                <c:pt idx="81">
                  <c:v>18</c:v>
                </c:pt>
                <c:pt idx="82">
                  <c:v>17</c:v>
                </c:pt>
                <c:pt idx="83">
                  <c:v>16</c:v>
                </c:pt>
                <c:pt idx="84">
                  <c:v>15</c:v>
                </c:pt>
                <c:pt idx="85">
                  <c:v>14</c:v>
                </c:pt>
                <c:pt idx="86">
                  <c:v>13</c:v>
                </c:pt>
                <c:pt idx="87">
                  <c:v>12</c:v>
                </c:pt>
                <c:pt idx="88">
                  <c:v>11</c:v>
                </c:pt>
                <c:pt idx="89">
                  <c:v>10</c:v>
                </c:pt>
                <c:pt idx="90">
                  <c:v>9</c:v>
                </c:pt>
                <c:pt idx="91">
                  <c:v>8</c:v>
                </c:pt>
                <c:pt idx="92">
                  <c:v>7</c:v>
                </c:pt>
                <c:pt idx="93">
                  <c:v>6</c:v>
                </c:pt>
                <c:pt idx="94">
                  <c:v>5</c:v>
                </c:pt>
                <c:pt idx="95">
                  <c:v>4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3-4D31-9CAE-2048ADFFE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810367"/>
        <c:axId val="656811199"/>
      </c:lineChart>
      <c:catAx>
        <c:axId val="65681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执行价格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811199"/>
        <c:crosses val="autoZero"/>
        <c:auto val="1"/>
        <c:lblAlgn val="ctr"/>
        <c:lblOffset val="100"/>
        <c:noMultiLvlLbl val="0"/>
      </c:catAx>
      <c:valAx>
        <c:axId val="65681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6810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600" b="0" i="0" baseline="0">
                <a:effectLst/>
              </a:rPr>
              <a:t>看</a:t>
            </a:r>
            <a:r>
              <a:rPr lang="zh-CN" altLang="en-US" sz="1600" b="0" i="0" baseline="0">
                <a:effectLst/>
              </a:rPr>
              <a:t>跌</a:t>
            </a:r>
            <a:r>
              <a:rPr lang="zh-CN" altLang="zh-CN" sz="1600" b="0" i="0" baseline="0">
                <a:effectLst/>
              </a:rPr>
              <a:t>期权上下限随执行价格的变化</a:t>
            </a:r>
            <a:endParaRPr lang="zh-CN" altLang="zh-CN" sz="12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公式应用示例!$Q$15</c:f>
              <c:strCache>
                <c:ptCount val="1"/>
                <c:pt idx="0">
                  <c:v>看跌期权的价值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公式应用示例!$Q$16:$Q$115</c:f>
              <c:numCache>
                <c:formatCode>General</c:formatCode>
                <c:ptCount val="100"/>
                <c:pt idx="0">
                  <c:v>3.6213535004389349E-34</c:v>
                </c:pt>
                <c:pt idx="1">
                  <c:v>3.5312558543839461E-25</c:v>
                </c:pt>
                <c:pt idx="2">
                  <c:v>1.4633375016546418E-20</c:v>
                </c:pt>
                <c:pt idx="3">
                  <c:v>1.4315100525560482E-17</c:v>
                </c:pt>
                <c:pt idx="4">
                  <c:v>2.0544138476107299E-15</c:v>
                </c:pt>
                <c:pt idx="5">
                  <c:v>9.3296797669674479E-14</c:v>
                </c:pt>
                <c:pt idx="6">
                  <c:v>1.9837183915630843E-12</c:v>
                </c:pt>
                <c:pt idx="7">
                  <c:v>2.4731345095219884E-11</c:v>
                </c:pt>
                <c:pt idx="8">
                  <c:v>2.0802157432665343E-10</c:v>
                </c:pt>
                <c:pt idx="9">
                  <c:v>1.2954844910626476E-9</c:v>
                </c:pt>
                <c:pt idx="10">
                  <c:v>6.371388322911951E-9</c:v>
                </c:pt>
                <c:pt idx="11">
                  <c:v>2.5922894365622274E-8</c:v>
                </c:pt>
                <c:pt idx="12">
                  <c:v>9.0311448713290076E-8</c:v>
                </c:pt>
                <c:pt idx="13">
                  <c:v>2.7656074477604813E-7</c:v>
                </c:pt>
                <c:pt idx="14">
                  <c:v>7.5973624410890925E-7</c:v>
                </c:pt>
                <c:pt idx="15">
                  <c:v>1.9025916477491711E-6</c:v>
                </c:pt>
                <c:pt idx="16">
                  <c:v>4.3999522111216888E-6</c:v>
                </c:pt>
                <c:pt idx="17">
                  <c:v>9.4958791732731535E-6</c:v>
                </c:pt>
                <c:pt idx="18">
                  <c:v>1.9291561106896571E-5</c:v>
                </c:pt>
                <c:pt idx="19">
                  <c:v>3.7159900952659741E-5</c:v>
                </c:pt>
                <c:pt idx="20">
                  <c:v>6.8278975621301045E-5</c:v>
                </c:pt>
                <c:pt idx="21">
                  <c:v>1.2029123939260081E-4</c:v>
                </c:pt>
                <c:pt idx="22">
                  <c:v>2.0408899349029551E-4</c:v>
                </c:pt>
                <c:pt idx="23">
                  <c:v>3.3471980992721582E-4</c:v>
                </c:pt>
                <c:pt idx="24">
                  <c:v>5.3239884369609466E-4</c:v>
                </c:pt>
                <c:pt idx="25">
                  <c:v>8.2360880276257688E-4</c:v>
                </c:pt>
                <c:pt idx="26">
                  <c:v>1.2422631784368022E-3</c:v>
                </c:pt>
                <c:pt idx="27">
                  <c:v>1.8309044538008072E-3</c:v>
                </c:pt>
                <c:pt idx="28">
                  <c:v>2.6419065600993517E-3</c:v>
                </c:pt>
                <c:pt idx="29">
                  <c:v>3.7386498754455808E-3</c:v>
                </c:pt>
                <c:pt idx="30">
                  <c:v>5.19663749016816E-3</c:v>
                </c:pt>
                <c:pt idx="31">
                  <c:v>7.1045231533899827E-3</c:v>
                </c:pt>
                <c:pt idx="32">
                  <c:v>9.5650240667119052E-3</c:v>
                </c:pt>
                <c:pt idx="33">
                  <c:v>1.2695695273084964E-2</c:v>
                </c:pt>
                <c:pt idx="34">
                  <c:v>1.6629546561514053E-2</c:v>
                </c:pt>
                <c:pt idx="35">
                  <c:v>2.1515487336371514E-2</c:v>
                </c:pt>
                <c:pt idx="36">
                  <c:v>2.7518589567289753E-2</c:v>
                </c:pt>
                <c:pt idx="37">
                  <c:v>3.4820163551710526E-2</c:v>
                </c:pt>
                <c:pt idx="38">
                  <c:v>4.3617645628489354E-2</c:v>
                </c:pt>
                <c:pt idx="39">
                  <c:v>5.4124301051911072E-2</c:v>
                </c:pt>
                <c:pt idx="40">
                  <c:v>6.6568748878361284E-2</c:v>
                </c:pt>
                <c:pt idx="41">
                  <c:v>8.1194318870838167E-2</c:v>
                </c:pt>
                <c:pt idx="42">
                  <c:v>9.8258253055139577E-2</c:v>
                </c:pt>
                <c:pt idx="43">
                  <c:v>0.11803076665541579</c:v>
                </c:pt>
                <c:pt idx="44">
                  <c:v>0.14079398470506921</c:v>
                </c:pt>
                <c:pt idx="45">
                  <c:v>0.16684077169639244</c:v>
                </c:pt>
                <c:pt idx="46">
                  <c:v>0.19647347223546019</c:v>
                </c:pt>
                <c:pt idx="47">
                  <c:v>0.23000258085225656</c:v>
                </c:pt>
                <c:pt idx="48">
                  <c:v>0.26774535892965901</c:v>
                </c:pt>
                <c:pt idx="49">
                  <c:v>0.31002441621102017</c:v>
                </c:pt>
                <c:pt idx="50">
                  <c:v>0.35716627357727848</c:v>
                </c:pt>
                <c:pt idx="51">
                  <c:v>0.40949992280200265</c:v>
                </c:pt>
                <c:pt idx="52">
                  <c:v>0.46735539784521096</c:v>
                </c:pt>
                <c:pt idx="53">
                  <c:v>0.5310623709790474</c:v>
                </c:pt>
                <c:pt idx="54">
                  <c:v>0.60094878569124655</c:v>
                </c:pt>
                <c:pt idx="55">
                  <c:v>0.67733953692202764</c:v>
                </c:pt>
                <c:pt idx="56">
                  <c:v>0.76055520778799934</c:v>
                </c:pt>
                <c:pt idx="57">
                  <c:v>0.85091087055965708</c:v>
                </c:pt>
                <c:pt idx="58">
                  <c:v>0.94871495830974251</c:v>
                </c:pt>
                <c:pt idx="59">
                  <c:v>1.0542682123555158</c:v>
                </c:pt>
                <c:pt idx="60">
                  <c:v>1.1678627093938951</c:v>
                </c:pt>
                <c:pt idx="61">
                  <c:v>1.2897809710843768</c:v>
                </c:pt>
                <c:pt idx="62">
                  <c:v>1.4202951577784662</c:v>
                </c:pt>
                <c:pt idx="63">
                  <c:v>1.5596663471308192</c:v>
                </c:pt>
                <c:pt idx="64">
                  <c:v>1.7081438974582603</c:v>
                </c:pt>
                <c:pt idx="65">
                  <c:v>1.8659648949393794</c:v>
                </c:pt>
                <c:pt idx="66">
                  <c:v>2.0333536830673058</c:v>
                </c:pt>
                <c:pt idx="67">
                  <c:v>2.2105214721795736</c:v>
                </c:pt>
                <c:pt idx="68">
                  <c:v>2.3976660263871565</c:v>
                </c:pt>
                <c:pt idx="69">
                  <c:v>2.5949714248060491</c:v>
                </c:pt>
                <c:pt idx="70">
                  <c:v>2.8026078936529437</c:v>
                </c:pt>
                <c:pt idx="71">
                  <c:v>3.020731705497095</c:v>
                </c:pt>
                <c:pt idx="72">
                  <c:v>3.2494851417563151</c:v>
                </c:pt>
                <c:pt idx="73">
                  <c:v>3.4889965143818422</c:v>
                </c:pt>
                <c:pt idx="74">
                  <c:v>3.7393802425866109</c:v>
                </c:pt>
                <c:pt idx="75">
                  <c:v>4.0007369804304247</c:v>
                </c:pt>
                <c:pt idx="76">
                  <c:v>4.27315379107689</c:v>
                </c:pt>
                <c:pt idx="77">
                  <c:v>4.5567043635752711</c:v>
                </c:pt>
                <c:pt idx="78">
                  <c:v>4.8514492680915176</c:v>
                </c:pt>
                <c:pt idx="79">
                  <c:v>5.1574362456110237</c:v>
                </c:pt>
                <c:pt idx="80">
                  <c:v>5.4747005282565162</c:v>
                </c:pt>
                <c:pt idx="81">
                  <c:v>5.8032651865051577</c:v>
                </c:pt>
                <c:pt idx="82">
                  <c:v>6.1431414997440967</c:v>
                </c:pt>
                <c:pt idx="83">
                  <c:v>6.494329346770968</c:v>
                </c:pt>
                <c:pt idx="84">
                  <c:v>6.8568176130215654</c:v>
                </c:pt>
                <c:pt idx="85">
                  <c:v>7.2305846114894337</c:v>
                </c:pt>
                <c:pt idx="86">
                  <c:v>7.6155985144871785</c:v>
                </c:pt>
                <c:pt idx="87">
                  <c:v>8.0118177935868502</c:v>
                </c:pt>
                <c:pt idx="88">
                  <c:v>8.4191916652635257</c:v>
                </c:pt>
                <c:pt idx="89">
                  <c:v>8.8376605399507078</c:v>
                </c:pt>
                <c:pt idx="90">
                  <c:v>9.2671564723986926</c:v>
                </c:pt>
                <c:pt idx="91">
                  <c:v>9.7076036114032433</c:v>
                </c:pt>
                <c:pt idx="92">
                  <c:v>10.158918647144603</c:v>
                </c:pt>
                <c:pt idx="93">
                  <c:v>10.621011254542573</c:v>
                </c:pt>
                <c:pt idx="94">
                  <c:v>11.093784531192085</c:v>
                </c:pt>
                <c:pt idx="95">
                  <c:v>11.577135428596215</c:v>
                </c:pt>
                <c:pt idx="96">
                  <c:v>12.070955175557877</c:v>
                </c:pt>
                <c:pt idx="97">
                  <c:v>12.575129692728083</c:v>
                </c:pt>
                <c:pt idx="98">
                  <c:v>13.08953999743791</c:v>
                </c:pt>
                <c:pt idx="99">
                  <c:v>13.614062598062382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2-4005-BD44-C65E33D26A58}"/>
            </c:ext>
          </c:extLst>
        </c:ser>
        <c:ser>
          <c:idx val="1"/>
          <c:order val="1"/>
          <c:tx>
            <c:strRef>
              <c:f>公式应用示例!$R$15</c:f>
              <c:strCache>
                <c:ptCount val="1"/>
                <c:pt idx="0">
                  <c:v>看跌期权的上限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公式应用示例!$R$16:$R$115</c:f>
              <c:numCache>
                <c:formatCode>General</c:formatCode>
                <c:ptCount val="100"/>
                <c:pt idx="0">
                  <c:v>0.97044553354850815</c:v>
                </c:pt>
                <c:pt idx="1">
                  <c:v>1.9408910670970163</c:v>
                </c:pt>
                <c:pt idx="2">
                  <c:v>2.9113366006455244</c:v>
                </c:pt>
                <c:pt idx="3">
                  <c:v>3.8817821341940326</c:v>
                </c:pt>
                <c:pt idx="4">
                  <c:v>4.8522276677425404</c:v>
                </c:pt>
                <c:pt idx="5">
                  <c:v>5.8226732012910487</c:v>
                </c:pt>
                <c:pt idx="6">
                  <c:v>6.793118734839557</c:v>
                </c:pt>
                <c:pt idx="7">
                  <c:v>7.7635642683880652</c:v>
                </c:pt>
                <c:pt idx="8">
                  <c:v>8.7340098019365726</c:v>
                </c:pt>
                <c:pt idx="9">
                  <c:v>9.7044553354850809</c:v>
                </c:pt>
                <c:pt idx="10">
                  <c:v>10.674900869033589</c:v>
                </c:pt>
                <c:pt idx="11">
                  <c:v>11.645346402582097</c:v>
                </c:pt>
                <c:pt idx="12">
                  <c:v>12.615791936130606</c:v>
                </c:pt>
                <c:pt idx="13">
                  <c:v>13.586237469679114</c:v>
                </c:pt>
                <c:pt idx="14">
                  <c:v>14.556683003227622</c:v>
                </c:pt>
                <c:pt idx="15">
                  <c:v>15.52712853677613</c:v>
                </c:pt>
                <c:pt idx="16">
                  <c:v>16.497574070324639</c:v>
                </c:pt>
                <c:pt idx="17">
                  <c:v>17.468019603873145</c:v>
                </c:pt>
                <c:pt idx="18">
                  <c:v>18.438465137421655</c:v>
                </c:pt>
                <c:pt idx="19">
                  <c:v>19.408910670970162</c:v>
                </c:pt>
                <c:pt idx="20">
                  <c:v>20.379356204518672</c:v>
                </c:pt>
                <c:pt idx="21">
                  <c:v>21.349801738067178</c:v>
                </c:pt>
                <c:pt idx="22">
                  <c:v>22.320247271615688</c:v>
                </c:pt>
                <c:pt idx="23">
                  <c:v>23.290692805164195</c:v>
                </c:pt>
                <c:pt idx="24">
                  <c:v>24.261138338712705</c:v>
                </c:pt>
                <c:pt idx="25">
                  <c:v>25.231583872261211</c:v>
                </c:pt>
                <c:pt idx="26">
                  <c:v>26.202029405809721</c:v>
                </c:pt>
                <c:pt idx="27">
                  <c:v>27.172474939358228</c:v>
                </c:pt>
                <c:pt idx="28">
                  <c:v>28.142920472906738</c:v>
                </c:pt>
                <c:pt idx="29">
                  <c:v>29.113366006455244</c:v>
                </c:pt>
                <c:pt idx="30">
                  <c:v>30.083811540003754</c:v>
                </c:pt>
                <c:pt idx="31">
                  <c:v>31.054257073552261</c:v>
                </c:pt>
                <c:pt idx="32">
                  <c:v>32.024702607100771</c:v>
                </c:pt>
                <c:pt idx="33">
                  <c:v>32.995148140649277</c:v>
                </c:pt>
                <c:pt idx="34">
                  <c:v>33.965593674197784</c:v>
                </c:pt>
                <c:pt idx="35">
                  <c:v>34.93603920774629</c:v>
                </c:pt>
                <c:pt idx="36">
                  <c:v>35.906484741294804</c:v>
                </c:pt>
                <c:pt idx="37">
                  <c:v>36.876930274843311</c:v>
                </c:pt>
                <c:pt idx="38">
                  <c:v>37.847375808391817</c:v>
                </c:pt>
                <c:pt idx="39">
                  <c:v>38.817821341940324</c:v>
                </c:pt>
                <c:pt idx="40">
                  <c:v>39.788266875488837</c:v>
                </c:pt>
                <c:pt idx="41">
                  <c:v>40.758712409037344</c:v>
                </c:pt>
                <c:pt idx="42">
                  <c:v>41.72915794258585</c:v>
                </c:pt>
                <c:pt idx="43">
                  <c:v>42.699603476134357</c:v>
                </c:pt>
                <c:pt idx="44">
                  <c:v>43.67004900968287</c:v>
                </c:pt>
                <c:pt idx="45">
                  <c:v>44.640494543231377</c:v>
                </c:pt>
                <c:pt idx="46">
                  <c:v>45.610940076779883</c:v>
                </c:pt>
                <c:pt idx="47">
                  <c:v>46.58138561032839</c:v>
                </c:pt>
                <c:pt idx="48">
                  <c:v>47.551831143876896</c:v>
                </c:pt>
                <c:pt idx="49">
                  <c:v>48.52227667742541</c:v>
                </c:pt>
                <c:pt idx="50">
                  <c:v>49.492722210973916</c:v>
                </c:pt>
                <c:pt idx="51">
                  <c:v>50.463167744522423</c:v>
                </c:pt>
                <c:pt idx="52">
                  <c:v>51.433613278070929</c:v>
                </c:pt>
                <c:pt idx="53">
                  <c:v>52.404058811619443</c:v>
                </c:pt>
                <c:pt idx="54">
                  <c:v>53.374504345167949</c:v>
                </c:pt>
                <c:pt idx="55">
                  <c:v>54.344949878716456</c:v>
                </c:pt>
                <c:pt idx="56">
                  <c:v>55.315395412264962</c:v>
                </c:pt>
                <c:pt idx="57">
                  <c:v>56.285840945813476</c:v>
                </c:pt>
                <c:pt idx="58">
                  <c:v>57.256286479361982</c:v>
                </c:pt>
                <c:pt idx="59">
                  <c:v>58.226732012910489</c:v>
                </c:pt>
                <c:pt idx="60">
                  <c:v>59.197177546458995</c:v>
                </c:pt>
                <c:pt idx="61">
                  <c:v>60.167623080007509</c:v>
                </c:pt>
                <c:pt idx="62">
                  <c:v>61.138068613556015</c:v>
                </c:pt>
                <c:pt idx="63">
                  <c:v>62.108514147104522</c:v>
                </c:pt>
                <c:pt idx="64">
                  <c:v>63.078959680653028</c:v>
                </c:pt>
                <c:pt idx="65">
                  <c:v>64.049405214201542</c:v>
                </c:pt>
                <c:pt idx="66">
                  <c:v>65.019850747750041</c:v>
                </c:pt>
                <c:pt idx="67">
                  <c:v>65.990296281298555</c:v>
                </c:pt>
                <c:pt idx="68">
                  <c:v>66.960741814847069</c:v>
                </c:pt>
                <c:pt idx="69">
                  <c:v>67.931187348395568</c:v>
                </c:pt>
                <c:pt idx="70">
                  <c:v>68.901632881944082</c:v>
                </c:pt>
                <c:pt idx="71">
                  <c:v>69.872078415492581</c:v>
                </c:pt>
                <c:pt idx="72">
                  <c:v>70.842523949041095</c:v>
                </c:pt>
                <c:pt idx="73">
                  <c:v>71.812969482589608</c:v>
                </c:pt>
                <c:pt idx="74">
                  <c:v>72.783415016138107</c:v>
                </c:pt>
                <c:pt idx="75">
                  <c:v>73.753860549686621</c:v>
                </c:pt>
                <c:pt idx="76">
                  <c:v>74.724306083235135</c:v>
                </c:pt>
                <c:pt idx="77">
                  <c:v>75.694751616783634</c:v>
                </c:pt>
                <c:pt idx="78">
                  <c:v>76.665197150332148</c:v>
                </c:pt>
                <c:pt idx="79">
                  <c:v>77.635642683880647</c:v>
                </c:pt>
                <c:pt idx="80">
                  <c:v>78.606088217429161</c:v>
                </c:pt>
                <c:pt idx="81">
                  <c:v>79.576533750977674</c:v>
                </c:pt>
                <c:pt idx="82">
                  <c:v>80.546979284526174</c:v>
                </c:pt>
                <c:pt idx="83">
                  <c:v>81.517424818074687</c:v>
                </c:pt>
                <c:pt idx="84">
                  <c:v>82.487870351623187</c:v>
                </c:pt>
                <c:pt idx="85">
                  <c:v>83.4583158851717</c:v>
                </c:pt>
                <c:pt idx="86">
                  <c:v>84.428761418720214</c:v>
                </c:pt>
                <c:pt idx="87">
                  <c:v>85.399206952268713</c:v>
                </c:pt>
                <c:pt idx="88">
                  <c:v>86.369652485817227</c:v>
                </c:pt>
                <c:pt idx="89">
                  <c:v>87.34009801936574</c:v>
                </c:pt>
                <c:pt idx="90">
                  <c:v>88.31054355291424</c:v>
                </c:pt>
                <c:pt idx="91">
                  <c:v>89.280989086462753</c:v>
                </c:pt>
                <c:pt idx="92">
                  <c:v>90.251434620011253</c:v>
                </c:pt>
                <c:pt idx="93">
                  <c:v>91.221880153559766</c:v>
                </c:pt>
                <c:pt idx="94">
                  <c:v>92.19232568710828</c:v>
                </c:pt>
                <c:pt idx="95">
                  <c:v>93.162771220656779</c:v>
                </c:pt>
                <c:pt idx="96">
                  <c:v>94.133216754205293</c:v>
                </c:pt>
                <c:pt idx="97">
                  <c:v>95.103662287753792</c:v>
                </c:pt>
                <c:pt idx="98">
                  <c:v>96.074107821302306</c:v>
                </c:pt>
                <c:pt idx="99">
                  <c:v>97.044553354850819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2-4005-BD44-C65E33D26A58}"/>
            </c:ext>
          </c:extLst>
        </c:ser>
        <c:ser>
          <c:idx val="2"/>
          <c:order val="2"/>
          <c:tx>
            <c:strRef>
              <c:f>公式应用示例!$S$15</c:f>
              <c:strCache>
                <c:ptCount val="1"/>
                <c:pt idx="0">
                  <c:v>看跌期权的下限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公式应用示例!$L$16:$L$115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公式应用示例!$S$16:$S$115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2-4005-BD44-C65E33D26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828287"/>
        <c:axId val="304825791"/>
      </c:lineChart>
      <c:catAx>
        <c:axId val="3048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执行价格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4825791"/>
        <c:crosses val="autoZero"/>
        <c:auto val="1"/>
        <c:lblAlgn val="ctr"/>
        <c:lblOffset val="100"/>
        <c:noMultiLvlLbl val="0"/>
      </c:catAx>
      <c:valAx>
        <c:axId val="30482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4828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看涨期权上下限随到期期限的变化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公式应用示例!$X$15</c:f>
              <c:strCache>
                <c:ptCount val="1"/>
                <c:pt idx="0">
                  <c:v>看涨期权的价值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公式应用示例!$W$16:$W$115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公式应用示例!$X$16:$X$115</c:f>
              <c:numCache>
                <c:formatCode>General</c:formatCode>
                <c:ptCount val="100"/>
                <c:pt idx="0">
                  <c:v>5.0004074805222913</c:v>
                </c:pt>
                <c:pt idx="1">
                  <c:v>7.1465102183935088</c:v>
                </c:pt>
                <c:pt idx="2">
                  <c:v>8.8191378777014009</c:v>
                </c:pt>
                <c:pt idx="3">
                  <c:v>10.245123003471051</c:v>
                </c:pt>
                <c:pt idx="4">
                  <c:v>11.512507904132427</c:v>
                </c:pt>
                <c:pt idx="5">
                  <c:v>12.666536097868061</c:v>
                </c:pt>
                <c:pt idx="6">
                  <c:v>13.734137701745148</c:v>
                </c:pt>
                <c:pt idx="7">
                  <c:v>14.732894176723505</c:v>
                </c:pt>
                <c:pt idx="8">
                  <c:v>15.675042188241825</c:v>
                </c:pt>
                <c:pt idx="9">
                  <c:v>16.569509243211563</c:v>
                </c:pt>
                <c:pt idx="10">
                  <c:v>17.423048687136067</c:v>
                </c:pt>
                <c:pt idx="11">
                  <c:v>18.240918048665577</c:v>
                </c:pt>
                <c:pt idx="12">
                  <c:v>19.027307099933424</c:v>
                </c:pt>
                <c:pt idx="13">
                  <c:v>19.785620062307501</c:v>
                </c:pt>
                <c:pt idx="14">
                  <c:v>20.518668484168344</c:v>
                </c:pt>
                <c:pt idx="15">
                  <c:v>21.228807112617503</c:v>
                </c:pt>
                <c:pt idx="16">
                  <c:v>21.91803210299792</c:v>
                </c:pt>
                <c:pt idx="17">
                  <c:v>22.58805359820856</c:v>
                </c:pt>
                <c:pt idx="18">
                  <c:v>23.240350413366208</c:v>
                </c:pt>
                <c:pt idx="19">
                  <c:v>23.876211943862515</c:v>
                </c:pt>
                <c:pt idx="20">
                  <c:v>24.496770769251064</c:v>
                </c:pt>
                <c:pt idx="21">
                  <c:v>25.103028361826212</c:v>
                </c:pt>
                <c:pt idx="22">
                  <c:v>25.69587560432926</c:v>
                </c:pt>
                <c:pt idx="23">
                  <c:v>26.276109344361728</c:v>
                </c:pt>
                <c:pt idx="24">
                  <c:v>26.844445883888518</c:v>
                </c:pt>
                <c:pt idx="25">
                  <c:v>27.401532070893516</c:v>
                </c:pt>
                <c:pt idx="26">
                  <c:v>27.947954495069276</c:v>
                </c:pt>
                <c:pt idx="27">
                  <c:v>28.484247169730054</c:v>
                </c:pt>
                <c:pt idx="28">
                  <c:v>29.010897994232664</c:v>
                </c:pt>
                <c:pt idx="29">
                  <c:v>29.52835422582897</c:v>
                </c:pt>
                <c:pt idx="30">
                  <c:v>30.037027140718529</c:v>
                </c:pt>
                <c:pt idx="31">
                  <c:v>30.537296026710969</c:v>
                </c:pt>
                <c:pt idx="32">
                  <c:v>31.029511621234015</c:v>
                </c:pt>
                <c:pt idx="33">
                  <c:v>31.513999086215037</c:v>
                </c:pt>
                <c:pt idx="34">
                  <c:v>31.991060594016446</c:v>
                </c:pt>
                <c:pt idx="35">
                  <c:v>32.460977584946242</c:v>
                </c:pt>
                <c:pt idx="36">
                  <c:v>32.924012746029824</c:v>
                </c:pt>
                <c:pt idx="37">
                  <c:v>33.380411752074082</c:v>
                </c:pt>
                <c:pt idx="38">
                  <c:v>33.830404803094297</c:v>
                </c:pt>
                <c:pt idx="39">
                  <c:v>34.274207986543821</c:v>
                </c:pt>
                <c:pt idx="40">
                  <c:v>34.712024488202367</c:v>
                </c:pt>
                <c:pt idx="41">
                  <c:v>35.14404567182811</c:v>
                </c:pt>
                <c:pt idx="42">
                  <c:v>35.57045204459282</c:v>
                </c:pt>
                <c:pt idx="43">
                  <c:v>35.991414122767402</c:v>
                </c:pt>
                <c:pt idx="44">
                  <c:v>36.407093210005222</c:v>
                </c:pt>
                <c:pt idx="45">
                  <c:v>36.817642098802054</c:v>
                </c:pt>
                <c:pt idx="46">
                  <c:v>37.223205704227901</c:v>
                </c:pt>
                <c:pt idx="47">
                  <c:v>37.623921637779347</c:v>
                </c:pt>
                <c:pt idx="48">
                  <c:v>38.019920728145749</c:v>
                </c:pt>
                <c:pt idx="49">
                  <c:v>38.411327494789582</c:v>
                </c:pt>
                <c:pt idx="50">
                  <c:v>38.798260579479731</c:v>
                </c:pt>
                <c:pt idx="51">
                  <c:v>39.180833140267417</c:v>
                </c:pt>
                <c:pt idx="52">
                  <c:v>39.559153211837298</c:v>
                </c:pt>
                <c:pt idx="53">
                  <c:v>39.933324035688351</c:v>
                </c:pt>
                <c:pt idx="54">
                  <c:v>40.303444363186131</c:v>
                </c:pt>
                <c:pt idx="55">
                  <c:v>40.669608734172137</c:v>
                </c:pt>
                <c:pt idx="56">
                  <c:v>41.031907733506081</c:v>
                </c:pt>
                <c:pt idx="57">
                  <c:v>41.390428227648727</c:v>
                </c:pt>
                <c:pt idx="58">
                  <c:v>41.745253583158458</c:v>
                </c:pt>
                <c:pt idx="59">
                  <c:v>42.096463868769895</c:v>
                </c:pt>
                <c:pt idx="60">
                  <c:v>42.444136042544081</c:v>
                </c:pt>
                <c:pt idx="61">
                  <c:v>42.788344125421744</c:v>
                </c:pt>
                <c:pt idx="62">
                  <c:v>43.129159362373329</c:v>
                </c:pt>
                <c:pt idx="63">
                  <c:v>43.466650372216932</c:v>
                </c:pt>
                <c:pt idx="64">
                  <c:v>43.800883287067407</c:v>
                </c:pt>
                <c:pt idx="65">
                  <c:v>44.131921882284701</c:v>
                </c:pt>
                <c:pt idx="66">
                  <c:v>44.459827697704434</c:v>
                </c:pt>
                <c:pt idx="67">
                  <c:v>44.7846601508584</c:v>
                </c:pt>
                <c:pt idx="68">
                  <c:v>45.106476642825868</c:v>
                </c:pt>
                <c:pt idx="69">
                  <c:v>45.425332657296231</c:v>
                </c:pt>
                <c:pt idx="70">
                  <c:v>45.741281853370822</c:v>
                </c:pt>
                <c:pt idx="71">
                  <c:v>46.054376152582918</c:v>
                </c:pt>
                <c:pt idx="72">
                  <c:v>46.36466582057281</c:v>
                </c:pt>
                <c:pt idx="73">
                  <c:v>46.672199543816127</c:v>
                </c:pt>
                <c:pt idx="74">
                  <c:v>46.977024501768341</c:v>
                </c:pt>
                <c:pt idx="75">
                  <c:v>47.279186434758081</c:v>
                </c:pt>
                <c:pt idx="76">
                  <c:v>47.578729707933206</c:v>
                </c:pt>
                <c:pt idx="77">
                  <c:v>47.875697371537953</c:v>
                </c:pt>
                <c:pt idx="78">
                  <c:v>48.170131217777111</c:v>
                </c:pt>
                <c:pt idx="79">
                  <c:v>48.462071834501579</c:v>
                </c:pt>
                <c:pt idx="80">
                  <c:v>48.75155865593166</c:v>
                </c:pt>
                <c:pt idx="81">
                  <c:v>49.038630010616089</c:v>
                </c:pt>
                <c:pt idx="82">
                  <c:v>49.323323166810582</c:v>
                </c:pt>
                <c:pt idx="83">
                  <c:v>49.605674375444181</c:v>
                </c:pt>
                <c:pt idx="84">
                  <c:v>49.885718910829809</c:v>
                </c:pt>
                <c:pt idx="85">
                  <c:v>50.163491109262665</c:v>
                </c:pt>
                <c:pt idx="86">
                  <c:v>50.439024405640254</c:v>
                </c:pt>
                <c:pt idx="87">
                  <c:v>50.712351368227154</c:v>
                </c:pt>
                <c:pt idx="88">
                  <c:v>50.983503731679058</c:v>
                </c:pt>
                <c:pt idx="89">
                  <c:v>51.252512428432439</c:v>
                </c:pt>
                <c:pt idx="90">
                  <c:v>51.519407618557963</c:v>
                </c:pt>
                <c:pt idx="91">
                  <c:v>51.784218718169591</c:v>
                </c:pt>
                <c:pt idx="92">
                  <c:v>52.046974426474591</c:v>
                </c:pt>
                <c:pt idx="93">
                  <c:v>52.307702751543189</c:v>
                </c:pt>
                <c:pt idx="94">
                  <c:v>52.566431034872643</c:v>
                </c:pt>
                <c:pt idx="95">
                  <c:v>52.823185974813597</c:v>
                </c:pt>
                <c:pt idx="96">
                  <c:v>53.077993648923581</c:v>
                </c:pt>
                <c:pt idx="97">
                  <c:v>53.330879535307716</c:v>
                </c:pt>
                <c:pt idx="98">
                  <c:v>53.581868533001938</c:v>
                </c:pt>
                <c:pt idx="99">
                  <c:v>53.830984981452033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E-40DF-BA36-CA138FB500A9}"/>
            </c:ext>
          </c:extLst>
        </c:ser>
        <c:ser>
          <c:idx val="1"/>
          <c:order val="1"/>
          <c:tx>
            <c:strRef>
              <c:f>公式应用示例!$Y$15</c:f>
              <c:strCache>
                <c:ptCount val="1"/>
                <c:pt idx="0">
                  <c:v>看涨期权的上限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公式应用示例!$W$16:$W$115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公式应用示例!$Y$16:$Y$115</c:f>
              <c:numCache>
                <c:formatCode>General</c:formatCode>
                <c:ptCount val="10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7E-40DF-BA36-CA138FB500A9}"/>
            </c:ext>
          </c:extLst>
        </c:ser>
        <c:ser>
          <c:idx val="2"/>
          <c:order val="2"/>
          <c:tx>
            <c:strRef>
              <c:f>公式应用示例!$Z$15</c:f>
              <c:strCache>
                <c:ptCount val="1"/>
                <c:pt idx="0">
                  <c:v>看涨期权的下限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公式应用示例!$W$16:$W$115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公式应用示例!$Z$16:$Z$115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7E-40DF-BA36-CA138FB50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548367"/>
        <c:axId val="821562927"/>
      </c:lineChart>
      <c:catAx>
        <c:axId val="821548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到期期限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562927"/>
        <c:crosses val="autoZero"/>
        <c:auto val="1"/>
        <c:lblAlgn val="ctr"/>
        <c:lblOffset val="100"/>
        <c:noMultiLvlLbl val="0"/>
      </c:catAx>
      <c:valAx>
        <c:axId val="82156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548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看跌期权上下限随到期期限的变化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公式应用示例!$AC$15</c:f>
              <c:strCache>
                <c:ptCount val="1"/>
                <c:pt idx="0">
                  <c:v>看跌期权的价值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公式应用示例!$AC$16:$AC$115</c:f>
              <c:numCache>
                <c:formatCode>General</c:formatCode>
                <c:ptCount val="100"/>
                <c:pt idx="0">
                  <c:v>4.7008570308595878</c:v>
                </c:pt>
                <c:pt idx="1">
                  <c:v>6.5483066237870347</c:v>
                </c:pt>
                <c:pt idx="2">
                  <c:v>7.9231757549897637</c:v>
                </c:pt>
                <c:pt idx="3">
                  <c:v>9.0522942896641041</c:v>
                </c:pt>
                <c:pt idx="4">
                  <c:v>10.023701864438692</c:v>
                </c:pt>
                <c:pt idx="5">
                  <c:v>10.882639333698137</c:v>
                </c:pt>
                <c:pt idx="6">
                  <c:v>11.656034158691099</c:v>
                </c:pt>
                <c:pt idx="7">
                  <c:v>12.361465152514441</c:v>
                </c:pt>
                <c:pt idx="8">
                  <c:v>13.011166340675508</c:v>
                </c:pt>
                <c:pt idx="9">
                  <c:v>13.614062598062382</c:v>
                </c:pt>
                <c:pt idx="10">
                  <c:v>14.176904646039254</c:v>
                </c:pt>
                <c:pt idx="11">
                  <c:v>14.704947396977886</c:v>
                </c:pt>
                <c:pt idx="12">
                  <c:v>15.202378014570101</c:v>
                </c:pt>
                <c:pt idx="13">
                  <c:v>15.672598119555957</c:v>
                </c:pt>
                <c:pt idx="14">
                  <c:v>16.118416667478343</c:v>
                </c:pt>
                <c:pt idx="15">
                  <c:v>16.542185820367983</c:v>
                </c:pt>
                <c:pt idx="16">
                  <c:v>16.945899156240621</c:v>
                </c:pt>
                <c:pt idx="17">
                  <c:v>17.331264248388393</c:v>
                </c:pt>
                <c:pt idx="18">
                  <c:v>17.69975735001853</c:v>
                </c:pt>
                <c:pt idx="19">
                  <c:v>18.052665302287373</c:v>
                </c:pt>
                <c:pt idx="20">
                  <c:v>18.391118138164373</c:v>
                </c:pt>
                <c:pt idx="21">
                  <c:v>18.716114790988087</c:v>
                </c:pt>
                <c:pt idx="22">
                  <c:v>19.028543612149463</c:v>
                </c:pt>
                <c:pt idx="23">
                  <c:v>19.329198925482295</c:v>
                </c:pt>
                <c:pt idx="24">
                  <c:v>19.61879451674379</c:v>
                </c:pt>
                <c:pt idx="25">
                  <c:v>19.897974725247458</c:v>
                </c:pt>
                <c:pt idx="26">
                  <c:v>20.167323639530082</c:v>
                </c:pt>
                <c:pt idx="27">
                  <c:v>20.427372779242518</c:v>
                </c:pt>
                <c:pt idx="28">
                  <c:v>20.678607557547899</c:v>
                </c:pt>
                <c:pt idx="29">
                  <c:v>20.921472752951789</c:v>
                </c:pt>
                <c:pt idx="30">
                  <c:v>21.156377170332579</c:v>
                </c:pt>
                <c:pt idx="31">
                  <c:v>21.383697633581573</c:v>
                </c:pt>
                <c:pt idx="32">
                  <c:v>21.603782423588861</c:v>
                </c:pt>
                <c:pt idx="33">
                  <c:v>21.816954253102711</c:v>
                </c:pt>
                <c:pt idx="34">
                  <c:v>22.023512852642995</c:v>
                </c:pt>
                <c:pt idx="35">
                  <c:v>22.223737227989737</c:v>
                </c:pt>
                <c:pt idx="36">
                  <c:v>22.417887638932942</c:v>
                </c:pt>
                <c:pt idx="37">
                  <c:v>22.606207340314906</c:v>
                </c:pt>
                <c:pt idx="38">
                  <c:v>22.788924119435428</c:v>
                </c:pt>
                <c:pt idx="39">
                  <c:v>22.966251658259569</c:v>
                </c:pt>
                <c:pt idx="40">
                  <c:v>23.138390744284457</c:v>
                </c:pt>
                <c:pt idx="41">
                  <c:v>23.305530350169722</c:v>
                </c:pt>
                <c:pt idx="42">
                  <c:v>23.467848599151132</c:v>
                </c:pt>
                <c:pt idx="43">
                  <c:v>23.625513630704724</c:v>
                </c:pt>
                <c:pt idx="44">
                  <c:v>23.778684378808677</c:v>
                </c:pt>
                <c:pt idx="45">
                  <c:v>23.927511273381892</c:v>
                </c:pt>
                <c:pt idx="46">
                  <c:v>24.072136873994683</c:v>
                </c:pt>
                <c:pt idx="47">
                  <c:v>24.21269644369983</c:v>
                </c:pt>
                <c:pt idx="48">
                  <c:v>24.349318469777678</c:v>
                </c:pt>
                <c:pt idx="49">
                  <c:v>24.482125137295363</c:v>
                </c:pt>
                <c:pt idx="50">
                  <c:v>24.611232760619114</c:v>
                </c:pt>
                <c:pt idx="51">
                  <c:v>24.736752177369265</c:v>
                </c:pt>
                <c:pt idx="52">
                  <c:v>24.85878910875044</c:v>
                </c:pt>
                <c:pt idx="53">
                  <c:v>24.977444489711651</c:v>
                </c:pt>
                <c:pt idx="54">
                  <c:v>25.092814771977721</c:v>
                </c:pt>
                <c:pt idx="55">
                  <c:v>25.204992202638017</c:v>
                </c:pt>
                <c:pt idx="56">
                  <c:v>25.314065080668069</c:v>
                </c:pt>
                <c:pt idx="57">
                  <c:v>25.420117993491868</c:v>
                </c:pt>
                <c:pt idx="58">
                  <c:v>25.523232035457845</c:v>
                </c:pt>
                <c:pt idx="59">
                  <c:v>25.623485009897088</c:v>
                </c:pt>
                <c:pt idx="60">
                  <c:v>25.720951616253178</c:v>
                </c:pt>
                <c:pt idx="61">
                  <c:v>25.815703623615001</c:v>
                </c:pt>
                <c:pt idx="62">
                  <c:v>25.907810031846694</c:v>
                </c:pt>
                <c:pt idx="63">
                  <c:v>25.99733722138517</c:v>
                </c:pt>
                <c:pt idx="64">
                  <c:v>26.08434909266925</c:v>
                </c:pt>
                <c:pt idx="65">
                  <c:v>26.168907196067803</c:v>
                </c:pt>
                <c:pt idx="66">
                  <c:v>26.251070853090379</c:v>
                </c:pt>
                <c:pt idx="67">
                  <c:v>26.330897269587673</c:v>
                </c:pt>
                <c:pt idx="68">
                  <c:v>26.408441641582954</c:v>
                </c:pt>
                <c:pt idx="69">
                  <c:v>26.483757254314941</c:v>
                </c:pt>
                <c:pt idx="70">
                  <c:v>26.556895575019663</c:v>
                </c:pt>
                <c:pt idx="71">
                  <c:v>26.627906339930881</c:v>
                </c:pt>
                <c:pt idx="72">
                  <c:v>26.696837635935474</c:v>
                </c:pt>
                <c:pt idx="73">
                  <c:v>26.763735977282042</c:v>
                </c:pt>
                <c:pt idx="74">
                  <c:v>26.828646377706047</c:v>
                </c:pt>
                <c:pt idx="75">
                  <c:v>26.891612418303463</c:v>
                </c:pt>
                <c:pt idx="76">
                  <c:v>26.952676311457473</c:v>
                </c:pt>
                <c:pt idx="77">
                  <c:v>27.01187896109634</c:v>
                </c:pt>
                <c:pt idx="78">
                  <c:v>27.069260019538088</c:v>
                </c:pt>
                <c:pt idx="79">
                  <c:v>27.124857941156925</c:v>
                </c:pt>
                <c:pt idx="80">
                  <c:v>27.178710033087302</c:v>
                </c:pt>
                <c:pt idx="81">
                  <c:v>27.230852503163817</c:v>
                </c:pt>
                <c:pt idx="82">
                  <c:v>27.281320505280608</c:v>
                </c:pt>
                <c:pt idx="83">
                  <c:v>27.3301481823388</c:v>
                </c:pt>
                <c:pt idx="84">
                  <c:v>27.377368706937904</c:v>
                </c:pt>
                <c:pt idx="85">
                  <c:v>27.42301431995547</c:v>
                </c:pt>
                <c:pt idx="86">
                  <c:v>27.467116367148162</c:v>
                </c:pt>
                <c:pt idx="87">
                  <c:v>27.509705333897756</c:v>
                </c:pt>
                <c:pt idx="88">
                  <c:v>27.550810878216446</c:v>
                </c:pt>
                <c:pt idx="89">
                  <c:v>27.590461862117749</c:v>
                </c:pt>
                <c:pt idx="90">
                  <c:v>27.628686381451381</c:v>
                </c:pt>
                <c:pt idx="91">
                  <c:v>27.665511794293746</c:v>
                </c:pt>
                <c:pt idx="92">
                  <c:v>27.700964747979331</c:v>
                </c:pt>
                <c:pt idx="93">
                  <c:v>27.735071204852094</c:v>
                </c:pt>
                <c:pt idx="94">
                  <c:v>27.767856466810919</c:v>
                </c:pt>
                <c:pt idx="95">
                  <c:v>27.79934519871771</c:v>
                </c:pt>
                <c:pt idx="96">
                  <c:v>27.829561450732694</c:v>
                </c:pt>
                <c:pt idx="97">
                  <c:v>27.858528679636578</c:v>
                </c:pt>
                <c:pt idx="98">
                  <c:v>27.88626976919592</c:v>
                </c:pt>
                <c:pt idx="99">
                  <c:v>27.912807049623815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8-4CFD-8E6C-FECF48375CD0}"/>
            </c:ext>
          </c:extLst>
        </c:ser>
        <c:ser>
          <c:idx val="1"/>
          <c:order val="1"/>
          <c:tx>
            <c:strRef>
              <c:f>公式应用示例!$AD$15</c:f>
              <c:strCache>
                <c:ptCount val="1"/>
                <c:pt idx="0">
                  <c:v>看跌期权的上限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公式应用示例!$AD$16:$AD$115</c:f>
              <c:numCache>
                <c:formatCode>General</c:formatCode>
                <c:ptCount val="100"/>
                <c:pt idx="0">
                  <c:v>99.700449550337297</c:v>
                </c:pt>
                <c:pt idx="1">
                  <c:v>99.401796405393526</c:v>
                </c:pt>
                <c:pt idx="2">
                  <c:v>99.104037877288363</c:v>
                </c:pt>
                <c:pt idx="3">
                  <c:v>98.807171286193054</c:v>
                </c:pt>
                <c:pt idx="4">
                  <c:v>98.511193960306258</c:v>
                </c:pt>
                <c:pt idx="5">
                  <c:v>98.216103235830076</c:v>
                </c:pt>
                <c:pt idx="6">
                  <c:v>97.921896456945959</c:v>
                </c:pt>
                <c:pt idx="7">
                  <c:v>97.628570975790936</c:v>
                </c:pt>
                <c:pt idx="8">
                  <c:v>97.336124152433683</c:v>
                </c:pt>
                <c:pt idx="9">
                  <c:v>97.044553354850819</c:v>
                </c:pt>
                <c:pt idx="10">
                  <c:v>96.753855958903202</c:v>
                </c:pt>
                <c:pt idx="11">
                  <c:v>96.464029348312309</c:v>
                </c:pt>
                <c:pt idx="12">
                  <c:v>96.175070914636677</c:v>
                </c:pt>
                <c:pt idx="13">
                  <c:v>95.886978057248456</c:v>
                </c:pt>
                <c:pt idx="14">
                  <c:v>95.599748183309998</c:v>
                </c:pt>
                <c:pt idx="15">
                  <c:v>95.313378707750473</c:v>
                </c:pt>
                <c:pt idx="16">
                  <c:v>95.027867053242701</c:v>
                </c:pt>
                <c:pt idx="17">
                  <c:v>94.743210650179833</c:v>
                </c:pt>
                <c:pt idx="18">
                  <c:v>94.459406936652329</c:v>
                </c:pt>
                <c:pt idx="19">
                  <c:v>94.176453358424865</c:v>
                </c:pt>
                <c:pt idx="20">
                  <c:v>93.894347368913316</c:v>
                </c:pt>
                <c:pt idx="21">
                  <c:v>93.613086429161882</c:v>
                </c:pt>
                <c:pt idx="22">
                  <c:v>93.332668007820203</c:v>
                </c:pt>
                <c:pt idx="23">
                  <c:v>93.053089581120574</c:v>
                </c:pt>
                <c:pt idx="24">
                  <c:v>92.774348632855279</c:v>
                </c:pt>
                <c:pt idx="25">
                  <c:v>92.496442654353928</c:v>
                </c:pt>
                <c:pt idx="26">
                  <c:v>92.219369144460799</c:v>
                </c:pt>
                <c:pt idx="27">
                  <c:v>91.943125609512464</c:v>
                </c:pt>
                <c:pt idx="28">
                  <c:v>91.667709563315228</c:v>
                </c:pt>
                <c:pt idx="29">
                  <c:v>91.393118527122823</c:v>
                </c:pt>
                <c:pt idx="30">
                  <c:v>91.119350029614054</c:v>
                </c:pt>
                <c:pt idx="31">
                  <c:v>90.846401606870614</c:v>
                </c:pt>
                <c:pt idx="32">
                  <c:v>90.574270802354846</c:v>
                </c:pt>
                <c:pt idx="33">
                  <c:v>90.302955166887671</c:v>
                </c:pt>
                <c:pt idx="34">
                  <c:v>90.032452258626563</c:v>
                </c:pt>
                <c:pt idx="35">
                  <c:v>89.762759643043495</c:v>
                </c:pt>
                <c:pt idx="36">
                  <c:v>89.493874892903108</c:v>
                </c:pt>
                <c:pt idx="37">
                  <c:v>89.225795588240828</c:v>
                </c:pt>
                <c:pt idx="38">
                  <c:v>88.958519316341139</c:v>
                </c:pt>
                <c:pt idx="39">
                  <c:v>88.692043671715751</c:v>
                </c:pt>
                <c:pt idx="40">
                  <c:v>88.42636625608209</c:v>
                </c:pt>
                <c:pt idx="41">
                  <c:v>88.161484678341608</c:v>
                </c:pt>
                <c:pt idx="42">
                  <c:v>87.897396554558313</c:v>
                </c:pt>
                <c:pt idx="43">
                  <c:v>87.634099507937322</c:v>
                </c:pt>
                <c:pt idx="44">
                  <c:v>87.371591168803448</c:v>
                </c:pt>
                <c:pt idx="45">
                  <c:v>87.109869174579842</c:v>
                </c:pt>
                <c:pt idx="46">
                  <c:v>86.848931169766786</c:v>
                </c:pt>
                <c:pt idx="47">
                  <c:v>86.588774805920494</c:v>
                </c:pt>
                <c:pt idx="48">
                  <c:v>86.329397741631936</c:v>
                </c:pt>
                <c:pt idx="49">
                  <c:v>86.070797642505781</c:v>
                </c:pt>
                <c:pt idx="50">
                  <c:v>85.812972181139386</c:v>
                </c:pt>
                <c:pt idx="51">
                  <c:v>85.555919037101845</c:v>
                </c:pt>
                <c:pt idx="52">
                  <c:v>85.299635896913145</c:v>
                </c:pt>
                <c:pt idx="53">
                  <c:v>85.0441204540233</c:v>
                </c:pt>
                <c:pt idx="54">
                  <c:v>84.789370408791584</c:v>
                </c:pt>
                <c:pt idx="55">
                  <c:v>84.535383468465881</c:v>
                </c:pt>
                <c:pt idx="56">
                  <c:v>84.282157347161984</c:v>
                </c:pt>
                <c:pt idx="57">
                  <c:v>84.029689765843145</c:v>
                </c:pt>
                <c:pt idx="58">
                  <c:v>83.777978452299379</c:v>
                </c:pt>
                <c:pt idx="59">
                  <c:v>83.527021141127193</c:v>
                </c:pt>
                <c:pt idx="60">
                  <c:v>83.276815573709101</c:v>
                </c:pt>
                <c:pt idx="61">
                  <c:v>83.027359498193263</c:v>
                </c:pt>
                <c:pt idx="62">
                  <c:v>82.778650669473365</c:v>
                </c:pt>
                <c:pt idx="63">
                  <c:v>82.530686849168234</c:v>
                </c:pt>
                <c:pt idx="64">
                  <c:v>82.283465805601836</c:v>
                </c:pt>
                <c:pt idx="65">
                  <c:v>82.036985313783106</c:v>
                </c:pt>
                <c:pt idx="66">
                  <c:v>81.791243155385942</c:v>
                </c:pt>
                <c:pt idx="67">
                  <c:v>81.546237118729266</c:v>
                </c:pt>
                <c:pt idx="68">
                  <c:v>81.3019649987571</c:v>
                </c:pt>
                <c:pt idx="69">
                  <c:v>81.058424597018714</c:v>
                </c:pt>
                <c:pt idx="70">
                  <c:v>80.815613721648845</c:v>
                </c:pt>
                <c:pt idx="71">
                  <c:v>80.57353018734797</c:v>
                </c:pt>
                <c:pt idx="72">
                  <c:v>80.332171815362656</c:v>
                </c:pt>
                <c:pt idx="73">
                  <c:v>80.091536433465919</c:v>
                </c:pt>
                <c:pt idx="74">
                  <c:v>79.85162187593771</c:v>
                </c:pt>
                <c:pt idx="75">
                  <c:v>79.612425983545378</c:v>
                </c:pt>
                <c:pt idx="76">
                  <c:v>79.373946603524274</c:v>
                </c:pt>
                <c:pt idx="77">
                  <c:v>79.13618158955839</c:v>
                </c:pt>
                <c:pt idx="78">
                  <c:v>78.89912880176098</c:v>
                </c:pt>
                <c:pt idx="79">
                  <c:v>78.662786106655346</c:v>
                </c:pt>
                <c:pt idx="80">
                  <c:v>78.427151377155653</c:v>
                </c:pt>
                <c:pt idx="81">
                  <c:v>78.192222492547728</c:v>
                </c:pt>
                <c:pt idx="82">
                  <c:v>77.957997338470037</c:v>
                </c:pt>
                <c:pt idx="83">
                  <c:v>77.724473806894608</c:v>
                </c:pt>
                <c:pt idx="84">
                  <c:v>77.491649796108092</c:v>
                </c:pt>
                <c:pt idx="85">
                  <c:v>77.259523210692805</c:v>
                </c:pt>
                <c:pt idx="86">
                  <c:v>77.028091961507911</c:v>
                </c:pt>
                <c:pt idx="87">
                  <c:v>76.797353965670609</c:v>
                </c:pt>
                <c:pt idx="88">
                  <c:v>76.567307146537388</c:v>
                </c:pt>
                <c:pt idx="89">
                  <c:v>76.33794943368531</c:v>
                </c:pt>
                <c:pt idx="90">
                  <c:v>76.109278762893425</c:v>
                </c:pt>
                <c:pt idx="91">
                  <c:v>75.881293076124152</c:v>
                </c:pt>
                <c:pt idx="92">
                  <c:v>75.653990321504736</c:v>
                </c:pt>
                <c:pt idx="93">
                  <c:v>75.427368453308901</c:v>
                </c:pt>
                <c:pt idx="94">
                  <c:v>75.201425431938262</c:v>
                </c:pt>
                <c:pt idx="95">
                  <c:v>74.976159223904119</c:v>
                </c:pt>
                <c:pt idx="96">
                  <c:v>74.751567801809102</c:v>
                </c:pt>
                <c:pt idx="97">
                  <c:v>74.527649144328862</c:v>
                </c:pt>
                <c:pt idx="98">
                  <c:v>74.304401236193982</c:v>
                </c:pt>
                <c:pt idx="99">
                  <c:v>74.081822068171789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8-4CFD-8E6C-FECF48375CD0}"/>
            </c:ext>
          </c:extLst>
        </c:ser>
        <c:ser>
          <c:idx val="2"/>
          <c:order val="2"/>
          <c:tx>
            <c:strRef>
              <c:f>公式应用示例!$AE$15</c:f>
              <c:strCache>
                <c:ptCount val="1"/>
                <c:pt idx="0">
                  <c:v>看跌期权的下限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公式应用示例!$AE$16:$AE$115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D8-4CFD-8E6C-FECF48375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948863"/>
        <c:axId val="547952607"/>
      </c:lineChart>
      <c:catAx>
        <c:axId val="547948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到期期限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952607"/>
        <c:crosses val="autoZero"/>
        <c:auto val="1"/>
        <c:lblAlgn val="ctr"/>
        <c:lblOffset val="100"/>
        <c:noMultiLvlLbl val="0"/>
      </c:catAx>
      <c:valAx>
        <c:axId val="54795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794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看涨期权上下限及价值随波动率的变化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公式应用示例!$AK$15</c:f>
              <c:strCache>
                <c:ptCount val="1"/>
                <c:pt idx="0">
                  <c:v>看涨期权价值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公式应用示例!$AK$16:$AK$115</c:f>
              <c:numCache>
                <c:formatCode>General</c:formatCode>
                <c:ptCount val="100"/>
                <c:pt idx="0">
                  <c:v>5.5818771509387304</c:v>
                </c:pt>
                <c:pt idx="1">
                  <c:v>9.4134033838530158</c:v>
                </c:pt>
                <c:pt idx="2">
                  <c:v>13.283308397880909</c:v>
                </c:pt>
                <c:pt idx="3">
                  <c:v>17.138735220515535</c:v>
                </c:pt>
                <c:pt idx="4">
                  <c:v>20.961539565941806</c:v>
                </c:pt>
                <c:pt idx="5">
                  <c:v>24.739699729334269</c:v>
                </c:pt>
                <c:pt idx="6">
                  <c:v>28.463218132771097</c:v>
                </c:pt>
                <c:pt idx="7">
                  <c:v>32.123135757654047</c:v>
                </c:pt>
                <c:pt idx="8">
                  <c:v>35.711238042984583</c:v>
                </c:pt>
                <c:pt idx="9">
                  <c:v>39.219964679795261</c:v>
                </c:pt>
                <c:pt idx="10">
                  <c:v>42.642389613377269</c:v>
                </c:pt>
                <c:pt idx="11">
                  <c:v>45.972226379026957</c:v>
                </c:pt>
                <c:pt idx="12">
                  <c:v>49.203841346465737</c:v>
                </c:pt>
                <c:pt idx="13">
                  <c:v>52.332267332735128</c:v>
                </c:pt>
                <c:pt idx="14">
                  <c:v>55.353214065528661</c:v>
                </c:pt>
                <c:pt idx="15">
                  <c:v>58.263073799010144</c:v>
                </c:pt>
                <c:pt idx="16">
                  <c:v>61.058921294011014</c:v>
                </c:pt>
                <c:pt idx="17">
                  <c:v>63.738507875708137</c:v>
                </c:pt>
                <c:pt idx="18">
                  <c:v>66.300249584848643</c:v>
                </c:pt>
                <c:pt idx="19">
                  <c:v>68.74320963729744</c:v>
                </c:pt>
                <c:pt idx="20">
                  <c:v>71.067075545361064</c:v>
                </c:pt>
                <c:pt idx="21">
                  <c:v>73.272131354753199</c:v>
                </c:pt>
                <c:pt idx="22">
                  <c:v>75.359225524374537</c:v>
                </c:pt>
                <c:pt idx="23">
                  <c:v>77.329735028297449</c:v>
                </c:pt>
                <c:pt idx="24">
                  <c:v>79.185526293941564</c:v>
                </c:pt>
                <c:pt idx="25">
                  <c:v>80.928913609615222</c:v>
                </c:pt>
                <c:pt idx="26">
                  <c:v>82.562615640009753</c:v>
                </c:pt>
                <c:pt idx="27">
                  <c:v>84.089710681241314</c:v>
                </c:pt>
                <c:pt idx="28">
                  <c:v>85.513591268938924</c:v>
                </c:pt>
                <c:pt idx="29">
                  <c:v>86.837918724974571</c:v>
                </c:pt>
                <c:pt idx="30">
                  <c:v>88.066578192057193</c:v>
                </c:pt>
                <c:pt idx="31">
                  <c:v>89.203634661935752</c:v>
                </c:pt>
                <c:pt idx="32">
                  <c:v>90.253290453773403</c:v>
                </c:pt>
                <c:pt idx="33">
                  <c:v>91.219844545758363</c:v>
                </c:pt>
                <c:pt idx="34">
                  <c:v>92.107654106584974</c:v>
                </c:pt>
                <c:pt idx="35">
                  <c:v>92.92109851539351</c:v>
                </c:pt>
                <c:pt idx="36">
                  <c:v>93.664546100353419</c:v>
                </c:pt>
                <c:pt idx="37">
                  <c:v>94.342323768469896</c:v>
                </c:pt>
                <c:pt idx="38">
                  <c:v>94.958689643431086</c:v>
                </c:pt>
                <c:pt idx="39">
                  <c:v>95.517808775311167</c:v>
                </c:pt>
                <c:pt idx="40">
                  <c:v>96.023731936478427</c:v>
                </c:pt>
                <c:pt idx="41">
                  <c:v>96.480377472761035</c:v>
                </c:pt>
                <c:pt idx="42">
                  <c:v>96.891516138284203</c:v>
                </c:pt>
                <c:pt idx="43">
                  <c:v>97.260758806750403</c:v>
                </c:pt>
                <c:pt idx="44">
                  <c:v>97.591546921492537</c:v>
                </c:pt>
                <c:pt idx="45">
                  <c:v>97.887145521462259</c:v>
                </c:pt>
                <c:pt idx="46">
                  <c:v>98.150638660370547</c:v>
                </c:pt>
                <c:pt idx="47">
                  <c:v>98.3849270213246</c:v>
                </c:pt>
                <c:pt idx="48">
                  <c:v>98.592727519256229</c:v>
                </c:pt>
                <c:pt idx="49">
                  <c:v>98.776574677889883</c:v>
                </c:pt>
                <c:pt idx="50">
                  <c:v>98.938823566569241</c:v>
                </c:pt>
                <c:pt idx="51">
                  <c:v>99.08165408452345</c:v>
                </c:pt>
                <c:pt idx="52">
                  <c:v>99.207076385644697</c:v>
                </c:pt>
                <c:pt idx="53">
                  <c:v>99.316937245098458</c:v>
                </c:pt>
                <c:pt idx="54">
                  <c:v>99.412927179613433</c:v>
                </c:pt>
                <c:pt idx="55">
                  <c:v>99.496588145635229</c:v>
                </c:pt>
                <c:pt idx="56">
                  <c:v>99.569321653222346</c:v>
                </c:pt>
                <c:pt idx="57">
                  <c:v>99.632397148193235</c:v>
                </c:pt>
                <c:pt idx="58">
                  <c:v>99.686960530207315</c:v>
                </c:pt>
                <c:pt idx="59">
                  <c:v>99.734042689829479</c:v>
                </c:pt>
                <c:pt idx="60">
                  <c:v>99.774567962875253</c:v>
                </c:pt>
                <c:pt idx="61">
                  <c:v>99.809362415194954</c:v>
                </c:pt>
                <c:pt idx="62">
                  <c:v>99.839161885308044</c:v>
                </c:pt>
                <c:pt idx="63">
                  <c:v>99.864619725759411</c:v>
                </c:pt>
                <c:pt idx="64">
                  <c:v>99.886314196601845</c:v>
                </c:pt>
                <c:pt idx="65">
                  <c:v>99.904755475911159</c:v>
                </c:pt>
                <c:pt idx="66">
                  <c:v>99.920392262647738</c:v>
                </c:pt>
                <c:pt idx="67">
                  <c:v>99.933617956458576</c:v>
                </c:pt>
                <c:pt idx="68">
                  <c:v>99.944776407162706</c:v>
                </c:pt>
                <c:pt idx="69">
                  <c:v>99.954167233698755</c:v>
                </c:pt>
                <c:pt idx="70">
                  <c:v>99.962050718277979</c:v>
                </c:pt>
                <c:pt idx="71">
                  <c:v>99.968652286432047</c:v>
                </c:pt>
                <c:pt idx="72">
                  <c:v>99.974166587643765</c:v>
                </c:pt>
                <c:pt idx="73">
                  <c:v>99.978761194374968</c:v>
                </c:pt>
                <c:pt idx="74">
                  <c:v>99.982579939642349</c:v>
                </c:pt>
                <c:pt idx="75">
                  <c:v>99.985745914925516</c:v>
                </c:pt>
                <c:pt idx="76">
                  <c:v>99.988364151206397</c:v>
                </c:pt>
                <c:pt idx="77">
                  <c:v>99.99052400642104</c:v>
                </c:pt>
                <c:pt idx="78">
                  <c:v>99.992301282633932</c:v>
                </c:pt>
                <c:pt idx="79">
                  <c:v>99.993760095899191</c:v>
                </c:pt>
                <c:pt idx="80">
                  <c:v>99.994954521121926</c:v>
                </c:pt>
                <c:pt idx="81">
                  <c:v>99.995930033343143</c:v>
                </c:pt>
                <c:pt idx="82">
                  <c:v>99.996724765800465</c:v>
                </c:pt>
                <c:pt idx="83">
                  <c:v>99.997370603916764</c:v>
                </c:pt>
                <c:pt idx="84">
                  <c:v>99.997894133084003</c:v>
                </c:pt>
                <c:pt idx="85">
                  <c:v>99.998317456779958</c:v>
                </c:pt>
                <c:pt idx="86">
                  <c:v>99.998658900212149</c:v>
                </c:pt>
                <c:pt idx="87">
                  <c:v>99.99893361335323</c:v>
                </c:pt>
                <c:pt idx="88">
                  <c:v>99.999154085937917</c:v>
                </c:pt>
                <c:pt idx="89">
                  <c:v>99.999330585746975</c:v>
                </c:pt>
                <c:pt idx="90">
                  <c:v>99.99947153032501</c:v>
                </c:pt>
                <c:pt idx="91">
                  <c:v>99.999583801171056</c:v>
                </c:pt>
                <c:pt idx="92">
                  <c:v>99.99967300841142</c:v>
                </c:pt>
                <c:pt idx="93">
                  <c:v>99.999743713016628</c:v>
                </c:pt>
                <c:pt idx="94">
                  <c:v>99.999799612756448</c:v>
                </c:pt>
                <c:pt idx="95">
                  <c:v>99.999843697301102</c:v>
                </c:pt>
                <c:pt idx="96">
                  <c:v>99.999878377167832</c:v>
                </c:pt>
                <c:pt idx="97">
                  <c:v>99.999905590578052</c:v>
                </c:pt>
                <c:pt idx="98">
                  <c:v>99.999926891725821</c:v>
                </c:pt>
                <c:pt idx="99">
                  <c:v>99.999943523459805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E-4A96-8624-AC82FF1B3244}"/>
            </c:ext>
          </c:extLst>
        </c:ser>
        <c:ser>
          <c:idx val="1"/>
          <c:order val="1"/>
          <c:tx>
            <c:strRef>
              <c:f>公式应用示例!$AL$15</c:f>
              <c:strCache>
                <c:ptCount val="1"/>
                <c:pt idx="0">
                  <c:v>看涨期权下限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公式应用示例!$AL$16:$AL$115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4E-4A96-8624-AC82FF1B3244}"/>
            </c:ext>
          </c:extLst>
        </c:ser>
        <c:ser>
          <c:idx val="2"/>
          <c:order val="2"/>
          <c:tx>
            <c:strRef>
              <c:f>公式应用示例!$AM$15</c:f>
              <c:strCache>
                <c:ptCount val="1"/>
                <c:pt idx="0">
                  <c:v>看涨期权上限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公式应用示例!$AM$16:$AM$115</c:f>
              <c:numCache>
                <c:formatCode>General</c:formatCode>
                <c:ptCount val="10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4E-4A96-8624-AC82FF1B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764543"/>
        <c:axId val="822769119"/>
      </c:lineChart>
      <c:catAx>
        <c:axId val="822764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波动率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2769119"/>
        <c:crosses val="autoZero"/>
        <c:auto val="1"/>
        <c:lblAlgn val="ctr"/>
        <c:lblOffset val="100"/>
        <c:noMultiLvlLbl val="0"/>
      </c:catAx>
      <c:valAx>
        <c:axId val="822769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276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看跌期权价值及上下限随波动率的变化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公式应用示例!$AP$15</c:f>
              <c:strCache>
                <c:ptCount val="1"/>
                <c:pt idx="0">
                  <c:v>看跌期权价值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公式应用示例!$AP$16:$AP$115</c:f>
              <c:numCache>
                <c:formatCode>General</c:formatCode>
                <c:ptCount val="100"/>
                <c:pt idx="0">
                  <c:v>2.6264305057895498</c:v>
                </c:pt>
                <c:pt idx="1">
                  <c:v>6.4579567387038352</c:v>
                </c:pt>
                <c:pt idx="2">
                  <c:v>10.327861752731728</c:v>
                </c:pt>
                <c:pt idx="3">
                  <c:v>14.183288575366355</c:v>
                </c:pt>
                <c:pt idx="4">
                  <c:v>18.006092920792625</c:v>
                </c:pt>
                <c:pt idx="5">
                  <c:v>21.784253084185089</c:v>
                </c:pt>
                <c:pt idx="6">
                  <c:v>25.50777148762193</c:v>
                </c:pt>
                <c:pt idx="7">
                  <c:v>29.167689112504867</c:v>
                </c:pt>
                <c:pt idx="8">
                  <c:v>32.755791397835395</c:v>
                </c:pt>
                <c:pt idx="9">
                  <c:v>36.264518034646073</c:v>
                </c:pt>
                <c:pt idx="10">
                  <c:v>39.686942968228095</c:v>
                </c:pt>
                <c:pt idx="11">
                  <c:v>43.016779733877769</c:v>
                </c:pt>
                <c:pt idx="12">
                  <c:v>46.248394701316556</c:v>
                </c:pt>
                <c:pt idx="13">
                  <c:v>49.376820687585933</c:v>
                </c:pt>
                <c:pt idx="14">
                  <c:v>52.397767420379481</c:v>
                </c:pt>
                <c:pt idx="15">
                  <c:v>55.307627153860956</c:v>
                </c:pt>
                <c:pt idx="16">
                  <c:v>58.103474648861834</c:v>
                </c:pt>
                <c:pt idx="17">
                  <c:v>60.783061230558957</c:v>
                </c:pt>
                <c:pt idx="18">
                  <c:v>63.344802939699449</c:v>
                </c:pt>
                <c:pt idx="19">
                  <c:v>65.787762992148259</c:v>
                </c:pt>
                <c:pt idx="20">
                  <c:v>68.111628900211883</c:v>
                </c:pt>
                <c:pt idx="21">
                  <c:v>70.316684709604019</c:v>
                </c:pt>
                <c:pt idx="22">
                  <c:v>72.403778879225356</c:v>
                </c:pt>
                <c:pt idx="23">
                  <c:v>74.374288383148269</c:v>
                </c:pt>
                <c:pt idx="24">
                  <c:v>76.230079648792383</c:v>
                </c:pt>
                <c:pt idx="25">
                  <c:v>77.973466964466041</c:v>
                </c:pt>
                <c:pt idx="26">
                  <c:v>79.607168994860572</c:v>
                </c:pt>
                <c:pt idx="27">
                  <c:v>81.134264036092119</c:v>
                </c:pt>
                <c:pt idx="28">
                  <c:v>82.55814462378973</c:v>
                </c:pt>
                <c:pt idx="29">
                  <c:v>83.882472079825391</c:v>
                </c:pt>
                <c:pt idx="30">
                  <c:v>85.111131546907984</c:v>
                </c:pt>
                <c:pt idx="31">
                  <c:v>86.248188016786557</c:v>
                </c:pt>
                <c:pt idx="32">
                  <c:v>87.297843808624222</c:v>
                </c:pt>
                <c:pt idx="33">
                  <c:v>88.264397900609197</c:v>
                </c:pt>
                <c:pt idx="34">
                  <c:v>89.152207461435793</c:v>
                </c:pt>
                <c:pt idx="35">
                  <c:v>89.965651870244329</c:v>
                </c:pt>
                <c:pt idx="36">
                  <c:v>90.709099455204239</c:v>
                </c:pt>
                <c:pt idx="37">
                  <c:v>91.38687712332073</c:v>
                </c:pt>
                <c:pt idx="38">
                  <c:v>92.003242998281891</c:v>
                </c:pt>
                <c:pt idx="39">
                  <c:v>92.562362130161986</c:v>
                </c:pt>
                <c:pt idx="40">
                  <c:v>93.068285291329246</c:v>
                </c:pt>
                <c:pt idx="41">
                  <c:v>93.524930827611854</c:v>
                </c:pt>
                <c:pt idx="42">
                  <c:v>93.936069493135022</c:v>
                </c:pt>
                <c:pt idx="43">
                  <c:v>94.305312161601222</c:v>
                </c:pt>
                <c:pt idx="44">
                  <c:v>94.636100276343356</c:v>
                </c:pt>
                <c:pt idx="45">
                  <c:v>94.931698876313078</c:v>
                </c:pt>
                <c:pt idx="46">
                  <c:v>95.195192015221366</c:v>
                </c:pt>
                <c:pt idx="47">
                  <c:v>95.429480376175405</c:v>
                </c:pt>
                <c:pt idx="48">
                  <c:v>95.637280874107049</c:v>
                </c:pt>
                <c:pt idx="49">
                  <c:v>95.821128032740702</c:v>
                </c:pt>
                <c:pt idx="50">
                  <c:v>95.98337692142006</c:v>
                </c:pt>
                <c:pt idx="51">
                  <c:v>96.126207439374269</c:v>
                </c:pt>
                <c:pt idx="52">
                  <c:v>96.251629740495531</c:v>
                </c:pt>
                <c:pt idx="53">
                  <c:v>96.361490599949278</c:v>
                </c:pt>
                <c:pt idx="54">
                  <c:v>96.457480534464253</c:v>
                </c:pt>
                <c:pt idx="55">
                  <c:v>96.541141500486049</c:v>
                </c:pt>
                <c:pt idx="56">
                  <c:v>96.613875008073165</c:v>
                </c:pt>
                <c:pt idx="57">
                  <c:v>96.676950503044054</c:v>
                </c:pt>
                <c:pt idx="58">
                  <c:v>96.731513885058121</c:v>
                </c:pt>
                <c:pt idx="59">
                  <c:v>96.778596044680313</c:v>
                </c:pt>
                <c:pt idx="60">
                  <c:v>96.819121317726072</c:v>
                </c:pt>
                <c:pt idx="61">
                  <c:v>96.853915770045774</c:v>
                </c:pt>
                <c:pt idx="62">
                  <c:v>96.883715240158878</c:v>
                </c:pt>
                <c:pt idx="63">
                  <c:v>96.90917308061023</c:v>
                </c:pt>
                <c:pt idx="64">
                  <c:v>96.930867551452664</c:v>
                </c:pt>
                <c:pt idx="65">
                  <c:v>96.949308830761979</c:v>
                </c:pt>
                <c:pt idx="66">
                  <c:v>96.964945617498557</c:v>
                </c:pt>
                <c:pt idx="67">
                  <c:v>96.978171311309424</c:v>
                </c:pt>
                <c:pt idx="68">
                  <c:v>96.989329762013526</c:v>
                </c:pt>
                <c:pt idx="69">
                  <c:v>96.99872058854956</c:v>
                </c:pt>
                <c:pt idx="70">
                  <c:v>97.006604073128798</c:v>
                </c:pt>
                <c:pt idx="71">
                  <c:v>97.013205641282852</c:v>
                </c:pt>
                <c:pt idx="72">
                  <c:v>97.018719942494599</c:v>
                </c:pt>
                <c:pt idx="73">
                  <c:v>97.023314549225802</c:v>
                </c:pt>
                <c:pt idx="74">
                  <c:v>97.027133294493183</c:v>
                </c:pt>
                <c:pt idx="75">
                  <c:v>97.030299269776336</c:v>
                </c:pt>
                <c:pt idx="76">
                  <c:v>97.032917506057217</c:v>
                </c:pt>
                <c:pt idx="77">
                  <c:v>97.03507736127186</c:v>
                </c:pt>
                <c:pt idx="78">
                  <c:v>97.036854637484751</c:v>
                </c:pt>
                <c:pt idx="79">
                  <c:v>97.03831345075001</c:v>
                </c:pt>
                <c:pt idx="80">
                  <c:v>97.03950787597276</c:v>
                </c:pt>
                <c:pt idx="81">
                  <c:v>97.040483388193962</c:v>
                </c:pt>
                <c:pt idx="82">
                  <c:v>97.04127812065127</c:v>
                </c:pt>
                <c:pt idx="83">
                  <c:v>97.041923958767583</c:v>
                </c:pt>
                <c:pt idx="84">
                  <c:v>97.042447487934822</c:v>
                </c:pt>
                <c:pt idx="85">
                  <c:v>97.042870811630777</c:v>
                </c:pt>
                <c:pt idx="86">
                  <c:v>97.043212255062969</c:v>
                </c:pt>
                <c:pt idx="87">
                  <c:v>97.043486968204064</c:v>
                </c:pt>
                <c:pt idx="88">
                  <c:v>97.043707440788737</c:v>
                </c:pt>
                <c:pt idx="89">
                  <c:v>97.04388394059778</c:v>
                </c:pt>
                <c:pt idx="90">
                  <c:v>97.04402488517583</c:v>
                </c:pt>
                <c:pt idx="91">
                  <c:v>97.044137156021861</c:v>
                </c:pt>
                <c:pt idx="92">
                  <c:v>97.044226363262226</c:v>
                </c:pt>
                <c:pt idx="93">
                  <c:v>97.044297067867447</c:v>
                </c:pt>
                <c:pt idx="94">
                  <c:v>97.044352967607267</c:v>
                </c:pt>
                <c:pt idx="95">
                  <c:v>97.044397052151922</c:v>
                </c:pt>
                <c:pt idx="96">
                  <c:v>97.044431732018651</c:v>
                </c:pt>
                <c:pt idx="97">
                  <c:v>97.044458945428886</c:v>
                </c:pt>
                <c:pt idx="98">
                  <c:v>97.044480246576654</c:v>
                </c:pt>
                <c:pt idx="99">
                  <c:v>97.044496878310625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E0-405C-BB80-2B3B77CFD66E}"/>
            </c:ext>
          </c:extLst>
        </c:ser>
        <c:ser>
          <c:idx val="1"/>
          <c:order val="1"/>
          <c:tx>
            <c:strRef>
              <c:f>公式应用示例!$AQ$15</c:f>
              <c:strCache>
                <c:ptCount val="1"/>
                <c:pt idx="0">
                  <c:v>看跌期权下限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公式应用示例!$AQ$16:$AQ$115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E0-405C-BB80-2B3B77CFD66E}"/>
            </c:ext>
          </c:extLst>
        </c:ser>
        <c:ser>
          <c:idx val="2"/>
          <c:order val="2"/>
          <c:tx>
            <c:strRef>
              <c:f>公式应用示例!$AR$15</c:f>
              <c:strCache>
                <c:ptCount val="1"/>
                <c:pt idx="0">
                  <c:v>看跌期权上限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公式应用示例!$AJ$16:$AJ$115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cat>
          <c:val>
            <c:numRef>
              <c:f>公式应用示例!$AR$16:$AR$115</c:f>
              <c:numCache>
                <c:formatCode>General</c:formatCode>
                <c:ptCount val="100"/>
                <c:pt idx="0">
                  <c:v>97.044553354850819</c:v>
                </c:pt>
                <c:pt idx="1">
                  <c:v>97.044553354850819</c:v>
                </c:pt>
                <c:pt idx="2">
                  <c:v>97.044553354850819</c:v>
                </c:pt>
                <c:pt idx="3">
                  <c:v>97.044553354850819</c:v>
                </c:pt>
                <c:pt idx="4">
                  <c:v>97.044553354850819</c:v>
                </c:pt>
                <c:pt idx="5">
                  <c:v>97.044553354850819</c:v>
                </c:pt>
                <c:pt idx="6">
                  <c:v>97.044553354850819</c:v>
                </c:pt>
                <c:pt idx="7">
                  <c:v>97.044553354850819</c:v>
                </c:pt>
                <c:pt idx="8">
                  <c:v>97.044553354850819</c:v>
                </c:pt>
                <c:pt idx="9">
                  <c:v>97.044553354850819</c:v>
                </c:pt>
                <c:pt idx="10">
                  <c:v>97.044553354850819</c:v>
                </c:pt>
                <c:pt idx="11">
                  <c:v>97.044553354850819</c:v>
                </c:pt>
                <c:pt idx="12">
                  <c:v>97.044553354850819</c:v>
                </c:pt>
                <c:pt idx="13">
                  <c:v>97.044553354850819</c:v>
                </c:pt>
                <c:pt idx="14">
                  <c:v>97.044553354850819</c:v>
                </c:pt>
                <c:pt idx="15">
                  <c:v>97.044553354850819</c:v>
                </c:pt>
                <c:pt idx="16">
                  <c:v>97.044553354850819</c:v>
                </c:pt>
                <c:pt idx="17">
                  <c:v>97.044553354850819</c:v>
                </c:pt>
                <c:pt idx="18">
                  <c:v>97.044553354850819</c:v>
                </c:pt>
                <c:pt idx="19">
                  <c:v>97.044553354850819</c:v>
                </c:pt>
                <c:pt idx="20">
                  <c:v>97.044553354850819</c:v>
                </c:pt>
                <c:pt idx="21">
                  <c:v>97.044553354850819</c:v>
                </c:pt>
                <c:pt idx="22">
                  <c:v>97.044553354850819</c:v>
                </c:pt>
                <c:pt idx="23">
                  <c:v>97.044553354850819</c:v>
                </c:pt>
                <c:pt idx="24">
                  <c:v>97.044553354850819</c:v>
                </c:pt>
                <c:pt idx="25">
                  <c:v>97.044553354850819</c:v>
                </c:pt>
                <c:pt idx="26">
                  <c:v>97.044553354850819</c:v>
                </c:pt>
                <c:pt idx="27">
                  <c:v>97.044553354850819</c:v>
                </c:pt>
                <c:pt idx="28">
                  <c:v>97.044553354850819</c:v>
                </c:pt>
                <c:pt idx="29">
                  <c:v>97.044553354850819</c:v>
                </c:pt>
                <c:pt idx="30">
                  <c:v>97.044553354850819</c:v>
                </c:pt>
                <c:pt idx="31">
                  <c:v>97.044553354850819</c:v>
                </c:pt>
                <c:pt idx="32">
                  <c:v>97.044553354850819</c:v>
                </c:pt>
                <c:pt idx="33">
                  <c:v>97.044553354850819</c:v>
                </c:pt>
                <c:pt idx="34">
                  <c:v>97.044553354850819</c:v>
                </c:pt>
                <c:pt idx="35">
                  <c:v>97.044553354850819</c:v>
                </c:pt>
                <c:pt idx="36">
                  <c:v>97.044553354850819</c:v>
                </c:pt>
                <c:pt idx="37">
                  <c:v>97.044553354850819</c:v>
                </c:pt>
                <c:pt idx="38">
                  <c:v>97.044553354850819</c:v>
                </c:pt>
                <c:pt idx="39">
                  <c:v>97.044553354850819</c:v>
                </c:pt>
                <c:pt idx="40">
                  <c:v>97.044553354850819</c:v>
                </c:pt>
                <c:pt idx="41">
                  <c:v>97.044553354850819</c:v>
                </c:pt>
                <c:pt idx="42">
                  <c:v>97.044553354850819</c:v>
                </c:pt>
                <c:pt idx="43">
                  <c:v>97.044553354850819</c:v>
                </c:pt>
                <c:pt idx="44">
                  <c:v>97.044553354850819</c:v>
                </c:pt>
                <c:pt idx="45">
                  <c:v>97.044553354850819</c:v>
                </c:pt>
                <c:pt idx="46">
                  <c:v>97.044553354850819</c:v>
                </c:pt>
                <c:pt idx="47">
                  <c:v>97.044553354850819</c:v>
                </c:pt>
                <c:pt idx="48">
                  <c:v>97.044553354850819</c:v>
                </c:pt>
                <c:pt idx="49">
                  <c:v>97.044553354850819</c:v>
                </c:pt>
                <c:pt idx="50">
                  <c:v>97.044553354850819</c:v>
                </c:pt>
                <c:pt idx="51">
                  <c:v>97.044553354850819</c:v>
                </c:pt>
                <c:pt idx="52">
                  <c:v>97.044553354850819</c:v>
                </c:pt>
                <c:pt idx="53">
                  <c:v>97.044553354850819</c:v>
                </c:pt>
                <c:pt idx="54">
                  <c:v>97.044553354850819</c:v>
                </c:pt>
                <c:pt idx="55">
                  <c:v>97.044553354850819</c:v>
                </c:pt>
                <c:pt idx="56">
                  <c:v>97.044553354850819</c:v>
                </c:pt>
                <c:pt idx="57">
                  <c:v>97.044553354850819</c:v>
                </c:pt>
                <c:pt idx="58">
                  <c:v>97.044553354850819</c:v>
                </c:pt>
                <c:pt idx="59">
                  <c:v>97.044553354850819</c:v>
                </c:pt>
                <c:pt idx="60">
                  <c:v>97.044553354850819</c:v>
                </c:pt>
                <c:pt idx="61">
                  <c:v>97.044553354850819</c:v>
                </c:pt>
                <c:pt idx="62">
                  <c:v>97.044553354850819</c:v>
                </c:pt>
                <c:pt idx="63">
                  <c:v>97.044553354850819</c:v>
                </c:pt>
                <c:pt idx="64">
                  <c:v>97.044553354850819</c:v>
                </c:pt>
                <c:pt idx="65">
                  <c:v>97.044553354850819</c:v>
                </c:pt>
                <c:pt idx="66">
                  <c:v>97.044553354850819</c:v>
                </c:pt>
                <c:pt idx="67">
                  <c:v>97.044553354850819</c:v>
                </c:pt>
                <c:pt idx="68">
                  <c:v>97.044553354850819</c:v>
                </c:pt>
                <c:pt idx="69">
                  <c:v>97.044553354850819</c:v>
                </c:pt>
                <c:pt idx="70">
                  <c:v>97.044553354850819</c:v>
                </c:pt>
                <c:pt idx="71">
                  <c:v>97.044553354850819</c:v>
                </c:pt>
                <c:pt idx="72">
                  <c:v>97.044553354850819</c:v>
                </c:pt>
                <c:pt idx="73">
                  <c:v>97.044553354850819</c:v>
                </c:pt>
                <c:pt idx="74">
                  <c:v>97.044553354850819</c:v>
                </c:pt>
                <c:pt idx="75">
                  <c:v>97.044553354850819</c:v>
                </c:pt>
                <c:pt idx="76">
                  <c:v>97.044553354850819</c:v>
                </c:pt>
                <c:pt idx="77">
                  <c:v>97.044553354850819</c:v>
                </c:pt>
                <c:pt idx="78">
                  <c:v>97.044553354850819</c:v>
                </c:pt>
                <c:pt idx="79">
                  <c:v>97.044553354850819</c:v>
                </c:pt>
                <c:pt idx="80">
                  <c:v>97.044553354850819</c:v>
                </c:pt>
                <c:pt idx="81">
                  <c:v>97.044553354850819</c:v>
                </c:pt>
                <c:pt idx="82">
                  <c:v>97.044553354850819</c:v>
                </c:pt>
                <c:pt idx="83">
                  <c:v>97.044553354850819</c:v>
                </c:pt>
                <c:pt idx="84">
                  <c:v>97.044553354850819</c:v>
                </c:pt>
                <c:pt idx="85">
                  <c:v>97.044553354850819</c:v>
                </c:pt>
                <c:pt idx="86">
                  <c:v>97.044553354850819</c:v>
                </c:pt>
                <c:pt idx="87">
                  <c:v>97.044553354850819</c:v>
                </c:pt>
                <c:pt idx="88">
                  <c:v>97.044553354850819</c:v>
                </c:pt>
                <c:pt idx="89">
                  <c:v>97.044553354850819</c:v>
                </c:pt>
                <c:pt idx="90">
                  <c:v>97.044553354850819</c:v>
                </c:pt>
                <c:pt idx="91">
                  <c:v>97.044553354850819</c:v>
                </c:pt>
                <c:pt idx="92">
                  <c:v>97.044553354850819</c:v>
                </c:pt>
                <c:pt idx="93">
                  <c:v>97.044553354850819</c:v>
                </c:pt>
                <c:pt idx="94">
                  <c:v>97.044553354850819</c:v>
                </c:pt>
                <c:pt idx="95">
                  <c:v>97.044553354850819</c:v>
                </c:pt>
                <c:pt idx="96">
                  <c:v>97.044553354850819</c:v>
                </c:pt>
                <c:pt idx="97">
                  <c:v>97.044553354850819</c:v>
                </c:pt>
                <c:pt idx="98">
                  <c:v>97.044553354850819</c:v>
                </c:pt>
                <c:pt idx="99">
                  <c:v>97.044553354850819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E0-405C-BB80-2B3B77CFD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133743"/>
        <c:axId val="944144975"/>
      </c:lineChart>
      <c:catAx>
        <c:axId val="944133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波动率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4144975"/>
        <c:crosses val="autoZero"/>
        <c:auto val="1"/>
        <c:lblAlgn val="ctr"/>
        <c:lblOffset val="100"/>
        <c:noMultiLvlLbl val="0"/>
      </c:catAx>
      <c:valAx>
        <c:axId val="94414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413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看涨期权价值及其上下限随无风险利率的变化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公式应用示例!$AY$15</c:f>
              <c:strCache>
                <c:ptCount val="1"/>
                <c:pt idx="0">
                  <c:v>看涨期权价值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公式应用示例!$AY$16:$AY$115</c:f>
              <c:numCache>
                <c:formatCode>General</c:formatCode>
                <c:ptCount val="100"/>
                <c:pt idx="0">
                  <c:v>15.699007510111251</c:v>
                </c:pt>
                <c:pt idx="1">
                  <c:v>16.131408964664935</c:v>
                </c:pt>
                <c:pt idx="2">
                  <c:v>16.569509243211563</c:v>
                </c:pt>
                <c:pt idx="3">
                  <c:v>17.013185008205667</c:v>
                </c:pt>
                <c:pt idx="4">
                  <c:v>17.462307945099617</c:v>
                </c:pt>
                <c:pt idx="5">
                  <c:v>17.916744955131385</c:v>
                </c:pt>
                <c:pt idx="6">
                  <c:v>18.376358357297583</c:v>
                </c:pt>
                <c:pt idx="7">
                  <c:v>18.841006098917411</c:v>
                </c:pt>
                <c:pt idx="8">
                  <c:v>19.31054197416767</c:v>
                </c:pt>
                <c:pt idx="9">
                  <c:v>19.784815849946135</c:v>
                </c:pt>
                <c:pt idx="10">
                  <c:v>20.263673898400441</c:v>
                </c:pt>
                <c:pt idx="11">
                  <c:v>20.746958835443003</c:v>
                </c:pt>
                <c:pt idx="12">
                  <c:v>21.234510164557584</c:v>
                </c:pt>
                <c:pt idx="13">
                  <c:v>21.726164425192167</c:v>
                </c:pt>
                <c:pt idx="14">
                  <c:v>22.221755445024108</c:v>
                </c:pt>
                <c:pt idx="15">
                  <c:v>22.721114595378452</c:v>
                </c:pt>
                <c:pt idx="16">
                  <c:v>23.224071049077601</c:v>
                </c:pt>
                <c:pt idx="17">
                  <c:v>23.73045204000087</c:v>
                </c:pt>
                <c:pt idx="18">
                  <c:v>24.240083123636019</c:v>
                </c:pt>
                <c:pt idx="19">
                  <c:v>24.752788437911057</c:v>
                </c:pt>
                <c:pt idx="20">
                  <c:v>25.268390963603224</c:v>
                </c:pt>
                <c:pt idx="21">
                  <c:v>25.78671278363398</c:v>
                </c:pt>
                <c:pt idx="22">
                  <c:v>26.307575340573045</c:v>
                </c:pt>
                <c:pt idx="23">
                  <c:v>26.830799691691155</c:v>
                </c:pt>
                <c:pt idx="24">
                  <c:v>27.356206760920003</c:v>
                </c:pt>
                <c:pt idx="25">
                  <c:v>27.883617587099835</c:v>
                </c:pt>
                <c:pt idx="26">
                  <c:v>28.412853567917601</c:v>
                </c:pt>
                <c:pt idx="27">
                  <c:v>28.943736698964905</c:v>
                </c:pt>
                <c:pt idx="28">
                  <c:v>29.476089807371153</c:v>
                </c:pt>
                <c:pt idx="29">
                  <c:v>30.009736779496976</c:v>
                </c:pt>
                <c:pt idx="30">
                  <c:v>30.544502782202201</c:v>
                </c:pt>
                <c:pt idx="31">
                  <c:v>31.080214477235366</c:v>
                </c:pt>
                <c:pt idx="32">
                  <c:v>31.616700228323204</c:v>
                </c:pt>
                <c:pt idx="33">
                  <c:v>32.153790300572759</c:v>
                </c:pt>
                <c:pt idx="34">
                  <c:v>32.691317051833124</c:v>
                </c:pt>
                <c:pt idx="35">
                  <c:v>33.229115115698228</c:v>
                </c:pt>
                <c:pt idx="36">
                  <c:v>33.767021575868142</c:v>
                </c:pt>
                <c:pt idx="37">
                  <c:v>34.304876131620809</c:v>
                </c:pt>
                <c:pt idx="38">
                  <c:v>34.842521254183183</c:v>
                </c:pt>
                <c:pt idx="39">
                  <c:v>35.37980233382482</c:v>
                </c:pt>
                <c:pt idx="40">
                  <c:v>35.916567817533227</c:v>
                </c:pt>
                <c:pt idx="41">
                  <c:v>36.452669337164444</c:v>
                </c:pt>
                <c:pt idx="42">
                  <c:v>36.987961827997111</c:v>
                </c:pt>
                <c:pt idx="43">
                  <c:v>37.522303637651419</c:v>
                </c:pt>
                <c:pt idx="44">
                  <c:v>38.055556625367061</c:v>
                </c:pt>
                <c:pt idx="45">
                  <c:v>38.587586251666465</c:v>
                </c:pt>
                <c:pt idx="46">
                  <c:v>39.118261658459481</c:v>
                </c:pt>
                <c:pt idx="47">
                  <c:v>39.647455739676033</c:v>
                </c:pt>
                <c:pt idx="48">
                  <c:v>40.17504520254046</c:v>
                </c:pt>
                <c:pt idx="49">
                  <c:v>40.700910619629077</c:v>
                </c:pt>
                <c:pt idx="50">
                  <c:v>41.22493647187671</c:v>
                </c:pt>
                <c:pt idx="51">
                  <c:v>41.747011182722815</c:v>
                </c:pt>
                <c:pt idx="52">
                  <c:v>42.267027143609496</c:v>
                </c:pt>
                <c:pt idx="53">
                  <c:v>42.784880731063893</c:v>
                </c:pt>
                <c:pt idx="54">
                  <c:v>43.300472315617917</c:v>
                </c:pt>
                <c:pt idx="55">
                  <c:v>43.813706262833364</c:v>
                </c:pt>
                <c:pt idx="56">
                  <c:v>44.324490926718383</c:v>
                </c:pt>
                <c:pt idx="57">
                  <c:v>44.83273863583296</c:v>
                </c:pt>
                <c:pt idx="58">
                  <c:v>45.338365672395113</c:v>
                </c:pt>
                <c:pt idx="59">
                  <c:v>45.841292244708526</c:v>
                </c:pt>
                <c:pt idx="60">
                  <c:v>46.341442453242131</c:v>
                </c:pt>
                <c:pt idx="61">
                  <c:v>46.838744250698724</c:v>
                </c:pt>
                <c:pt idx="62">
                  <c:v>47.3331293964156</c:v>
                </c:pt>
                <c:pt idx="63">
                  <c:v>47.824533405443972</c:v>
                </c:pt>
                <c:pt idx="64">
                  <c:v>48.312895492656594</c:v>
                </c:pt>
                <c:pt idx="65">
                  <c:v>48.798158512233712</c:v>
                </c:pt>
                <c:pt idx="66">
                  <c:v>49.280268892877473</c:v>
                </c:pt>
                <c:pt idx="67">
                  <c:v>49.759176569102877</c:v>
                </c:pt>
                <c:pt idx="68">
                  <c:v>50.234834908950347</c:v>
                </c:pt>
                <c:pt idx="69">
                  <c:v>50.707200638461309</c:v>
                </c:pt>
                <c:pt idx="70">
                  <c:v>51.176233763251673</c:v>
                </c:pt>
                <c:pt idx="71">
                  <c:v>51.641897487513305</c:v>
                </c:pt>
                <c:pt idx="72">
                  <c:v>52.104158130764901</c:v>
                </c:pt>
                <c:pt idx="73">
                  <c:v>52.562985042665964</c:v>
                </c:pt>
                <c:pt idx="74">
                  <c:v>53.018350516198808</c:v>
                </c:pt>
                <c:pt idx="75">
                  <c:v>53.470229699513183</c:v>
                </c:pt>
                <c:pt idx="76">
                  <c:v>53.918600506718121</c:v>
                </c:pt>
                <c:pt idx="77">
                  <c:v>54.363443527894454</c:v>
                </c:pt>
                <c:pt idx="78">
                  <c:v>54.804741938589999</c:v>
                </c:pt>
                <c:pt idx="79">
                  <c:v>55.242481409047556</c:v>
                </c:pt>
                <c:pt idx="80">
                  <c:v>55.676650013403687</c:v>
                </c:pt>
                <c:pt idx="81">
                  <c:v>56.107238139083663</c:v>
                </c:pt>
                <c:pt idx="82">
                  <c:v>56.534238396605431</c:v>
                </c:pt>
                <c:pt idx="83">
                  <c:v>56.957645529992448</c:v>
                </c:pt>
                <c:pt idx="84">
                  <c:v>57.377456327982905</c:v>
                </c:pt>
                <c:pt idx="85">
                  <c:v>57.793669536209087</c:v>
                </c:pt>
                <c:pt idx="86">
                  <c:v>58.206285770508906</c:v>
                </c:pt>
                <c:pt idx="87">
                  <c:v>58.615307431518197</c:v>
                </c:pt>
                <c:pt idx="88">
                  <c:v>59.020738620680028</c:v>
                </c:pt>
                <c:pt idx="89">
                  <c:v>59.422585057795366</c:v>
                </c:pt>
                <c:pt idx="90">
                  <c:v>59.820854000226653</c:v>
                </c:pt>
                <c:pt idx="91">
                  <c:v>60.21555416385501</c:v>
                </c:pt>
                <c:pt idx="92">
                  <c:v>60.606695645879341</c:v>
                </c:pt>
                <c:pt idx="93">
                  <c:v>60.99428984953547</c:v>
                </c:pt>
                <c:pt idx="94">
                  <c:v>61.378349410802201</c:v>
                </c:pt>
                <c:pt idx="95">
                  <c:v>61.758888127150882</c:v>
                </c:pt>
                <c:pt idx="96">
                  <c:v>62.135920888385733</c:v>
                </c:pt>
                <c:pt idx="97">
                  <c:v>62.509463609612069</c:v>
                </c:pt>
                <c:pt idx="98">
                  <c:v>62.879533166361199</c:v>
                </c:pt>
                <c:pt idx="99">
                  <c:v>63.24614733189204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F-4F91-8005-15D50B0EEDBB}"/>
            </c:ext>
          </c:extLst>
        </c:ser>
        <c:ser>
          <c:idx val="1"/>
          <c:order val="1"/>
          <c:tx>
            <c:strRef>
              <c:f>公式应用示例!$AZ$15</c:f>
              <c:strCache>
                <c:ptCount val="1"/>
                <c:pt idx="0">
                  <c:v>看涨期权上限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公式应用示例!$AZ$16:$AZ$115</c:f>
              <c:numCache>
                <c:formatCode>General</c:formatCode>
                <c:ptCount val="10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F-4F91-8005-15D50B0EEDBB}"/>
            </c:ext>
          </c:extLst>
        </c:ser>
        <c:ser>
          <c:idx val="2"/>
          <c:order val="2"/>
          <c:tx>
            <c:strRef>
              <c:f>公式应用示例!$BA$15</c:f>
              <c:strCache>
                <c:ptCount val="1"/>
                <c:pt idx="0">
                  <c:v>看涨期权下限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公式应用示例!$BA$16:$BA$115</c:f>
              <c:numCache>
                <c:formatCode>General</c:formatCode>
                <c:ptCount val="100"/>
                <c:pt idx="0">
                  <c:v>0.99501662508319555</c:v>
                </c:pt>
                <c:pt idx="1">
                  <c:v>1.9801326693244761</c:v>
                </c:pt>
                <c:pt idx="2">
                  <c:v>2.9554466451491805</c:v>
                </c:pt>
                <c:pt idx="3">
                  <c:v>3.9210560847676845</c:v>
                </c:pt>
                <c:pt idx="4">
                  <c:v>4.877057549928594</c:v>
                </c:pt>
                <c:pt idx="5">
                  <c:v>5.8235466415751347</c:v>
                </c:pt>
                <c:pt idx="6">
                  <c:v>6.760618009405178</c:v>
                </c:pt>
                <c:pt idx="7">
                  <c:v>7.6883653613364231</c:v>
                </c:pt>
                <c:pt idx="8">
                  <c:v>8.606881472877177</c:v>
                </c:pt>
                <c:pt idx="9">
                  <c:v>9.5162581964040527</c:v>
                </c:pt>
                <c:pt idx="10">
                  <c:v>10.416586470347184</c:v>
                </c:pt>
                <c:pt idx="11">
                  <c:v>11.307956328284249</c:v>
                </c:pt>
                <c:pt idx="12">
                  <c:v>12.190456907943869</c:v>
                </c:pt>
                <c:pt idx="13">
                  <c:v>13.064176460119413</c:v>
                </c:pt>
                <c:pt idx="14">
                  <c:v>13.929202357494219</c:v>
                </c:pt>
                <c:pt idx="15">
                  <c:v>14.785621103378872</c:v>
                </c:pt>
                <c:pt idx="16">
                  <c:v>15.633518340361633</c:v>
                </c:pt>
                <c:pt idx="17">
                  <c:v>16.472978858872807</c:v>
                </c:pt>
                <c:pt idx="18">
                  <c:v>17.30408660566377</c:v>
                </c:pt>
                <c:pt idx="19">
                  <c:v>18.126924692201811</c:v>
                </c:pt>
                <c:pt idx="20">
                  <c:v>18.941575402981286</c:v>
                </c:pt>
                <c:pt idx="21">
                  <c:v>19.748120203752151</c:v>
                </c:pt>
                <c:pt idx="22">
                  <c:v>20.546639749666596</c:v>
                </c:pt>
                <c:pt idx="23">
                  <c:v>21.337213893344654</c:v>
                </c:pt>
                <c:pt idx="24">
                  <c:v>22.119921692859506</c:v>
                </c:pt>
                <c:pt idx="25">
                  <c:v>22.89484141964337</c:v>
                </c:pt>
                <c:pt idx="26">
                  <c:v>23.66205056631469</c:v>
                </c:pt>
                <c:pt idx="27">
                  <c:v>24.421625854427447</c:v>
                </c:pt>
                <c:pt idx="28">
                  <c:v>25.17364324214347</c:v>
                </c:pt>
                <c:pt idx="29">
                  <c:v>25.918177931828211</c:v>
                </c:pt>
                <c:pt idx="30">
                  <c:v>26.655304377571071</c:v>
                </c:pt>
                <c:pt idx="31">
                  <c:v>27.385096292630905</c:v>
                </c:pt>
                <c:pt idx="32">
                  <c:v>28.107626656807383</c:v>
                </c:pt>
                <c:pt idx="33">
                  <c:v>28.82296772373904</c:v>
                </c:pt>
                <c:pt idx="34">
                  <c:v>29.53119102812866</c:v>
                </c:pt>
                <c:pt idx="35">
                  <c:v>30.23236739289689</c:v>
                </c:pt>
                <c:pt idx="36">
                  <c:v>30.926566936264535</c:v>
                </c:pt>
                <c:pt idx="37">
                  <c:v>31.61385907876442</c:v>
                </c:pt>
                <c:pt idx="38">
                  <c:v>32.294312550183534</c:v>
                </c:pt>
                <c:pt idx="39">
                  <c:v>32.967995396436066</c:v>
                </c:pt>
                <c:pt idx="40">
                  <c:v>33.634974986368064</c:v>
                </c:pt>
                <c:pt idx="41">
                  <c:v>34.295318018494328</c:v>
                </c:pt>
                <c:pt idx="42">
                  <c:v>34.949090527668346</c:v>
                </c:pt>
                <c:pt idx="43">
                  <c:v>35.596357891685855</c:v>
                </c:pt>
                <c:pt idx="44">
                  <c:v>36.237184837822667</c:v>
                </c:pt>
                <c:pt idx="45">
                  <c:v>36.871635449307405</c:v>
                </c:pt>
                <c:pt idx="46">
                  <c:v>37.49977317172992</c:v>
                </c:pt>
                <c:pt idx="47">
                  <c:v>38.121660819385916</c:v>
                </c:pt>
                <c:pt idx="48">
                  <c:v>38.737360581558391</c:v>
                </c:pt>
                <c:pt idx="49">
                  <c:v>39.346934028736655</c:v>
                </c:pt>
                <c:pt idx="50">
                  <c:v>39.95044211877341</c:v>
                </c:pt>
                <c:pt idx="51">
                  <c:v>40.547945202980564</c:v>
                </c:pt>
                <c:pt idx="52">
                  <c:v>41.139503032164484</c:v>
                </c:pt>
                <c:pt idx="53">
                  <c:v>41.725174762601036</c:v>
                </c:pt>
                <c:pt idx="54">
                  <c:v>42.305018961951333</c:v>
                </c:pt>
                <c:pt idx="55">
                  <c:v>42.879093615118514</c:v>
                </c:pt>
                <c:pt idx="56">
                  <c:v>43.447456130046291</c:v>
                </c:pt>
                <c:pt idx="57">
                  <c:v>44.010163343459794</c:v>
                </c:pt>
                <c:pt idx="58">
                  <c:v>44.567271526549291</c:v>
                </c:pt>
                <c:pt idx="59">
                  <c:v>45.118836390597352</c:v>
                </c:pt>
                <c:pt idx="60">
                  <c:v>45.664913092550016</c:v>
                </c:pt>
                <c:pt idx="61">
                  <c:v>46.205556240532552</c:v>
                </c:pt>
                <c:pt idx="62">
                  <c:v>46.740819899310281</c:v>
                </c:pt>
                <c:pt idx="63">
                  <c:v>47.270757595695144</c:v>
                </c:pt>
                <c:pt idx="64">
                  <c:v>47.795422323898393</c:v>
                </c:pt>
                <c:pt idx="65">
                  <c:v>48.314866550830082</c:v>
                </c:pt>
                <c:pt idx="66">
                  <c:v>48.829142221345755</c:v>
                </c:pt>
                <c:pt idx="67">
                  <c:v>49.338300763441048</c:v>
                </c:pt>
                <c:pt idx="68">
                  <c:v>49.842393093394442</c:v>
                </c:pt>
                <c:pt idx="69">
                  <c:v>50.341469620859044</c:v>
                </c:pt>
                <c:pt idx="70">
                  <c:v>50.835580253903487</c:v>
                </c:pt>
                <c:pt idx="71">
                  <c:v>51.324774404002831</c:v>
                </c:pt>
                <c:pt idx="72">
                  <c:v>51.809100990979758</c:v>
                </c:pt>
                <c:pt idx="73">
                  <c:v>52.288608447896564</c:v>
                </c:pt>
                <c:pt idx="74">
                  <c:v>52.763344725898534</c:v>
                </c:pt>
                <c:pt idx="75">
                  <c:v>53.233357299009079</c:v>
                </c:pt>
                <c:pt idx="76">
                  <c:v>53.698693168877192</c:v>
                </c:pt>
                <c:pt idx="77">
                  <c:v>54.159398869477648</c:v>
                </c:pt>
                <c:pt idx="78">
                  <c:v>54.61552047176442</c:v>
                </c:pt>
                <c:pt idx="79">
                  <c:v>55.067103588277845</c:v>
                </c:pt>
                <c:pt idx="80">
                  <c:v>55.514193377705887</c:v>
                </c:pt>
                <c:pt idx="81">
                  <c:v>55.956834549400071</c:v>
                </c:pt>
                <c:pt idx="82">
                  <c:v>56.395071367846441</c:v>
                </c:pt>
                <c:pt idx="83">
                  <c:v>56.82894765709203</c:v>
                </c:pt>
                <c:pt idx="84">
                  <c:v>57.258506805127332</c:v>
                </c:pt>
                <c:pt idx="85">
                  <c:v>57.68379176822512</c:v>
                </c:pt>
                <c:pt idx="86">
                  <c:v>58.104845075236099</c:v>
                </c:pt>
                <c:pt idx="87">
                  <c:v>58.521708831841863</c:v>
                </c:pt>
                <c:pt idx="88">
                  <c:v>58.934424724765449</c:v>
                </c:pt>
                <c:pt idx="89">
                  <c:v>59.343034025940092</c:v>
                </c:pt>
                <c:pt idx="90">
                  <c:v>59.747577596636404</c:v>
                </c:pt>
                <c:pt idx="91">
                  <c:v>60.148095891548586</c:v>
                </c:pt>
                <c:pt idx="92">
                  <c:v>60.544628962839894</c:v>
                </c:pt>
                <c:pt idx="93">
                  <c:v>60.937216464147888</c:v>
                </c:pt>
                <c:pt idx="94">
                  <c:v>61.325897654549877</c:v>
                </c:pt>
                <c:pt idx="95">
                  <c:v>61.710711402488791</c:v>
                </c:pt>
                <c:pt idx="96">
                  <c:v>62.091696189660119</c:v>
                </c:pt>
                <c:pt idx="97">
                  <c:v>62.468890114860045</c:v>
                </c:pt>
                <c:pt idx="98">
                  <c:v>62.842330897795428</c:v>
                </c:pt>
                <c:pt idx="99">
                  <c:v>63.212055882855765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F-4F91-8005-15D50B0EE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493967"/>
        <c:axId val="650475663"/>
      </c:lineChart>
      <c:catAx>
        <c:axId val="650493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无风险利率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0475663"/>
        <c:crosses val="autoZero"/>
        <c:auto val="1"/>
        <c:lblAlgn val="ctr"/>
        <c:lblOffset val="100"/>
        <c:noMultiLvlLbl val="0"/>
      </c:catAx>
      <c:valAx>
        <c:axId val="65047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049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看跌期权价值及其上下限随无风险利率的变化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公式应用示例!$BD$15</c:f>
              <c:strCache>
                <c:ptCount val="1"/>
                <c:pt idx="0">
                  <c:v>看跌期权价值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公式应用示例!$BD$16:$BD$115</c:f>
              <c:numCache>
                <c:formatCode>General</c:formatCode>
                <c:ptCount val="100"/>
                <c:pt idx="0">
                  <c:v>14.703990885028055</c:v>
                </c:pt>
                <c:pt idx="1">
                  <c:v>14.151276295340452</c:v>
                </c:pt>
                <c:pt idx="2">
                  <c:v>13.614062598062382</c:v>
                </c:pt>
                <c:pt idx="3">
                  <c:v>13.09212892343799</c:v>
                </c:pt>
                <c:pt idx="4">
                  <c:v>12.58525039517103</c:v>
                </c:pt>
                <c:pt idx="5">
                  <c:v>12.093198313556243</c:v>
                </c:pt>
                <c:pt idx="6">
                  <c:v>11.615740347892398</c:v>
                </c:pt>
                <c:pt idx="7">
                  <c:v>11.152640737580981</c:v>
                </c:pt>
                <c:pt idx="8">
                  <c:v>10.7036605012905</c:v>
                </c:pt>
                <c:pt idx="9">
                  <c:v>10.268557653542089</c:v>
                </c:pt>
                <c:pt idx="10">
                  <c:v>9.8470874280532499</c:v>
                </c:pt>
                <c:pt idx="11">
                  <c:v>9.4390025071587331</c:v>
                </c:pt>
                <c:pt idx="12">
                  <c:v>9.044053256613708</c:v>
                </c:pt>
                <c:pt idx="13">
                  <c:v>8.6619879650727434</c:v>
                </c:pt>
                <c:pt idx="14">
                  <c:v>8.2925530875298854</c:v>
                </c:pt>
                <c:pt idx="15">
                  <c:v>7.9354934919995799</c:v>
                </c:pt>
                <c:pt idx="16">
                  <c:v>7.5905527087159754</c:v>
                </c:pt>
                <c:pt idx="17">
                  <c:v>7.2574731811280593</c:v>
                </c:pt>
                <c:pt idx="18">
                  <c:v>6.9359965179722494</c:v>
                </c:pt>
                <c:pt idx="19">
                  <c:v>6.6258637457092533</c:v>
                </c:pt>
                <c:pt idx="20">
                  <c:v>6.3268155606219416</c:v>
                </c:pt>
                <c:pt idx="21">
                  <c:v>6.0385925798818221</c:v>
                </c:pt>
                <c:pt idx="22">
                  <c:v>5.760935590906449</c:v>
                </c:pt>
                <c:pt idx="23">
                  <c:v>5.4935857983464942</c:v>
                </c:pt>
                <c:pt idx="24">
                  <c:v>5.2362850680604929</c:v>
                </c:pt>
                <c:pt idx="25">
                  <c:v>4.9887761674564572</c:v>
                </c:pt>
                <c:pt idx="26">
                  <c:v>4.7508030016029181</c:v>
                </c:pt>
                <c:pt idx="27">
                  <c:v>4.5221108445374476</c:v>
                </c:pt>
                <c:pt idx="28">
                  <c:v>4.3024465652276831</c:v>
                </c:pt>
                <c:pt idx="29">
                  <c:v>4.091558847668761</c:v>
                </c:pt>
                <c:pt idx="30">
                  <c:v>3.8891984046311237</c:v>
                </c:pt>
                <c:pt idx="31">
                  <c:v>3.6951181846044623</c:v>
                </c:pt>
                <c:pt idx="32">
                  <c:v>3.5090735715158203</c:v>
                </c:pt>
                <c:pt idx="33">
                  <c:v>3.330822576833727</c:v>
                </c:pt>
                <c:pt idx="34">
                  <c:v>3.1601260237044606</c:v>
                </c:pt>
                <c:pt idx="35">
                  <c:v>2.9967477228013433</c:v>
                </c:pt>
                <c:pt idx="36">
                  <c:v>2.840454639603605</c:v>
                </c:pt>
                <c:pt idx="37">
                  <c:v>2.6910170528563881</c:v>
                </c:pt>
                <c:pt idx="38">
                  <c:v>2.5482087039996486</c:v>
                </c:pt>
                <c:pt idx="39">
                  <c:v>2.4118069373887536</c:v>
                </c:pt>
                <c:pt idx="40">
                  <c:v>2.2815928311651579</c:v>
                </c:pt>
                <c:pt idx="41">
                  <c:v>2.157351318670111</c:v>
                </c:pt>
                <c:pt idx="42">
                  <c:v>2.0388713003287666</c:v>
                </c:pt>
                <c:pt idx="43">
                  <c:v>1.9259457459655511</c:v>
                </c:pt>
                <c:pt idx="44">
                  <c:v>1.8183717875443932</c:v>
                </c:pt>
                <c:pt idx="45">
                  <c:v>1.7159508023590622</c:v>
                </c:pt>
                <c:pt idx="46">
                  <c:v>1.6184884867295635</c:v>
                </c:pt>
                <c:pt idx="47">
                  <c:v>1.5257949202901164</c:v>
                </c:pt>
                <c:pt idx="48">
                  <c:v>1.4376846209820755</c:v>
                </c:pt>
                <c:pt idx="49">
                  <c:v>1.3539765908924188</c:v>
                </c:pt>
                <c:pt idx="50">
                  <c:v>1.2744943531032913</c:v>
                </c:pt>
                <c:pt idx="51">
                  <c:v>1.1990659797422571</c:v>
                </c:pt>
                <c:pt idx="52">
                  <c:v>1.1275241114450072</c:v>
                </c:pt>
                <c:pt idx="53">
                  <c:v>1.0597059684628674</c:v>
                </c:pt>
                <c:pt idx="54">
                  <c:v>0.99545335366657817</c:v>
                </c:pt>
                <c:pt idx="55">
                  <c:v>0.93461264771485641</c:v>
                </c:pt>
                <c:pt idx="56">
                  <c:v>0.8770347966720875</c:v>
                </c:pt>
                <c:pt idx="57">
                  <c:v>0.82257529237316174</c:v>
                </c:pt>
                <c:pt idx="58">
                  <c:v>0.7710941458458187</c:v>
                </c:pt>
                <c:pt idx="59">
                  <c:v>0.7224558541111783</c:v>
                </c:pt>
                <c:pt idx="60">
                  <c:v>0.67652936069212188</c:v>
                </c:pt>
                <c:pt idx="61">
                  <c:v>0.63318801016617687</c:v>
                </c:pt>
                <c:pt idx="62">
                  <c:v>0.59230949710531222</c:v>
                </c:pt>
                <c:pt idx="63">
                  <c:v>0.55377580974882568</c:v>
                </c:pt>
                <c:pt idx="64">
                  <c:v>0.51747316875819482</c:v>
                </c:pt>
                <c:pt idx="65">
                  <c:v>0.48329196140363262</c:v>
                </c:pt>
                <c:pt idx="66">
                  <c:v>0.45112667153172437</c:v>
                </c:pt>
                <c:pt idx="67">
                  <c:v>0.42087580566182758</c:v>
                </c:pt>
                <c:pt idx="68">
                  <c:v>0.39244181555591551</c:v>
                </c:pt>
                <c:pt idx="69">
                  <c:v>0.36573101760226434</c:v>
                </c:pt>
                <c:pt idx="70">
                  <c:v>0.34065350934818373</c:v>
                </c:pt>
                <c:pt idx="71">
                  <c:v>0.31712308351047991</c:v>
                </c:pt>
                <c:pt idx="72">
                  <c:v>0.2950571397851447</c:v>
                </c:pt>
                <c:pt idx="73">
                  <c:v>0.27437659476940013</c:v>
                </c:pt>
                <c:pt idx="74">
                  <c:v>0.25500579030027337</c:v>
                </c:pt>
                <c:pt idx="75">
                  <c:v>0.23687240050410097</c:v>
                </c:pt>
                <c:pt idx="76">
                  <c:v>0.21990733784092797</c:v>
                </c:pt>
                <c:pt idx="77">
                  <c:v>0.20404465841681363</c:v>
                </c:pt>
                <c:pt idx="78">
                  <c:v>0.18922146682558494</c:v>
                </c:pt>
                <c:pt idx="79">
                  <c:v>0.17537782076971831</c:v>
                </c:pt>
                <c:pt idx="80">
                  <c:v>0.16245663569780722</c:v>
                </c:pt>
                <c:pt idx="81">
                  <c:v>0.15040358968360179</c:v>
                </c:pt>
                <c:pt idx="82">
                  <c:v>0.13916702875898779</c:v>
                </c:pt>
                <c:pt idx="83">
                  <c:v>0.128697872900424</c:v>
                </c:pt>
                <c:pt idx="84">
                  <c:v>0.11894952285557203</c:v>
                </c:pt>
                <c:pt idx="85">
                  <c:v>0.10987776798396431</c:v>
                </c:pt>
                <c:pt idx="86">
                  <c:v>0.10144069527280863</c:v>
                </c:pt>
                <c:pt idx="87">
                  <c:v>9.3598599676333105E-2</c:v>
                </c:pt>
                <c:pt idx="88">
                  <c:v>8.6313895914583272E-2</c:v>
                </c:pt>
                <c:pt idx="89">
                  <c:v>7.9551031855272569E-2</c:v>
                </c:pt>
                <c:pt idx="90">
                  <c:v>7.3276403590254668E-2</c:v>
                </c:pt>
                <c:pt idx="91">
                  <c:v>6.7458272306425815E-2</c:v>
                </c:pt>
                <c:pt idx="92">
                  <c:v>6.2066683039444626E-2</c:v>
                </c:pt>
                <c:pt idx="93">
                  <c:v>5.7073385387579723E-2</c:v>
                </c:pt>
                <c:pt idx="94">
                  <c:v>5.2451756252317738E-2</c:v>
                </c:pt>
                <c:pt idx="95">
                  <c:v>4.8176724662089943E-2</c:v>
                </c:pt>
                <c:pt idx="96">
                  <c:v>4.4224698725623179E-2</c:v>
                </c:pt>
                <c:pt idx="97">
                  <c:v>4.0573494752024264E-2</c:v>
                </c:pt>
                <c:pt idx="98">
                  <c:v>3.7202268565768026E-2</c:v>
                </c:pt>
                <c:pt idx="99">
                  <c:v>3.409144903628103E-2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35-43B6-BAAA-2D9618BE5D86}"/>
            </c:ext>
          </c:extLst>
        </c:ser>
        <c:ser>
          <c:idx val="1"/>
          <c:order val="1"/>
          <c:tx>
            <c:strRef>
              <c:f>公式应用示例!$BE$15</c:f>
              <c:strCache>
                <c:ptCount val="1"/>
                <c:pt idx="0">
                  <c:v>看跌期权下限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公式应用示例!$BE$16:$BE$115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35-43B6-BAAA-2D9618BE5D86}"/>
            </c:ext>
          </c:extLst>
        </c:ser>
        <c:ser>
          <c:idx val="2"/>
          <c:order val="2"/>
          <c:tx>
            <c:strRef>
              <c:f>公式应用示例!$BF$15</c:f>
              <c:strCache>
                <c:ptCount val="1"/>
                <c:pt idx="0">
                  <c:v>看跌期权上限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公式应用示例!$AX$16:$AX$115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公式应用示例!$BF$16:$BF$115</c:f>
              <c:numCache>
                <c:formatCode>General</c:formatCode>
                <c:ptCount val="100"/>
                <c:pt idx="0">
                  <c:v>99.004983374916804</c:v>
                </c:pt>
                <c:pt idx="1">
                  <c:v>98.019867330675524</c:v>
                </c:pt>
                <c:pt idx="2">
                  <c:v>97.044553354850819</c:v>
                </c:pt>
                <c:pt idx="3">
                  <c:v>96.078943915232315</c:v>
                </c:pt>
                <c:pt idx="4">
                  <c:v>95.122942450071406</c:v>
                </c:pt>
                <c:pt idx="5">
                  <c:v>94.176453358424865</c:v>
                </c:pt>
                <c:pt idx="6">
                  <c:v>93.239381990594822</c:v>
                </c:pt>
                <c:pt idx="7">
                  <c:v>92.311634638663577</c:v>
                </c:pt>
                <c:pt idx="8">
                  <c:v>91.393118527122823</c:v>
                </c:pt>
                <c:pt idx="9">
                  <c:v>90.483741803595947</c:v>
                </c:pt>
                <c:pt idx="10">
                  <c:v>89.583413529652816</c:v>
                </c:pt>
                <c:pt idx="11">
                  <c:v>88.692043671715751</c:v>
                </c:pt>
                <c:pt idx="12">
                  <c:v>87.809543092056131</c:v>
                </c:pt>
                <c:pt idx="13">
                  <c:v>86.935823539880587</c:v>
                </c:pt>
                <c:pt idx="14">
                  <c:v>86.070797642505781</c:v>
                </c:pt>
                <c:pt idx="15">
                  <c:v>85.214378896621128</c:v>
                </c:pt>
                <c:pt idx="16">
                  <c:v>84.366481659638367</c:v>
                </c:pt>
                <c:pt idx="17">
                  <c:v>83.527021141127193</c:v>
                </c:pt>
                <c:pt idx="18">
                  <c:v>82.69591339433623</c:v>
                </c:pt>
                <c:pt idx="19">
                  <c:v>81.873075307798189</c:v>
                </c:pt>
                <c:pt idx="20">
                  <c:v>81.058424597018714</c:v>
                </c:pt>
                <c:pt idx="21">
                  <c:v>80.251879796247849</c:v>
                </c:pt>
                <c:pt idx="22">
                  <c:v>79.453360250333404</c:v>
                </c:pt>
                <c:pt idx="23">
                  <c:v>78.662786106655346</c:v>
                </c:pt>
                <c:pt idx="24">
                  <c:v>77.880078307140494</c:v>
                </c:pt>
                <c:pt idx="25">
                  <c:v>77.10515858035663</c:v>
                </c:pt>
                <c:pt idx="26">
                  <c:v>76.33794943368531</c:v>
                </c:pt>
                <c:pt idx="27">
                  <c:v>75.578374145572553</c:v>
                </c:pt>
                <c:pt idx="28">
                  <c:v>74.82635675785653</c:v>
                </c:pt>
                <c:pt idx="29">
                  <c:v>74.081822068171789</c:v>
                </c:pt>
                <c:pt idx="30">
                  <c:v>73.344695622428929</c:v>
                </c:pt>
                <c:pt idx="31">
                  <c:v>72.614903707369095</c:v>
                </c:pt>
                <c:pt idx="32">
                  <c:v>71.892373343192617</c:v>
                </c:pt>
                <c:pt idx="33">
                  <c:v>71.17703227626096</c:v>
                </c:pt>
                <c:pt idx="34">
                  <c:v>70.46880897187134</c:v>
                </c:pt>
                <c:pt idx="35">
                  <c:v>69.76763260710311</c:v>
                </c:pt>
                <c:pt idx="36">
                  <c:v>69.073433063735465</c:v>
                </c:pt>
                <c:pt idx="37">
                  <c:v>68.38614092123558</c:v>
                </c:pt>
                <c:pt idx="38">
                  <c:v>67.705687449816466</c:v>
                </c:pt>
                <c:pt idx="39">
                  <c:v>67.032004603563934</c:v>
                </c:pt>
                <c:pt idx="40">
                  <c:v>66.365025013631936</c:v>
                </c:pt>
                <c:pt idx="41">
                  <c:v>65.704681981505672</c:v>
                </c:pt>
                <c:pt idx="42">
                  <c:v>65.050909472331654</c:v>
                </c:pt>
                <c:pt idx="43">
                  <c:v>64.403642108314145</c:v>
                </c:pt>
                <c:pt idx="44">
                  <c:v>63.762815162177333</c:v>
                </c:pt>
                <c:pt idx="45">
                  <c:v>63.128364550692595</c:v>
                </c:pt>
                <c:pt idx="46">
                  <c:v>62.50022682827008</c:v>
                </c:pt>
                <c:pt idx="47">
                  <c:v>61.878339180614084</c:v>
                </c:pt>
                <c:pt idx="48">
                  <c:v>61.262639418441609</c:v>
                </c:pt>
                <c:pt idx="49">
                  <c:v>60.653065971263345</c:v>
                </c:pt>
                <c:pt idx="50">
                  <c:v>60.04955788122659</c:v>
                </c:pt>
                <c:pt idx="51">
                  <c:v>59.452054797019436</c:v>
                </c:pt>
                <c:pt idx="52">
                  <c:v>58.860496967835516</c:v>
                </c:pt>
                <c:pt idx="53">
                  <c:v>58.274825237398964</c:v>
                </c:pt>
                <c:pt idx="54">
                  <c:v>57.694981038048667</c:v>
                </c:pt>
                <c:pt idx="55">
                  <c:v>57.120906384881486</c:v>
                </c:pt>
                <c:pt idx="56">
                  <c:v>56.552543869953709</c:v>
                </c:pt>
                <c:pt idx="57">
                  <c:v>55.989836656540206</c:v>
                </c:pt>
                <c:pt idx="58">
                  <c:v>55.432728473450709</c:v>
                </c:pt>
                <c:pt idx="59">
                  <c:v>54.881163609402641</c:v>
                </c:pt>
                <c:pt idx="60">
                  <c:v>54.335086907449984</c:v>
                </c:pt>
                <c:pt idx="61">
                  <c:v>53.794443759467448</c:v>
                </c:pt>
                <c:pt idx="62">
                  <c:v>53.259180100689719</c:v>
                </c:pt>
                <c:pt idx="63">
                  <c:v>52.729242404304856</c:v>
                </c:pt>
                <c:pt idx="64">
                  <c:v>52.204577676101607</c:v>
                </c:pt>
                <c:pt idx="65">
                  <c:v>51.685133449169918</c:v>
                </c:pt>
                <c:pt idx="66">
                  <c:v>51.170857778654245</c:v>
                </c:pt>
                <c:pt idx="67">
                  <c:v>50.661699236558952</c:v>
                </c:pt>
                <c:pt idx="68">
                  <c:v>50.157606906605558</c:v>
                </c:pt>
                <c:pt idx="69">
                  <c:v>49.658530379140956</c:v>
                </c:pt>
                <c:pt idx="70">
                  <c:v>49.164419746096513</c:v>
                </c:pt>
                <c:pt idx="71">
                  <c:v>48.675225595997169</c:v>
                </c:pt>
                <c:pt idx="72">
                  <c:v>48.190899009020242</c:v>
                </c:pt>
                <c:pt idx="73">
                  <c:v>47.711391552103436</c:v>
                </c:pt>
                <c:pt idx="74">
                  <c:v>47.236655274101466</c:v>
                </c:pt>
                <c:pt idx="75">
                  <c:v>46.766642700990921</c:v>
                </c:pt>
                <c:pt idx="76">
                  <c:v>46.301306831122808</c:v>
                </c:pt>
                <c:pt idx="77">
                  <c:v>45.840601130522352</c:v>
                </c:pt>
                <c:pt idx="78">
                  <c:v>45.38447952823558</c:v>
                </c:pt>
                <c:pt idx="79">
                  <c:v>44.932896411722155</c:v>
                </c:pt>
                <c:pt idx="80">
                  <c:v>44.485806622294113</c:v>
                </c:pt>
                <c:pt idx="81">
                  <c:v>44.043165450599929</c:v>
                </c:pt>
                <c:pt idx="82">
                  <c:v>43.604928632153559</c:v>
                </c:pt>
                <c:pt idx="83">
                  <c:v>43.17105234290797</c:v>
                </c:pt>
                <c:pt idx="84">
                  <c:v>42.741493194872668</c:v>
                </c:pt>
                <c:pt idx="85">
                  <c:v>42.31620823177488</c:v>
                </c:pt>
                <c:pt idx="86">
                  <c:v>41.895154924763901</c:v>
                </c:pt>
                <c:pt idx="87">
                  <c:v>41.478291168158137</c:v>
                </c:pt>
                <c:pt idx="88">
                  <c:v>41.065575275234551</c:v>
                </c:pt>
                <c:pt idx="89">
                  <c:v>40.656965974059908</c:v>
                </c:pt>
                <c:pt idx="90">
                  <c:v>40.252422403363596</c:v>
                </c:pt>
                <c:pt idx="91">
                  <c:v>39.851904108451414</c:v>
                </c:pt>
                <c:pt idx="92">
                  <c:v>39.455371037160106</c:v>
                </c:pt>
                <c:pt idx="93">
                  <c:v>39.062783535852112</c:v>
                </c:pt>
                <c:pt idx="94">
                  <c:v>38.674102345450123</c:v>
                </c:pt>
                <c:pt idx="95">
                  <c:v>38.289288597511209</c:v>
                </c:pt>
                <c:pt idx="96">
                  <c:v>37.908303810339881</c:v>
                </c:pt>
                <c:pt idx="97">
                  <c:v>37.531109885139955</c:v>
                </c:pt>
                <c:pt idx="98">
                  <c:v>37.157669102204572</c:v>
                </c:pt>
                <c:pt idx="99">
                  <c:v>36.787944117144235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35-43B6-BAAA-2D9618BE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248351"/>
        <c:axId val="450245023"/>
      </c:lineChart>
      <c:catAx>
        <c:axId val="4502483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无风险利率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0245023"/>
        <c:crosses val="autoZero"/>
        <c:auto val="1"/>
        <c:lblAlgn val="ctr"/>
        <c:lblOffset val="100"/>
        <c:noMultiLvlLbl val="0"/>
      </c:catAx>
      <c:valAx>
        <c:axId val="45024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期权价值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024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1301750</xdr:colOff>
      <xdr:row>116</xdr:row>
      <xdr:rowOff>15875</xdr:rowOff>
    </xdr:from>
    <xdr:to>
      <xdr:col>4</xdr:col>
      <xdr:colOff>88900</xdr:colOff>
      <xdr:row>130</xdr:row>
      <xdr:rowOff>92075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B6A5285-53C1-3BD3-D872-695BB4F5C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116</xdr:row>
      <xdr:rowOff>22225</xdr:rowOff>
    </xdr:from>
    <xdr:to>
      <xdr:col>10</xdr:col>
      <xdr:colOff>876300</xdr:colOff>
      <xdr:row>130</xdr:row>
      <xdr:rowOff>98425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E126847-A4EB-C359-28E8-8172131F8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115</xdr:row>
      <xdr:rowOff>180975</xdr:rowOff>
    </xdr:from>
    <xdr:to>
      <xdr:col>16</xdr:col>
      <xdr:colOff>0</xdr:colOff>
      <xdr:row>130</xdr:row>
      <xdr:rowOff>66675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CE90F87-9E5F-2DCB-8A79-24E43FCDC2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114300</xdr:colOff>
      <xdr:row>116</xdr:row>
      <xdr:rowOff>3175</xdr:rowOff>
    </xdr:from>
    <xdr:to>
      <xdr:col>21</xdr:col>
      <xdr:colOff>615950</xdr:colOff>
      <xdr:row>128</xdr:row>
      <xdr:rowOff>171450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85979CAC-0BDD-A299-8253-1DB859D05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628650</xdr:colOff>
      <xdr:row>115</xdr:row>
      <xdr:rowOff>142875</xdr:rowOff>
    </xdr:from>
    <xdr:to>
      <xdr:col>28</xdr:col>
      <xdr:colOff>577850</xdr:colOff>
      <xdr:row>130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D8857BAB-80D0-B68B-3BA9-6D9AFAE310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565150</xdr:colOff>
      <xdr:row>116</xdr:row>
      <xdr:rowOff>3175</xdr:rowOff>
    </xdr:from>
    <xdr:to>
      <xdr:col>35</xdr:col>
      <xdr:colOff>514350</xdr:colOff>
      <xdr:row>130</xdr:row>
      <xdr:rowOff>79375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B57E20B8-9699-8B59-E9D6-974F51B9B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508000</xdr:colOff>
      <xdr:row>115</xdr:row>
      <xdr:rowOff>104775</xdr:rowOff>
    </xdr:from>
    <xdr:to>
      <xdr:col>41</xdr:col>
      <xdr:colOff>457200</xdr:colOff>
      <xdr:row>129</xdr:row>
      <xdr:rowOff>180975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C765DAE5-FC05-EEEE-CA95-851CF40348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609600</xdr:colOff>
      <xdr:row>115</xdr:row>
      <xdr:rowOff>47625</xdr:rowOff>
    </xdr:from>
    <xdr:to>
      <xdr:col>46</xdr:col>
      <xdr:colOff>558800</xdr:colOff>
      <xdr:row>129</xdr:row>
      <xdr:rowOff>123825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AE47BDAA-3FFF-7C7D-BFA6-FCFADB782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47</xdr:col>
      <xdr:colOff>158750</xdr:colOff>
      <xdr:row>115</xdr:row>
      <xdr:rowOff>9525</xdr:rowOff>
    </xdr:from>
    <xdr:to>
      <xdr:col>54</xdr:col>
      <xdr:colOff>107950</xdr:colOff>
      <xdr:row>129</xdr:row>
      <xdr:rowOff>85725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631C0A3C-E9B3-CCC8-24F1-EB5A57A41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406400</xdr:colOff>
      <xdr:row>114</xdr:row>
      <xdr:rowOff>314325</xdr:rowOff>
    </xdr:from>
    <xdr:to>
      <xdr:col>61</xdr:col>
      <xdr:colOff>355600</xdr:colOff>
      <xdr:row>129</xdr:row>
      <xdr:rowOff>66675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AC0F9886-1C18-188A-1A7D-0C8B2A75D5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115"/>
  <sheetViews>
    <sheetView tabSelected="1" topLeftCell="AS108" workbookViewId="0">
      <selection activeCell="BI114" sqref="BI114"/>
    </sheetView>
  </sheetViews>
  <sheetFormatPr defaultRowHeight="15" x14ac:dyDescent="0.25"/>
  <cols>
    <col min="1" max="1" width="27.08203125" customWidth="1"/>
    <col min="2" max="2" width="23.1640625" customWidth="1"/>
    <col min="3" max="3" width="17" customWidth="1"/>
    <col min="11" max="11" width="31.1640625" customWidth="1"/>
    <col min="12" max="12" width="21.6640625" customWidth="1"/>
    <col min="13" max="13" width="12.33203125" bestFit="1" customWidth="1"/>
    <col min="17" max="17" width="12.33203125" bestFit="1" customWidth="1"/>
  </cols>
  <sheetData>
    <row r="1" spans="1:58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58" ht="25.5" x14ac:dyDescent="0.2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58" ht="25.5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58" ht="25.5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58" ht="25.5" x14ac:dyDescent="0.2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58" ht="25.5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58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58" ht="25.5" x14ac:dyDescent="0.25">
      <c r="A8" s="1" t="s">
        <v>0</v>
      </c>
      <c r="B8" s="1">
        <f>BS_call(S,σ,rf,q,T,X)</f>
        <v>16.569509243211563</v>
      </c>
      <c r="C8" s="1"/>
      <c r="E8" s="6"/>
      <c r="F8" s="6"/>
      <c r="G8" s="6"/>
      <c r="H8" s="6"/>
      <c r="I8" s="6"/>
      <c r="J8" s="6"/>
    </row>
    <row r="9" spans="1:58" ht="25.5" x14ac:dyDescent="0.25">
      <c r="A9" s="1" t="s">
        <v>1</v>
      </c>
      <c r="B9" s="1">
        <f>BS_put(S,σ,rf,q,T,X)</f>
        <v>13.614062598062382</v>
      </c>
      <c r="C9" s="1"/>
      <c r="K9" s="5"/>
    </row>
    <row r="10" spans="1:58" ht="25.5" x14ac:dyDescent="0.25">
      <c r="A10" s="1" t="s">
        <v>23</v>
      </c>
      <c r="B10" s="1">
        <f>in_val_call(S,σ,rf,q,T,X)</f>
        <v>0</v>
      </c>
      <c r="C10" s="1"/>
      <c r="K10" s="5"/>
    </row>
    <row r="11" spans="1:58" ht="25.5" x14ac:dyDescent="0.25">
      <c r="A11" s="1" t="s">
        <v>24</v>
      </c>
      <c r="B11" s="1">
        <f>in_val_put(S,σ,rf,q,T,X)</f>
        <v>0</v>
      </c>
      <c r="G11" s="3"/>
      <c r="J11" s="3"/>
      <c r="K11" s="5"/>
    </row>
    <row r="12" spans="1:58" ht="25.5" x14ac:dyDescent="0.25">
      <c r="A12" s="1" t="s">
        <v>25</v>
      </c>
      <c r="B12" s="1">
        <f>floor_call(S,σ,rf,q,T,X)</f>
        <v>2.9554466451491805</v>
      </c>
      <c r="C12" s="1"/>
    </row>
    <row r="13" spans="1:58" ht="25.5" x14ac:dyDescent="0.25">
      <c r="A13" s="1" t="s">
        <v>26</v>
      </c>
      <c r="B13" s="1">
        <f>floor_put(S,σ,rf,q,T,X)</f>
        <v>0</v>
      </c>
      <c r="C13" s="1"/>
    </row>
    <row r="14" spans="1:58" ht="25.5" x14ac:dyDescent="0.25">
      <c r="A14" s="1"/>
      <c r="B14" s="1"/>
    </row>
    <row r="15" spans="1:58" ht="25.5" x14ac:dyDescent="0.25">
      <c r="A15" s="1" t="s">
        <v>27</v>
      </c>
      <c r="B15" s="1" t="s">
        <v>28</v>
      </c>
      <c r="C15" s="3" t="s">
        <v>29</v>
      </c>
      <c r="D15" s="3" t="s">
        <v>30</v>
      </c>
      <c r="G15" s="3" t="s">
        <v>31</v>
      </c>
      <c r="H15" s="3" t="s">
        <v>32</v>
      </c>
      <c r="I15" s="3" t="s">
        <v>33</v>
      </c>
      <c r="L15" s="3" t="s">
        <v>34</v>
      </c>
      <c r="M15" s="3" t="s">
        <v>28</v>
      </c>
      <c r="N15" s="3" t="s">
        <v>29</v>
      </c>
      <c r="O15" s="3" t="s">
        <v>30</v>
      </c>
      <c r="P15" s="3"/>
      <c r="Q15" s="3" t="s">
        <v>31</v>
      </c>
      <c r="R15" s="3" t="s">
        <v>32</v>
      </c>
      <c r="S15" s="3" t="s">
        <v>33</v>
      </c>
      <c r="T15" s="3"/>
      <c r="U15" s="3"/>
      <c r="V15" s="3"/>
      <c r="W15" s="3" t="s">
        <v>35</v>
      </c>
      <c r="X15" s="3" t="s">
        <v>28</v>
      </c>
      <c r="Y15" s="3" t="s">
        <v>29</v>
      </c>
      <c r="Z15" s="3" t="s">
        <v>30</v>
      </c>
      <c r="AC15" s="3" t="s">
        <v>31</v>
      </c>
      <c r="AD15" s="3" t="s">
        <v>32</v>
      </c>
      <c r="AE15" s="3" t="s">
        <v>33</v>
      </c>
      <c r="AJ15" s="3" t="s">
        <v>36</v>
      </c>
      <c r="AK15" s="3" t="s">
        <v>37</v>
      </c>
      <c r="AL15" s="3" t="s">
        <v>38</v>
      </c>
      <c r="AM15" s="3" t="s">
        <v>39</v>
      </c>
      <c r="AP15" s="3" t="s">
        <v>40</v>
      </c>
      <c r="AQ15" s="3" t="s">
        <v>41</v>
      </c>
      <c r="AR15" s="3" t="s">
        <v>42</v>
      </c>
      <c r="AX15" s="3" t="s">
        <v>43</v>
      </c>
      <c r="AY15" s="3" t="s">
        <v>37</v>
      </c>
      <c r="AZ15" s="3" t="s">
        <v>39</v>
      </c>
      <c r="BA15" s="3" t="s">
        <v>38</v>
      </c>
      <c r="BD15" s="3" t="s">
        <v>40</v>
      </c>
      <c r="BE15" s="3" t="s">
        <v>41</v>
      </c>
      <c r="BF15" s="3" t="s">
        <v>42</v>
      </c>
    </row>
    <row r="16" spans="1:58" ht="25.5" x14ac:dyDescent="0.25">
      <c r="A16" s="1">
        <v>1</v>
      </c>
      <c r="B16" s="1">
        <f>BS_call(A16,σ,rf,q,T,X)</f>
        <v>2.3918898115314945E-33</v>
      </c>
      <c r="C16">
        <f>A16</f>
        <v>1</v>
      </c>
      <c r="D16">
        <f>in_val_call(A16,σ,rf,q,T,X)</f>
        <v>0</v>
      </c>
      <c r="G16">
        <f>BS_put(A16,σ,rf,q,T,X)</f>
        <v>96.044553354850819</v>
      </c>
      <c r="H16">
        <f>X*EXP(-rf*T)</f>
        <v>97.044553354850819</v>
      </c>
      <c r="I16">
        <f>in_val_put(A16,σ,rf,q,T,X)</f>
        <v>99</v>
      </c>
      <c r="L16">
        <v>1</v>
      </c>
      <c r="M16">
        <f>BS_call(S,σ,rf,q,T,L16)</f>
        <v>99.029554466451486</v>
      </c>
      <c r="N16">
        <f>S</f>
        <v>100</v>
      </c>
      <c r="O16">
        <f>in_val_call(S,σ,rf,q,T,L16)</f>
        <v>99</v>
      </c>
      <c r="Q16" s="3">
        <f>BS_put(S,σ,rf,q,T,L16)</f>
        <v>3.6213535004389349E-34</v>
      </c>
      <c r="R16">
        <f>L16*EXP(-rf*T)</f>
        <v>0.97044553354850815</v>
      </c>
      <c r="S16">
        <f>in_val_put(S,σ,rf,q,T,L16)</f>
        <v>0</v>
      </c>
      <c r="W16">
        <v>0.1</v>
      </c>
      <c r="X16">
        <f>BS_call(S,σ,rf,q,W16,X)</f>
        <v>5.0004074805222913</v>
      </c>
      <c r="Y16">
        <f>S</f>
        <v>100</v>
      </c>
      <c r="Z16">
        <f>in_val_call(S,σ,rf,q,W16,X)</f>
        <v>0</v>
      </c>
      <c r="AC16">
        <f>BS_put(S,σ,rf,q,W16,X)</f>
        <v>4.7008570308595878</v>
      </c>
      <c r="AD16">
        <f>X*EXP(-rf*W16)</f>
        <v>99.700449550337297</v>
      </c>
      <c r="AE16">
        <f>in_val_put(S,σ,rf,q,W16,X)</f>
        <v>0</v>
      </c>
      <c r="AJ16">
        <v>0.1</v>
      </c>
      <c r="AK16">
        <f>BS_call(S,AJ16,rf,q,T,X)</f>
        <v>5.5818771509387304</v>
      </c>
      <c r="AL16">
        <f>in_val_call(S,AJ16,rf,q,T,X)</f>
        <v>0</v>
      </c>
      <c r="AM16">
        <f>S</f>
        <v>100</v>
      </c>
      <c r="AP16">
        <f>BS_put(S,AJ16,rf,q,T,X)</f>
        <v>2.6264305057895498</v>
      </c>
      <c r="AQ16">
        <f>in_val_put(S,AJ16,rf,q,T,X)</f>
        <v>0</v>
      </c>
      <c r="AR16">
        <f>X*EXP(-rf*T)</f>
        <v>97.044553354850819</v>
      </c>
      <c r="AX16">
        <v>0.01</v>
      </c>
      <c r="AY16">
        <f>BS_call(S,σ,AX16,q,T,X)</f>
        <v>15.699007510111251</v>
      </c>
      <c r="AZ16">
        <f>S</f>
        <v>100</v>
      </c>
      <c r="BA16">
        <f>floor_call(S,σ,AX16,q,T,X)</f>
        <v>0.99501662508319555</v>
      </c>
      <c r="BD16">
        <f>BS_put(S,σ,AX16,q,T,X)</f>
        <v>14.703990885028055</v>
      </c>
      <c r="BE16">
        <f>in_val_put(S,σ,AX16,q,T,X)</f>
        <v>0</v>
      </c>
      <c r="BF16">
        <f>X*EXP(-AX16*T)</f>
        <v>99.004983374916804</v>
      </c>
    </row>
    <row r="17" spans="1:58" ht="25.5" x14ac:dyDescent="0.25">
      <c r="A17" s="1">
        <v>2</v>
      </c>
      <c r="B17" s="1">
        <f>BS_call(A17,σ,rf,q,T,X)</f>
        <v>1.769849265371335E-24</v>
      </c>
      <c r="C17">
        <f t="shared" ref="C17:C80" si="0">A17</f>
        <v>2</v>
      </c>
      <c r="D17">
        <f>in_val_call(A17,σ,rf,q,T,X)</f>
        <v>0</v>
      </c>
      <c r="G17">
        <f>BS_put(A17,σ,rf,q,T,X)</f>
        <v>95.044553354850819</v>
      </c>
      <c r="H17">
        <f>X*EXP(-rf*T)</f>
        <v>97.044553354850819</v>
      </c>
      <c r="I17">
        <f>in_val_put(A17,σ,rf,q,T,X)</f>
        <v>98</v>
      </c>
      <c r="L17">
        <v>2</v>
      </c>
      <c r="M17">
        <f>BS_call(S,σ,rf,q,T,L17)</f>
        <v>98.059108932902987</v>
      </c>
      <c r="N17">
        <f>S</f>
        <v>100</v>
      </c>
      <c r="O17">
        <f>in_val_call(S,σ,rf,q,T,L17)</f>
        <v>98</v>
      </c>
      <c r="Q17" s="3">
        <f>BS_put(S,σ,rf,q,T,L17)</f>
        <v>3.5312558543839461E-25</v>
      </c>
      <c r="R17">
        <f>L17*EXP(-rf*T)</f>
        <v>1.9408910670970163</v>
      </c>
      <c r="S17">
        <f>in_val_put(S,σ,rf,q,T,L17)</f>
        <v>0</v>
      </c>
      <c r="W17">
        <v>0.2</v>
      </c>
      <c r="X17">
        <f>BS_call(S,σ,rf,q,W17,X)</f>
        <v>7.1465102183935088</v>
      </c>
      <c r="Y17">
        <f>S</f>
        <v>100</v>
      </c>
      <c r="Z17">
        <f>in_val_call(S,σ,rf,q,W17,X)</f>
        <v>0</v>
      </c>
      <c r="AC17">
        <f>BS_put(S,σ,rf,q,W17,X)</f>
        <v>6.5483066237870347</v>
      </c>
      <c r="AD17">
        <f>X*EXP(-rf*W17)</f>
        <v>99.401796405393526</v>
      </c>
      <c r="AE17">
        <f>in_val_put(S,σ,rf,q,W17,X)</f>
        <v>0</v>
      </c>
      <c r="AJ17">
        <v>0.2</v>
      </c>
      <c r="AK17">
        <f>BS_call(S,AJ17,rf,q,T,X)</f>
        <v>9.4134033838530158</v>
      </c>
      <c r="AL17">
        <f>in_val_call(S,AJ17,rf,q,T,X)</f>
        <v>0</v>
      </c>
      <c r="AM17">
        <f>S</f>
        <v>100</v>
      </c>
      <c r="AP17">
        <f>BS_put(S,AJ17,rf,q,T,X)</f>
        <v>6.4579567387038352</v>
      </c>
      <c r="AQ17">
        <f>in_val_put(S,AJ17,rf,q,T,X)</f>
        <v>0</v>
      </c>
      <c r="AR17">
        <f>X*EXP(-rf*T)</f>
        <v>97.044553354850819</v>
      </c>
      <c r="AX17">
        <v>0.02</v>
      </c>
      <c r="AY17">
        <f>BS_call(S,σ,AX17,q,T,X)</f>
        <v>16.131408964664935</v>
      </c>
      <c r="AZ17">
        <f>S</f>
        <v>100</v>
      </c>
      <c r="BA17">
        <f>floor_call(S,σ,AX17,q,T,X)</f>
        <v>1.9801326693244761</v>
      </c>
      <c r="BD17">
        <f>BS_put(S,σ,AX17,q,T,X)</f>
        <v>14.151276295340452</v>
      </c>
      <c r="BE17">
        <f>in_val_put(S,σ,AX17,q,T,X)</f>
        <v>0</v>
      </c>
      <c r="BF17">
        <f>X*EXP(-AX17*T)</f>
        <v>98.019867330675524</v>
      </c>
    </row>
    <row r="18" spans="1:58" ht="25.5" x14ac:dyDescent="0.25">
      <c r="A18" s="1">
        <v>3</v>
      </c>
      <c r="B18" s="1">
        <f>BS_call(A18,σ,rf,q,T,X)</f>
        <v>6.2452578664080619E-20</v>
      </c>
      <c r="C18">
        <f t="shared" si="0"/>
        <v>3</v>
      </c>
      <c r="D18">
        <f>in_val_call(A18,σ,rf,q,T,X)</f>
        <v>0</v>
      </c>
      <c r="G18">
        <f>BS_put(A18,σ,rf,q,T,X)</f>
        <v>94.044553354850819</v>
      </c>
      <c r="H18">
        <f>X*EXP(-rf*T)</f>
        <v>97.044553354850819</v>
      </c>
      <c r="I18">
        <f>in_val_put(A18,σ,rf,q,T,X)</f>
        <v>97</v>
      </c>
      <c r="L18">
        <v>3</v>
      </c>
      <c r="M18">
        <f>BS_call(S,σ,rf,q,T,L18)</f>
        <v>97.088663399354473</v>
      </c>
      <c r="N18">
        <f>S</f>
        <v>100</v>
      </c>
      <c r="O18">
        <f>in_val_call(S,σ,rf,q,T,L18)</f>
        <v>97</v>
      </c>
      <c r="Q18" s="3">
        <f>BS_put(S,σ,rf,q,T,L18)</f>
        <v>1.4633375016546418E-20</v>
      </c>
      <c r="R18">
        <f>L18*EXP(-rf*T)</f>
        <v>2.9113366006455244</v>
      </c>
      <c r="S18">
        <f>in_val_put(S,σ,rf,q,T,L18)</f>
        <v>0</v>
      </c>
      <c r="W18">
        <v>0.3</v>
      </c>
      <c r="X18">
        <f>BS_call(S,σ,rf,q,W18,X)</f>
        <v>8.8191378777014009</v>
      </c>
      <c r="Y18">
        <f>S</f>
        <v>100</v>
      </c>
      <c r="Z18">
        <f>in_val_call(S,σ,rf,q,W18,X)</f>
        <v>0</v>
      </c>
      <c r="AC18">
        <f>BS_put(S,σ,rf,q,W18,X)</f>
        <v>7.9231757549897637</v>
      </c>
      <c r="AD18">
        <f>X*EXP(-rf*W18)</f>
        <v>99.104037877288363</v>
      </c>
      <c r="AE18">
        <f>in_val_put(S,σ,rf,q,W18,X)</f>
        <v>0</v>
      </c>
      <c r="AJ18">
        <v>0.3</v>
      </c>
      <c r="AK18">
        <f>BS_call(S,AJ18,rf,q,T,X)</f>
        <v>13.283308397880909</v>
      </c>
      <c r="AL18">
        <f>in_val_call(S,AJ18,rf,q,T,X)</f>
        <v>0</v>
      </c>
      <c r="AM18">
        <f>S</f>
        <v>100</v>
      </c>
      <c r="AP18">
        <f>BS_put(S,AJ18,rf,q,T,X)</f>
        <v>10.327861752731728</v>
      </c>
      <c r="AQ18">
        <f>in_val_put(S,AJ18,rf,q,T,X)</f>
        <v>0</v>
      </c>
      <c r="AR18">
        <f>X*EXP(-rf*T)</f>
        <v>97.044553354850819</v>
      </c>
      <c r="AX18">
        <v>0.03</v>
      </c>
      <c r="AY18">
        <f>BS_call(S,σ,AX18,q,T,X)</f>
        <v>16.569509243211563</v>
      </c>
      <c r="AZ18">
        <f>S</f>
        <v>100</v>
      </c>
      <c r="BA18">
        <f>floor_call(S,σ,AX18,q,T,X)</f>
        <v>2.9554466451491805</v>
      </c>
      <c r="BD18">
        <f>BS_put(S,σ,AX18,q,T,X)</f>
        <v>13.614062598062382</v>
      </c>
      <c r="BE18">
        <f>in_val_put(S,σ,AX18,q,T,X)</f>
        <v>0</v>
      </c>
      <c r="BF18">
        <f>X*EXP(-AX18*T)</f>
        <v>97.044553354850819</v>
      </c>
    </row>
    <row r="19" spans="1:58" ht="25.5" x14ac:dyDescent="0.25">
      <c r="A19" s="1">
        <v>4</v>
      </c>
      <c r="B19" s="1">
        <f>BS_call(A19,σ,rf,q,T,X)</f>
        <v>5.4534253251635885E-17</v>
      </c>
      <c r="C19">
        <f t="shared" si="0"/>
        <v>4</v>
      </c>
      <c r="D19">
        <f>in_val_call(A19,σ,rf,q,T,X)</f>
        <v>0</v>
      </c>
      <c r="G19">
        <f>BS_put(A19,σ,rf,q,T,X)</f>
        <v>93.044553354850819</v>
      </c>
      <c r="H19">
        <f>X*EXP(-rf*T)</f>
        <v>97.044553354850819</v>
      </c>
      <c r="I19">
        <f>in_val_put(A19,σ,rf,q,T,X)</f>
        <v>96</v>
      </c>
      <c r="L19">
        <v>4</v>
      </c>
      <c r="M19">
        <f>BS_call(S,σ,rf,q,T,L19)</f>
        <v>96.118217865805974</v>
      </c>
      <c r="N19">
        <f>S</f>
        <v>100</v>
      </c>
      <c r="O19">
        <f>in_val_call(S,σ,rf,q,T,L19)</f>
        <v>96</v>
      </c>
      <c r="Q19" s="3">
        <f>BS_put(S,σ,rf,q,T,L19)</f>
        <v>1.4315100525560482E-17</v>
      </c>
      <c r="R19">
        <f>L19*EXP(-rf*T)</f>
        <v>3.8817821341940326</v>
      </c>
      <c r="S19">
        <f>in_val_put(S,σ,rf,q,T,L19)</f>
        <v>0</v>
      </c>
      <c r="W19">
        <v>0.4</v>
      </c>
      <c r="X19">
        <f>BS_call(S,σ,rf,q,W19,X)</f>
        <v>10.245123003471051</v>
      </c>
      <c r="Y19">
        <f>S</f>
        <v>100</v>
      </c>
      <c r="Z19">
        <f>in_val_call(S,σ,rf,q,W19,X)</f>
        <v>0</v>
      </c>
      <c r="AC19">
        <f>BS_put(S,σ,rf,q,W19,X)</f>
        <v>9.0522942896641041</v>
      </c>
      <c r="AD19">
        <f>X*EXP(-rf*W19)</f>
        <v>98.807171286193054</v>
      </c>
      <c r="AE19">
        <f>in_val_put(S,σ,rf,q,W19,X)</f>
        <v>0</v>
      </c>
      <c r="AJ19">
        <v>0.4</v>
      </c>
      <c r="AK19">
        <f>BS_call(S,AJ19,rf,q,T,X)</f>
        <v>17.138735220515535</v>
      </c>
      <c r="AL19">
        <f>in_val_call(S,AJ19,rf,q,T,X)</f>
        <v>0</v>
      </c>
      <c r="AM19">
        <f>S</f>
        <v>100</v>
      </c>
      <c r="AP19">
        <f>BS_put(S,AJ19,rf,q,T,X)</f>
        <v>14.183288575366355</v>
      </c>
      <c r="AQ19">
        <f>in_val_put(S,AJ19,rf,q,T,X)</f>
        <v>0</v>
      </c>
      <c r="AR19">
        <f>X*EXP(-rf*T)</f>
        <v>97.044553354850819</v>
      </c>
      <c r="AX19">
        <v>0.04</v>
      </c>
      <c r="AY19">
        <f>BS_call(S,σ,AX19,q,T,X)</f>
        <v>17.013185008205667</v>
      </c>
      <c r="AZ19">
        <f>S</f>
        <v>100</v>
      </c>
      <c r="BA19">
        <f>floor_call(S,σ,AX19,q,T,X)</f>
        <v>3.9210560847676845</v>
      </c>
      <c r="BD19">
        <f>BS_put(S,σ,AX19,q,T,X)</f>
        <v>13.09212892343799</v>
      </c>
      <c r="BE19">
        <f>in_val_put(S,σ,AX19,q,T,X)</f>
        <v>0</v>
      </c>
      <c r="BF19">
        <f>X*EXP(-AX19*T)</f>
        <v>96.078943915232315</v>
      </c>
    </row>
    <row r="20" spans="1:58" ht="25.5" x14ac:dyDescent="0.25">
      <c r="A20" s="1">
        <v>5</v>
      </c>
      <c r="B20" s="1">
        <f>BS_call(A20,σ,rf,q,T,X)</f>
        <v>7.1686735509831068E-15</v>
      </c>
      <c r="C20">
        <f t="shared" si="0"/>
        <v>5</v>
      </c>
      <c r="D20">
        <f>in_val_call(A20,σ,rf,q,T,X)</f>
        <v>0</v>
      </c>
      <c r="G20">
        <f>BS_put(A20,σ,rf,q,T,X)</f>
        <v>92.044553354850834</v>
      </c>
      <c r="H20">
        <f>X*EXP(-rf*T)</f>
        <v>97.044553354850819</v>
      </c>
      <c r="I20">
        <f>in_val_put(A20,σ,rf,q,T,X)</f>
        <v>95</v>
      </c>
      <c r="L20">
        <v>5</v>
      </c>
      <c r="M20">
        <f>BS_call(S,σ,rf,q,T,L20)</f>
        <v>95.14777233225746</v>
      </c>
      <c r="N20">
        <f>S</f>
        <v>100</v>
      </c>
      <c r="O20">
        <f>in_val_call(S,σ,rf,q,T,L20)</f>
        <v>95</v>
      </c>
      <c r="Q20" s="3">
        <f>BS_put(S,σ,rf,q,T,L20)</f>
        <v>2.0544138476107299E-15</v>
      </c>
      <c r="R20">
        <f>L20*EXP(-rf*T)</f>
        <v>4.8522276677425404</v>
      </c>
      <c r="S20">
        <f>in_val_put(S,σ,rf,q,T,L20)</f>
        <v>0</v>
      </c>
      <c r="W20">
        <v>0.5</v>
      </c>
      <c r="X20">
        <f>BS_call(S,σ,rf,q,W20,X)</f>
        <v>11.512507904132427</v>
      </c>
      <c r="Y20">
        <f>S</f>
        <v>100</v>
      </c>
      <c r="Z20">
        <f>in_val_call(S,σ,rf,q,W20,X)</f>
        <v>0</v>
      </c>
      <c r="AC20">
        <f>BS_put(S,σ,rf,q,W20,X)</f>
        <v>10.023701864438692</v>
      </c>
      <c r="AD20">
        <f>X*EXP(-rf*W20)</f>
        <v>98.511193960306258</v>
      </c>
      <c r="AE20">
        <f>in_val_put(S,σ,rf,q,W20,X)</f>
        <v>0</v>
      </c>
      <c r="AJ20">
        <v>0.5</v>
      </c>
      <c r="AK20">
        <f>BS_call(S,AJ20,rf,q,T,X)</f>
        <v>20.961539565941806</v>
      </c>
      <c r="AL20">
        <f>in_val_call(S,AJ20,rf,q,T,X)</f>
        <v>0</v>
      </c>
      <c r="AM20">
        <f>S</f>
        <v>100</v>
      </c>
      <c r="AP20">
        <f>BS_put(S,AJ20,rf,q,T,X)</f>
        <v>18.006092920792625</v>
      </c>
      <c r="AQ20">
        <f>in_val_put(S,AJ20,rf,q,T,X)</f>
        <v>0</v>
      </c>
      <c r="AR20">
        <f>X*EXP(-rf*T)</f>
        <v>97.044553354850819</v>
      </c>
      <c r="AX20">
        <v>0.05</v>
      </c>
      <c r="AY20">
        <f>BS_call(S,σ,AX20,q,T,X)</f>
        <v>17.462307945099617</v>
      </c>
      <c r="AZ20">
        <f>S</f>
        <v>100</v>
      </c>
      <c r="BA20">
        <f>floor_call(S,σ,AX20,q,T,X)</f>
        <v>4.877057549928594</v>
      </c>
      <c r="BD20">
        <f>BS_put(S,σ,AX20,q,T,X)</f>
        <v>12.58525039517103</v>
      </c>
      <c r="BE20">
        <f>in_val_put(S,σ,AX20,q,T,X)</f>
        <v>0</v>
      </c>
      <c r="BF20">
        <f>X*EXP(-AX20*T)</f>
        <v>95.122942450071406</v>
      </c>
    </row>
    <row r="21" spans="1:58" ht="25.5" x14ac:dyDescent="0.25">
      <c r="A21" s="1">
        <v>6</v>
      </c>
      <c r="B21" s="1">
        <f>BS_call(A21,σ,rf,q,T,X)</f>
        <v>3.0309412121634828E-13</v>
      </c>
      <c r="C21">
        <f t="shared" si="0"/>
        <v>6</v>
      </c>
      <c r="D21">
        <f>in_val_call(A21,σ,rf,q,T,X)</f>
        <v>0</v>
      </c>
      <c r="G21">
        <f>BS_put(A21,σ,rf,q,T,X)</f>
        <v>91.044553354851118</v>
      </c>
      <c r="H21">
        <f>X*EXP(-rf*T)</f>
        <v>97.044553354850819</v>
      </c>
      <c r="I21">
        <f>in_val_put(A21,σ,rf,q,T,X)</f>
        <v>94</v>
      </c>
      <c r="L21">
        <v>6</v>
      </c>
      <c r="M21">
        <f>BS_call(S,σ,rf,q,T,L21)</f>
        <v>94.177326798709046</v>
      </c>
      <c r="N21">
        <f>S</f>
        <v>100</v>
      </c>
      <c r="O21">
        <f>in_val_call(S,σ,rf,q,T,L21)</f>
        <v>94</v>
      </c>
      <c r="Q21" s="3">
        <f>BS_put(S,σ,rf,q,T,L21)</f>
        <v>9.3296797669674479E-14</v>
      </c>
      <c r="R21">
        <f>L21*EXP(-rf*T)</f>
        <v>5.8226732012910487</v>
      </c>
      <c r="S21">
        <f>in_val_put(S,σ,rf,q,T,L21)</f>
        <v>0</v>
      </c>
      <c r="W21">
        <v>0.6</v>
      </c>
      <c r="X21">
        <f>BS_call(S,σ,rf,q,W21,X)</f>
        <v>12.666536097868061</v>
      </c>
      <c r="Y21">
        <f>S</f>
        <v>100</v>
      </c>
      <c r="Z21">
        <f>in_val_call(S,σ,rf,q,W21,X)</f>
        <v>0</v>
      </c>
      <c r="AC21">
        <f>BS_put(S,σ,rf,q,W21,X)</f>
        <v>10.882639333698137</v>
      </c>
      <c r="AD21">
        <f>X*EXP(-rf*W21)</f>
        <v>98.216103235830076</v>
      </c>
      <c r="AE21">
        <f>in_val_put(S,σ,rf,q,W21,X)</f>
        <v>0</v>
      </c>
      <c r="AJ21">
        <v>0.6</v>
      </c>
      <c r="AK21">
        <f>BS_call(S,AJ21,rf,q,T,X)</f>
        <v>24.739699729334269</v>
      </c>
      <c r="AL21">
        <f>in_val_call(S,AJ21,rf,q,T,X)</f>
        <v>0</v>
      </c>
      <c r="AM21">
        <f>S</f>
        <v>100</v>
      </c>
      <c r="AP21">
        <f>BS_put(S,AJ21,rf,q,T,X)</f>
        <v>21.784253084185089</v>
      </c>
      <c r="AQ21">
        <f>in_val_put(S,AJ21,rf,q,T,X)</f>
        <v>0</v>
      </c>
      <c r="AR21">
        <f>X*EXP(-rf*T)</f>
        <v>97.044553354850819</v>
      </c>
      <c r="AX21">
        <v>0.06</v>
      </c>
      <c r="AY21">
        <f>BS_call(S,σ,AX21,q,T,X)</f>
        <v>17.916744955131385</v>
      </c>
      <c r="AZ21">
        <f>S</f>
        <v>100</v>
      </c>
      <c r="BA21">
        <f>floor_call(S,σ,AX21,q,T,X)</f>
        <v>5.8235466415751347</v>
      </c>
      <c r="BD21">
        <f>BS_put(S,σ,AX21,q,T,X)</f>
        <v>12.093198313556243</v>
      </c>
      <c r="BE21">
        <f>in_val_put(S,σ,AX21,q,T,X)</f>
        <v>0</v>
      </c>
      <c r="BF21">
        <f>X*EXP(-AX21*T)</f>
        <v>94.176453358424865</v>
      </c>
    </row>
    <row r="22" spans="1:58" ht="25.5" x14ac:dyDescent="0.25">
      <c r="A22" s="1">
        <v>7</v>
      </c>
      <c r="B22" s="1">
        <f>BS_call(A22,σ,rf,q,T,X)</f>
        <v>6.0678801346844447E-12</v>
      </c>
      <c r="C22">
        <f t="shared" si="0"/>
        <v>7</v>
      </c>
      <c r="D22">
        <f>in_val_call(A22,σ,rf,q,T,X)</f>
        <v>0</v>
      </c>
      <c r="G22">
        <f>BS_put(A22,σ,rf,q,T,X)</f>
        <v>90.044553354856887</v>
      </c>
      <c r="H22">
        <f>X*EXP(-rf*T)</f>
        <v>97.044553354850819</v>
      </c>
      <c r="I22">
        <f>in_val_put(A22,σ,rf,q,T,X)</f>
        <v>93</v>
      </c>
      <c r="L22">
        <v>7</v>
      </c>
      <c r="M22">
        <f>BS_call(S,σ,rf,q,T,L22)</f>
        <v>93.206881265162423</v>
      </c>
      <c r="N22">
        <f>S</f>
        <v>100</v>
      </c>
      <c r="O22">
        <f>in_val_call(S,σ,rf,q,T,L22)</f>
        <v>93</v>
      </c>
      <c r="Q22" s="3">
        <f>BS_put(S,σ,rf,q,T,L22)</f>
        <v>1.9837183915630843E-12</v>
      </c>
      <c r="R22">
        <f>L22*EXP(-rf*T)</f>
        <v>6.793118734839557</v>
      </c>
      <c r="S22">
        <f>in_val_put(S,σ,rf,q,T,L22)</f>
        <v>0</v>
      </c>
      <c r="W22">
        <v>0.7</v>
      </c>
      <c r="X22">
        <f>BS_call(S,σ,rf,q,W22,X)</f>
        <v>13.734137701745148</v>
      </c>
      <c r="Y22">
        <f>S</f>
        <v>100</v>
      </c>
      <c r="Z22">
        <f>in_val_call(S,σ,rf,q,W22,X)</f>
        <v>0</v>
      </c>
      <c r="AC22">
        <f>BS_put(S,σ,rf,q,W22,X)</f>
        <v>11.656034158691099</v>
      </c>
      <c r="AD22">
        <f>X*EXP(-rf*W22)</f>
        <v>97.921896456945959</v>
      </c>
      <c r="AE22">
        <f>in_val_put(S,σ,rf,q,W22,X)</f>
        <v>0</v>
      </c>
      <c r="AJ22">
        <v>0.7</v>
      </c>
      <c r="AK22">
        <f>BS_call(S,AJ22,rf,q,T,X)</f>
        <v>28.463218132771097</v>
      </c>
      <c r="AL22">
        <f>in_val_call(S,AJ22,rf,q,T,X)</f>
        <v>0</v>
      </c>
      <c r="AM22">
        <f>S</f>
        <v>100</v>
      </c>
      <c r="AP22">
        <f>BS_put(S,AJ22,rf,q,T,X)</f>
        <v>25.50777148762193</v>
      </c>
      <c r="AQ22">
        <f>in_val_put(S,AJ22,rf,q,T,X)</f>
        <v>0</v>
      </c>
      <c r="AR22">
        <f>X*EXP(-rf*T)</f>
        <v>97.044553354850819</v>
      </c>
      <c r="AX22">
        <v>7.0000000000000007E-2</v>
      </c>
      <c r="AY22">
        <f>BS_call(S,σ,AX22,q,T,X)</f>
        <v>18.376358357297583</v>
      </c>
      <c r="AZ22">
        <f>S</f>
        <v>100</v>
      </c>
      <c r="BA22">
        <f>floor_call(S,σ,AX22,q,T,X)</f>
        <v>6.760618009405178</v>
      </c>
      <c r="BD22">
        <f>BS_put(S,σ,AX22,q,T,X)</f>
        <v>11.615740347892398</v>
      </c>
      <c r="BE22">
        <f>in_val_put(S,σ,AX22,q,T,X)</f>
        <v>0</v>
      </c>
      <c r="BF22">
        <f>X*EXP(-AX22*T)</f>
        <v>93.239381990594822</v>
      </c>
    </row>
    <row r="23" spans="1:58" ht="25.5" x14ac:dyDescent="0.25">
      <c r="A23" s="1">
        <v>8</v>
      </c>
      <c r="B23" s="1">
        <f>BS_call(A23,σ,rf,q,T,X)</f>
        <v>7.1816816427662705E-11</v>
      </c>
      <c r="C23">
        <f t="shared" si="0"/>
        <v>8</v>
      </c>
      <c r="D23">
        <f>in_val_call(A23,σ,rf,q,T,X)</f>
        <v>0</v>
      </c>
      <c r="G23">
        <f>BS_put(A23,σ,rf,q,T,X)</f>
        <v>89.044553354922641</v>
      </c>
      <c r="H23">
        <f>X*EXP(-rf*T)</f>
        <v>97.044553354850819</v>
      </c>
      <c r="I23">
        <f>in_val_put(A23,σ,rf,q,T,X)</f>
        <v>92</v>
      </c>
      <c r="L23">
        <v>8</v>
      </c>
      <c r="M23">
        <f>BS_call(S,σ,rf,q,T,L23)</f>
        <v>92.236435731636661</v>
      </c>
      <c r="N23">
        <f>S</f>
        <v>100</v>
      </c>
      <c r="O23">
        <f>in_val_call(S,σ,rf,q,T,L23)</f>
        <v>92</v>
      </c>
      <c r="Q23" s="3">
        <f>BS_put(S,σ,rf,q,T,L23)</f>
        <v>2.4731345095219884E-11</v>
      </c>
      <c r="R23">
        <f>L23*EXP(-rf*T)</f>
        <v>7.7635642683880652</v>
      </c>
      <c r="S23">
        <f>in_val_put(S,σ,rf,q,T,L23)</f>
        <v>0</v>
      </c>
      <c r="W23">
        <v>0.8</v>
      </c>
      <c r="X23">
        <f>BS_call(S,σ,rf,q,W23,X)</f>
        <v>14.732894176723505</v>
      </c>
      <c r="Y23">
        <f>S</f>
        <v>100</v>
      </c>
      <c r="Z23">
        <f>in_val_call(S,σ,rf,q,W23,X)</f>
        <v>0</v>
      </c>
      <c r="AC23">
        <f>BS_put(S,σ,rf,q,W23,X)</f>
        <v>12.361465152514441</v>
      </c>
      <c r="AD23">
        <f>X*EXP(-rf*W23)</f>
        <v>97.628570975790936</v>
      </c>
      <c r="AE23">
        <f>in_val_put(S,σ,rf,q,W23,X)</f>
        <v>0</v>
      </c>
      <c r="AJ23">
        <v>0.8</v>
      </c>
      <c r="AK23">
        <f>BS_call(S,AJ23,rf,q,T,X)</f>
        <v>32.123135757654047</v>
      </c>
      <c r="AL23">
        <f>in_val_call(S,AJ23,rf,q,T,X)</f>
        <v>0</v>
      </c>
      <c r="AM23">
        <f>S</f>
        <v>100</v>
      </c>
      <c r="AP23">
        <f>BS_put(S,AJ23,rf,q,T,X)</f>
        <v>29.167689112504867</v>
      </c>
      <c r="AQ23">
        <f>in_val_put(S,AJ23,rf,q,T,X)</f>
        <v>0</v>
      </c>
      <c r="AR23">
        <f>X*EXP(-rf*T)</f>
        <v>97.044553354850819</v>
      </c>
      <c r="AX23">
        <v>0.08</v>
      </c>
      <c r="AY23">
        <f>BS_call(S,σ,AX23,q,T,X)</f>
        <v>18.841006098917411</v>
      </c>
      <c r="AZ23">
        <f>S</f>
        <v>100</v>
      </c>
      <c r="BA23">
        <f>floor_call(S,σ,AX23,q,T,X)</f>
        <v>7.6883653613364231</v>
      </c>
      <c r="BD23">
        <f>BS_put(S,σ,AX23,q,T,X)</f>
        <v>11.152640737580981</v>
      </c>
      <c r="BE23">
        <f>in_val_put(S,σ,AX23,q,T,X)</f>
        <v>0</v>
      </c>
      <c r="BF23">
        <f>X*EXP(-AX23*T)</f>
        <v>92.311634638663577</v>
      </c>
    </row>
    <row r="24" spans="1:58" ht="25.5" x14ac:dyDescent="0.25">
      <c r="A24" s="1">
        <v>9</v>
      </c>
      <c r="B24" s="1">
        <f>BS_call(A24,σ,rf,q,T,X)</f>
        <v>5.7708298282254981E-10</v>
      </c>
      <c r="C24">
        <f t="shared" si="0"/>
        <v>9</v>
      </c>
      <c r="D24">
        <f>in_val_call(A24,σ,rf,q,T,X)</f>
        <v>0</v>
      </c>
      <c r="G24">
        <f>BS_put(A24,σ,rf,q,T,X)</f>
        <v>88.044553355427908</v>
      </c>
      <c r="H24">
        <f>X*EXP(-rf*T)</f>
        <v>97.044553354850819</v>
      </c>
      <c r="I24">
        <f>in_val_put(A24,σ,rf,q,T,X)</f>
        <v>91</v>
      </c>
      <c r="L24">
        <v>9</v>
      </c>
      <c r="M24">
        <f>BS_call(S,σ,rf,q,T,L24)</f>
        <v>91.265990198271439</v>
      </c>
      <c r="N24">
        <f>S</f>
        <v>100</v>
      </c>
      <c r="O24">
        <f>in_val_call(S,σ,rf,q,T,L24)</f>
        <v>91</v>
      </c>
      <c r="Q24" s="3">
        <f>BS_put(S,σ,rf,q,T,L24)</f>
        <v>2.0802157432665343E-10</v>
      </c>
      <c r="R24">
        <f>L24*EXP(-rf*T)</f>
        <v>8.7340098019365726</v>
      </c>
      <c r="S24">
        <f>in_val_put(S,σ,rf,q,T,L24)</f>
        <v>0</v>
      </c>
      <c r="W24">
        <v>0.9</v>
      </c>
      <c r="X24">
        <f>BS_call(S,σ,rf,q,W24,X)</f>
        <v>15.675042188241825</v>
      </c>
      <c r="Y24">
        <f>S</f>
        <v>100</v>
      </c>
      <c r="Z24">
        <f>in_val_call(S,σ,rf,q,W24,X)</f>
        <v>0</v>
      </c>
      <c r="AC24">
        <f>BS_put(S,σ,rf,q,W24,X)</f>
        <v>13.011166340675508</v>
      </c>
      <c r="AD24">
        <f>X*EXP(-rf*W24)</f>
        <v>97.336124152433683</v>
      </c>
      <c r="AE24">
        <f>in_val_put(S,σ,rf,q,W24,X)</f>
        <v>0</v>
      </c>
      <c r="AJ24">
        <v>0.9</v>
      </c>
      <c r="AK24">
        <f>BS_call(S,AJ24,rf,q,T,X)</f>
        <v>35.711238042984583</v>
      </c>
      <c r="AL24">
        <f>in_val_call(S,AJ24,rf,q,T,X)</f>
        <v>0</v>
      </c>
      <c r="AM24">
        <f>S</f>
        <v>100</v>
      </c>
      <c r="AP24">
        <f>BS_put(S,AJ24,rf,q,T,X)</f>
        <v>32.755791397835395</v>
      </c>
      <c r="AQ24">
        <f>in_val_put(S,AJ24,rf,q,T,X)</f>
        <v>0</v>
      </c>
      <c r="AR24">
        <f>X*EXP(-rf*T)</f>
        <v>97.044553354850819</v>
      </c>
      <c r="AX24">
        <v>0.09</v>
      </c>
      <c r="AY24">
        <f>BS_call(S,σ,AX24,q,T,X)</f>
        <v>19.31054197416767</v>
      </c>
      <c r="AZ24">
        <f>S</f>
        <v>100</v>
      </c>
      <c r="BA24">
        <f>floor_call(S,σ,AX24,q,T,X)</f>
        <v>8.606881472877177</v>
      </c>
      <c r="BD24">
        <f>BS_put(S,σ,AX24,q,T,X)</f>
        <v>10.7036605012905</v>
      </c>
      <c r="BE24">
        <f>in_val_put(S,σ,AX24,q,T,X)</f>
        <v>0</v>
      </c>
      <c r="BF24">
        <f>X*EXP(-AX24*T)</f>
        <v>91.393118527122823</v>
      </c>
    </row>
    <row r="25" spans="1:58" ht="25.5" x14ac:dyDescent="0.25">
      <c r="A25" s="1">
        <v>10</v>
      </c>
      <c r="B25" s="1">
        <f>BS_call(A25,σ,rf,q,T,X)</f>
        <v>3.450379027926914E-9</v>
      </c>
      <c r="C25">
        <f t="shared" si="0"/>
        <v>10</v>
      </c>
      <c r="D25">
        <f>in_val_call(A25,σ,rf,q,T,X)</f>
        <v>0</v>
      </c>
      <c r="G25">
        <f>BS_put(A25,σ,rf,q,T,X)</f>
        <v>87.044553358301201</v>
      </c>
      <c r="H25">
        <f>X*EXP(-rf*T)</f>
        <v>97.044553354850819</v>
      </c>
      <c r="I25">
        <f>in_val_put(A25,σ,rf,q,T,X)</f>
        <v>90</v>
      </c>
      <c r="L25">
        <v>10</v>
      </c>
      <c r="M25">
        <f>BS_call(S,σ,rf,q,T,L25)</f>
        <v>90.295544665810411</v>
      </c>
      <c r="N25">
        <f>S</f>
        <v>100</v>
      </c>
      <c r="O25">
        <f>in_val_call(S,σ,rf,q,T,L25)</f>
        <v>90</v>
      </c>
      <c r="Q25" s="3">
        <f>BS_put(S,σ,rf,q,T,L25)</f>
        <v>1.2954844910626476E-9</v>
      </c>
      <c r="R25">
        <f>L25*EXP(-rf*T)</f>
        <v>9.7044553354850809</v>
      </c>
      <c r="S25">
        <f>in_val_put(S,σ,rf,q,T,L25)</f>
        <v>0</v>
      </c>
      <c r="W25">
        <v>1</v>
      </c>
      <c r="X25">
        <f>BS_call(S,σ,rf,q,W25,X)</f>
        <v>16.569509243211563</v>
      </c>
      <c r="Y25">
        <f>S</f>
        <v>100</v>
      </c>
      <c r="Z25">
        <f>in_val_call(S,σ,rf,q,W25,X)</f>
        <v>0</v>
      </c>
      <c r="AC25">
        <f>BS_put(S,σ,rf,q,W25,X)</f>
        <v>13.614062598062382</v>
      </c>
      <c r="AD25">
        <f>X*EXP(-rf*W25)</f>
        <v>97.044553354850819</v>
      </c>
      <c r="AE25">
        <f>in_val_put(S,σ,rf,q,W25,X)</f>
        <v>0</v>
      </c>
      <c r="AJ25">
        <v>1</v>
      </c>
      <c r="AK25">
        <f>BS_call(S,AJ25,rf,q,T,X)</f>
        <v>39.219964679795261</v>
      </c>
      <c r="AL25">
        <f>in_val_call(S,AJ25,rf,q,T,X)</f>
        <v>0</v>
      </c>
      <c r="AM25">
        <f>S</f>
        <v>100</v>
      </c>
      <c r="AP25">
        <f>BS_put(S,AJ25,rf,q,T,X)</f>
        <v>36.264518034646073</v>
      </c>
      <c r="AQ25">
        <f>in_val_put(S,AJ25,rf,q,T,X)</f>
        <v>0</v>
      </c>
      <c r="AR25">
        <f>X*EXP(-rf*T)</f>
        <v>97.044553354850819</v>
      </c>
      <c r="AX25">
        <v>0.1</v>
      </c>
      <c r="AY25">
        <f>BS_call(S,σ,AX25,q,T,X)</f>
        <v>19.784815849946135</v>
      </c>
      <c r="AZ25">
        <f>S</f>
        <v>100</v>
      </c>
      <c r="BA25">
        <f>floor_call(S,σ,AX25,q,T,X)</f>
        <v>9.5162581964040527</v>
      </c>
      <c r="BD25">
        <f>BS_put(S,σ,AX25,q,T,X)</f>
        <v>10.268557653542089</v>
      </c>
      <c r="BE25">
        <f>in_val_put(S,σ,AX25,q,T,X)</f>
        <v>0</v>
      </c>
      <c r="BF25">
        <f>X*EXP(-AX25*T)</f>
        <v>90.483741803595947</v>
      </c>
    </row>
    <row r="26" spans="1:58" ht="25.5" x14ac:dyDescent="0.25">
      <c r="A26" s="1">
        <v>11</v>
      </c>
      <c r="B26" s="1">
        <f>BS_call(A26,σ,rf,q,T,X)</f>
        <v>1.635744030548058E-8</v>
      </c>
      <c r="C26">
        <f t="shared" si="0"/>
        <v>11</v>
      </c>
      <c r="D26">
        <f>in_val_call(A26,σ,rf,q,T,X)</f>
        <v>0</v>
      </c>
      <c r="G26">
        <f>BS_put(A26,σ,rf,q,T,X)</f>
        <v>86.044553371208266</v>
      </c>
      <c r="H26">
        <f>X*EXP(-rf*T)</f>
        <v>97.044553354850819</v>
      </c>
      <c r="I26">
        <f>in_val_put(A26,σ,rf,q,T,X)</f>
        <v>89</v>
      </c>
      <c r="L26">
        <v>11</v>
      </c>
      <c r="M26">
        <f>BS_call(S,σ,rf,q,T,L26)</f>
        <v>89.325099137337787</v>
      </c>
      <c r="N26">
        <f>S</f>
        <v>100</v>
      </c>
      <c r="O26">
        <f>in_val_call(S,σ,rf,q,T,L26)</f>
        <v>89</v>
      </c>
      <c r="Q26" s="3">
        <f>BS_put(S,σ,rf,q,T,L26)</f>
        <v>6.371388322911951E-9</v>
      </c>
      <c r="R26">
        <f>L26*EXP(-rf*T)</f>
        <v>10.674900869033589</v>
      </c>
      <c r="S26">
        <f>in_val_put(S,σ,rf,q,T,L26)</f>
        <v>0</v>
      </c>
      <c r="W26">
        <v>1.1000000000000001</v>
      </c>
      <c r="X26">
        <f>BS_call(S,σ,rf,q,W26,X)</f>
        <v>17.423048687136067</v>
      </c>
      <c r="Y26">
        <f>S</f>
        <v>100</v>
      </c>
      <c r="Z26">
        <f>in_val_call(S,σ,rf,q,W26,X)</f>
        <v>0</v>
      </c>
      <c r="AC26">
        <f>BS_put(S,σ,rf,q,W26,X)</f>
        <v>14.176904646039254</v>
      </c>
      <c r="AD26">
        <f>X*EXP(-rf*W26)</f>
        <v>96.753855958903202</v>
      </c>
      <c r="AE26">
        <f>in_val_put(S,σ,rf,q,W26,X)</f>
        <v>0</v>
      </c>
      <c r="AJ26">
        <v>1.1000000000000001</v>
      </c>
      <c r="AK26">
        <f>BS_call(S,AJ26,rf,q,T,X)</f>
        <v>42.642389613377269</v>
      </c>
      <c r="AL26">
        <f>in_val_call(S,AJ26,rf,q,T,X)</f>
        <v>0</v>
      </c>
      <c r="AM26">
        <f>S</f>
        <v>100</v>
      </c>
      <c r="AP26">
        <f>BS_put(S,AJ26,rf,q,T,X)</f>
        <v>39.686942968228095</v>
      </c>
      <c r="AQ26">
        <f>in_val_put(S,AJ26,rf,q,T,X)</f>
        <v>0</v>
      </c>
      <c r="AR26">
        <f>X*EXP(-rf*T)</f>
        <v>97.044553354850819</v>
      </c>
      <c r="AX26">
        <v>0.11</v>
      </c>
      <c r="AY26">
        <f>BS_call(S,σ,AX26,q,T,X)</f>
        <v>20.263673898400441</v>
      </c>
      <c r="AZ26">
        <f>S</f>
        <v>100</v>
      </c>
      <c r="BA26">
        <f>floor_call(S,σ,AX26,q,T,X)</f>
        <v>10.416586470347184</v>
      </c>
      <c r="BD26">
        <f>BS_put(S,σ,AX26,q,T,X)</f>
        <v>9.8470874280532499</v>
      </c>
      <c r="BE26">
        <f>in_val_put(S,σ,AX26,q,T,X)</f>
        <v>0</v>
      </c>
      <c r="BF26">
        <f>X*EXP(-AX26*T)</f>
        <v>89.583413529652816</v>
      </c>
    </row>
    <row r="27" spans="1:58" ht="25.5" x14ac:dyDescent="0.25">
      <c r="A27" s="1">
        <v>12</v>
      </c>
      <c r="B27" s="1">
        <f>BS_call(A27,σ,rf,q,T,X)</f>
        <v>6.4365019685376627E-8</v>
      </c>
      <c r="C27">
        <f t="shared" si="0"/>
        <v>12</v>
      </c>
      <c r="D27">
        <f>in_val_call(A27,σ,rf,q,T,X)</f>
        <v>0</v>
      </c>
      <c r="G27">
        <f>BS_put(A27,σ,rf,q,T,X)</f>
        <v>85.044553419215831</v>
      </c>
      <c r="H27">
        <f>X*EXP(-rf*T)</f>
        <v>97.044553354850819</v>
      </c>
      <c r="I27">
        <f>in_val_put(A27,σ,rf,q,T,X)</f>
        <v>88</v>
      </c>
      <c r="L27">
        <v>12</v>
      </c>
      <c r="M27">
        <f>BS_call(S,σ,rf,q,T,L27)</f>
        <v>88.354653623340795</v>
      </c>
      <c r="N27">
        <f>S</f>
        <v>100</v>
      </c>
      <c r="O27">
        <f>in_val_call(S,σ,rf,q,T,L27)</f>
        <v>88</v>
      </c>
      <c r="Q27" s="3">
        <f>BS_put(S,σ,rf,q,T,L27)</f>
        <v>2.5922894365622274E-8</v>
      </c>
      <c r="R27">
        <f>L27*EXP(-rf*T)</f>
        <v>11.645346402582097</v>
      </c>
      <c r="S27">
        <f>in_val_put(S,σ,rf,q,T,L27)</f>
        <v>0</v>
      </c>
      <c r="W27">
        <v>1.2</v>
      </c>
      <c r="X27">
        <f>BS_call(S,σ,rf,q,W27,X)</f>
        <v>18.240918048665577</v>
      </c>
      <c r="Y27">
        <f>S</f>
        <v>100</v>
      </c>
      <c r="Z27">
        <f>in_val_call(S,σ,rf,q,W27,X)</f>
        <v>0</v>
      </c>
      <c r="AC27">
        <f>BS_put(S,σ,rf,q,W27,X)</f>
        <v>14.704947396977886</v>
      </c>
      <c r="AD27">
        <f>X*EXP(-rf*W27)</f>
        <v>96.464029348312309</v>
      </c>
      <c r="AE27">
        <f>in_val_put(S,σ,rf,q,W27,X)</f>
        <v>0</v>
      </c>
      <c r="AJ27">
        <v>1.2</v>
      </c>
      <c r="AK27">
        <f>BS_call(S,AJ27,rf,q,T,X)</f>
        <v>45.972226379026957</v>
      </c>
      <c r="AL27">
        <f>in_val_call(S,AJ27,rf,q,T,X)</f>
        <v>0</v>
      </c>
      <c r="AM27">
        <f>S</f>
        <v>100</v>
      </c>
      <c r="AP27">
        <f>BS_put(S,AJ27,rf,q,T,X)</f>
        <v>43.016779733877769</v>
      </c>
      <c r="AQ27">
        <f>in_val_put(S,AJ27,rf,q,T,X)</f>
        <v>0</v>
      </c>
      <c r="AR27">
        <f>X*EXP(-rf*T)</f>
        <v>97.044553354850819</v>
      </c>
      <c r="AX27">
        <v>0.12</v>
      </c>
      <c r="AY27">
        <f>BS_call(S,σ,AX27,q,T,X)</f>
        <v>20.746958835443003</v>
      </c>
      <c r="AZ27">
        <f>S</f>
        <v>100</v>
      </c>
      <c r="BA27">
        <f>floor_call(S,σ,AX27,q,T,X)</f>
        <v>11.307956328284249</v>
      </c>
      <c r="BD27">
        <f>BS_put(S,σ,AX27,q,T,X)</f>
        <v>9.4390025071587331</v>
      </c>
      <c r="BE27">
        <f>in_val_put(S,σ,AX27,q,T,X)</f>
        <v>0</v>
      </c>
      <c r="BF27">
        <f>X*EXP(-AX27*T)</f>
        <v>88.692043671715751</v>
      </c>
    </row>
    <row r="28" spans="1:58" ht="25.5" x14ac:dyDescent="0.25">
      <c r="A28" s="1">
        <v>13</v>
      </c>
      <c r="B28" s="1">
        <f>BS_call(A28,σ,rf,q,T,X)</f>
        <v>2.1747154114171288E-7</v>
      </c>
      <c r="C28">
        <f t="shared" si="0"/>
        <v>13</v>
      </c>
      <c r="D28">
        <f>in_val_call(A28,σ,rf,q,T,X)</f>
        <v>0</v>
      </c>
      <c r="G28">
        <f>BS_put(A28,σ,rf,q,T,X)</f>
        <v>84.044553572322357</v>
      </c>
      <c r="H28">
        <f>X*EXP(-rf*T)</f>
        <v>97.044553354850819</v>
      </c>
      <c r="I28">
        <f>in_val_put(A28,σ,rf,q,T,X)</f>
        <v>87</v>
      </c>
      <c r="L28">
        <v>13</v>
      </c>
      <c r="M28">
        <f>BS_call(S,σ,rf,q,T,L28)</f>
        <v>87.38420815418084</v>
      </c>
      <c r="N28">
        <f>S</f>
        <v>100</v>
      </c>
      <c r="O28">
        <f>in_val_call(S,σ,rf,q,T,L28)</f>
        <v>87</v>
      </c>
      <c r="Q28" s="3">
        <f>BS_put(S,σ,rf,q,T,L28)</f>
        <v>9.0311448713290076E-8</v>
      </c>
      <c r="R28">
        <f>L28*EXP(-rf*T)</f>
        <v>12.615791936130606</v>
      </c>
      <c r="S28">
        <f>in_val_put(S,σ,rf,q,T,L28)</f>
        <v>0</v>
      </c>
      <c r="W28">
        <v>1.3</v>
      </c>
      <c r="X28">
        <f>BS_call(S,σ,rf,q,W28,X)</f>
        <v>19.027307099933424</v>
      </c>
      <c r="Y28">
        <f>S</f>
        <v>100</v>
      </c>
      <c r="Z28">
        <f>in_val_call(S,σ,rf,q,W28,X)</f>
        <v>0</v>
      </c>
      <c r="AC28">
        <f>BS_put(S,σ,rf,q,W28,X)</f>
        <v>15.202378014570101</v>
      </c>
      <c r="AD28">
        <f>X*EXP(-rf*W28)</f>
        <v>96.175070914636677</v>
      </c>
      <c r="AE28">
        <f>in_val_put(S,σ,rf,q,W28,X)</f>
        <v>0</v>
      </c>
      <c r="AJ28">
        <v>1.3</v>
      </c>
      <c r="AK28">
        <f>BS_call(S,AJ28,rf,q,T,X)</f>
        <v>49.203841346465737</v>
      </c>
      <c r="AL28">
        <f>in_val_call(S,AJ28,rf,q,T,X)</f>
        <v>0</v>
      </c>
      <c r="AM28">
        <f>S</f>
        <v>100</v>
      </c>
      <c r="AP28">
        <f>BS_put(S,AJ28,rf,q,T,X)</f>
        <v>46.248394701316556</v>
      </c>
      <c r="AQ28">
        <f>in_val_put(S,AJ28,rf,q,T,X)</f>
        <v>0</v>
      </c>
      <c r="AR28">
        <f>X*EXP(-rf*T)</f>
        <v>97.044553354850819</v>
      </c>
      <c r="AX28">
        <v>0.13</v>
      </c>
      <c r="AY28">
        <f>BS_call(S,σ,AX28,q,T,X)</f>
        <v>21.234510164557584</v>
      </c>
      <c r="AZ28">
        <f>S</f>
        <v>100</v>
      </c>
      <c r="BA28">
        <f>floor_call(S,σ,AX28,q,T,X)</f>
        <v>12.190456907943869</v>
      </c>
      <c r="BD28">
        <f>BS_put(S,σ,AX28,q,T,X)</f>
        <v>9.044053256613708</v>
      </c>
      <c r="BE28">
        <f>in_val_put(S,σ,AX28,q,T,X)</f>
        <v>0</v>
      </c>
      <c r="BF28">
        <f>X*EXP(-AX28*T)</f>
        <v>87.809543092056131</v>
      </c>
    </row>
    <row r="29" spans="1:58" ht="25.5" x14ac:dyDescent="0.25">
      <c r="A29" s="1">
        <v>14</v>
      </c>
      <c r="B29" s="1">
        <f>BS_call(A29,σ,rf,q,T,X)</f>
        <v>6.4739954677905324E-7</v>
      </c>
      <c r="C29">
        <f t="shared" si="0"/>
        <v>14</v>
      </c>
      <c r="D29">
        <f>in_val_call(A29,σ,rf,q,T,X)</f>
        <v>0</v>
      </c>
      <c r="G29">
        <f>BS_put(A29,σ,rf,q,T,X)</f>
        <v>83.044554002250379</v>
      </c>
      <c r="H29">
        <f>X*EXP(-rf*T)</f>
        <v>97.044553354850819</v>
      </c>
      <c r="I29">
        <f>in_val_put(A29,σ,rf,q,T,X)</f>
        <v>86</v>
      </c>
      <c r="L29">
        <v>14</v>
      </c>
      <c r="M29">
        <f>BS_call(S,σ,rf,q,T,L29)</f>
        <v>86.413762806881635</v>
      </c>
      <c r="N29">
        <f>S</f>
        <v>100</v>
      </c>
      <c r="O29">
        <f>in_val_call(S,σ,rf,q,T,L29)</f>
        <v>86</v>
      </c>
      <c r="Q29" s="3">
        <f>BS_put(S,σ,rf,q,T,L29)</f>
        <v>2.7656074477604813E-7</v>
      </c>
      <c r="R29">
        <f>L29*EXP(-rf*T)</f>
        <v>13.586237469679114</v>
      </c>
      <c r="S29">
        <f>in_val_put(S,σ,rf,q,T,L29)</f>
        <v>0</v>
      </c>
      <c r="W29">
        <v>1.4</v>
      </c>
      <c r="X29">
        <f>BS_call(S,σ,rf,q,W29,X)</f>
        <v>19.785620062307501</v>
      </c>
      <c r="Y29">
        <f>S</f>
        <v>100</v>
      </c>
      <c r="Z29">
        <f>in_val_call(S,σ,rf,q,W29,X)</f>
        <v>0</v>
      </c>
      <c r="AC29">
        <f>BS_put(S,σ,rf,q,W29,X)</f>
        <v>15.672598119555957</v>
      </c>
      <c r="AD29">
        <f>X*EXP(-rf*W29)</f>
        <v>95.886978057248456</v>
      </c>
      <c r="AE29">
        <f>in_val_put(S,σ,rf,q,W29,X)</f>
        <v>0</v>
      </c>
      <c r="AJ29">
        <v>1.4</v>
      </c>
      <c r="AK29">
        <f>BS_call(S,AJ29,rf,q,T,X)</f>
        <v>52.332267332735128</v>
      </c>
      <c r="AL29">
        <f>in_val_call(S,AJ29,rf,q,T,X)</f>
        <v>0</v>
      </c>
      <c r="AM29">
        <f>S</f>
        <v>100</v>
      </c>
      <c r="AP29">
        <f>BS_put(S,AJ29,rf,q,T,X)</f>
        <v>49.376820687585933</v>
      </c>
      <c r="AQ29">
        <f>in_val_put(S,AJ29,rf,q,T,X)</f>
        <v>0</v>
      </c>
      <c r="AR29">
        <f>X*EXP(-rf*T)</f>
        <v>97.044553354850819</v>
      </c>
      <c r="AX29">
        <v>0.14000000000000001</v>
      </c>
      <c r="AY29">
        <f>BS_call(S,σ,AX29,q,T,X)</f>
        <v>21.726164425192167</v>
      </c>
      <c r="AZ29">
        <f>S</f>
        <v>100</v>
      </c>
      <c r="BA29">
        <f>floor_call(S,σ,AX29,q,T,X)</f>
        <v>13.064176460119413</v>
      </c>
      <c r="BD29">
        <f>BS_put(S,σ,AX29,q,T,X)</f>
        <v>8.6619879650727434</v>
      </c>
      <c r="BE29">
        <f>in_val_put(S,σ,AX29,q,T,X)</f>
        <v>0</v>
      </c>
      <c r="BF29">
        <f>X*EXP(-AX29*T)</f>
        <v>86.935823539880587</v>
      </c>
    </row>
    <row r="30" spans="1:58" ht="25.5" x14ac:dyDescent="0.25">
      <c r="A30" s="1">
        <v>15</v>
      </c>
      <c r="B30" s="1">
        <f>BS_call(A30,σ,rf,q,T,X)</f>
        <v>1.7324235449130088E-6</v>
      </c>
      <c r="C30">
        <f t="shared" si="0"/>
        <v>15</v>
      </c>
      <c r="D30">
        <f>in_val_call(A30,σ,rf,q,T,X)</f>
        <v>0</v>
      </c>
      <c r="G30">
        <f>BS_put(A30,σ,rf,q,T,X)</f>
        <v>82.044555087274361</v>
      </c>
      <c r="H30">
        <f>X*EXP(-rf*T)</f>
        <v>97.044553354850819</v>
      </c>
      <c r="I30">
        <f>in_val_put(A30,σ,rf,q,T,X)</f>
        <v>85</v>
      </c>
      <c r="L30">
        <v>15</v>
      </c>
      <c r="M30">
        <f>BS_call(S,σ,rf,q,T,L30)</f>
        <v>85.44331775650862</v>
      </c>
      <c r="N30">
        <f>S</f>
        <v>100</v>
      </c>
      <c r="O30">
        <f>in_val_call(S,σ,rf,q,T,L30)</f>
        <v>85</v>
      </c>
      <c r="Q30" s="3">
        <f>BS_put(S,σ,rf,q,T,L30)</f>
        <v>7.5973624410890925E-7</v>
      </c>
      <c r="R30">
        <f>L30*EXP(-rf*T)</f>
        <v>14.556683003227622</v>
      </c>
      <c r="S30">
        <f>in_val_put(S,σ,rf,q,T,L30)</f>
        <v>0</v>
      </c>
      <c r="W30">
        <v>1.5</v>
      </c>
      <c r="X30">
        <f>BS_call(S,σ,rf,q,W30,X)</f>
        <v>20.518668484168344</v>
      </c>
      <c r="Y30">
        <f>S</f>
        <v>100</v>
      </c>
      <c r="Z30">
        <f>in_val_call(S,σ,rf,q,W30,X)</f>
        <v>0</v>
      </c>
      <c r="AC30">
        <f>BS_put(S,σ,rf,q,W30,X)</f>
        <v>16.118416667478343</v>
      </c>
      <c r="AD30">
        <f>X*EXP(-rf*W30)</f>
        <v>95.599748183309998</v>
      </c>
      <c r="AE30">
        <f>in_val_put(S,σ,rf,q,W30,X)</f>
        <v>0</v>
      </c>
      <c r="AJ30">
        <v>1.5</v>
      </c>
      <c r="AK30">
        <f>BS_call(S,AJ30,rf,q,T,X)</f>
        <v>55.353214065528661</v>
      </c>
      <c r="AL30">
        <f>in_val_call(S,AJ30,rf,q,T,X)</f>
        <v>0</v>
      </c>
      <c r="AM30">
        <f>S</f>
        <v>100</v>
      </c>
      <c r="AP30">
        <f>BS_put(S,AJ30,rf,q,T,X)</f>
        <v>52.397767420379481</v>
      </c>
      <c r="AQ30">
        <f>in_val_put(S,AJ30,rf,q,T,X)</f>
        <v>0</v>
      </c>
      <c r="AR30">
        <f>X*EXP(-rf*T)</f>
        <v>97.044553354850819</v>
      </c>
      <c r="AX30">
        <v>0.15</v>
      </c>
      <c r="AY30">
        <f>BS_call(S,σ,AX30,q,T,X)</f>
        <v>22.221755445024108</v>
      </c>
      <c r="AZ30">
        <f>S</f>
        <v>100</v>
      </c>
      <c r="BA30">
        <f>floor_call(S,σ,AX30,q,T,X)</f>
        <v>13.929202357494219</v>
      </c>
      <c r="BD30">
        <f>BS_put(S,σ,AX30,q,T,X)</f>
        <v>8.2925530875298854</v>
      </c>
      <c r="BE30">
        <f>in_val_put(S,σ,AX30,q,T,X)</f>
        <v>0</v>
      </c>
      <c r="BF30">
        <f>X*EXP(-AX30*T)</f>
        <v>86.070797642505781</v>
      </c>
    </row>
    <row r="31" spans="1:58" ht="25.5" x14ac:dyDescent="0.25">
      <c r="A31" s="1">
        <v>16</v>
      </c>
      <c r="B31" s="1">
        <f>BS_call(A31,σ,rf,q,T,X)</f>
        <v>4.2336894622861302E-6</v>
      </c>
      <c r="C31">
        <f t="shared" si="0"/>
        <v>16</v>
      </c>
      <c r="D31">
        <f>in_val_call(A31,σ,rf,q,T,X)</f>
        <v>0</v>
      </c>
      <c r="G31">
        <f>BS_put(A31,σ,rf,q,T,X)</f>
        <v>81.044557588540286</v>
      </c>
      <c r="H31">
        <f>X*EXP(-rf*T)</f>
        <v>97.044553354850819</v>
      </c>
      <c r="I31">
        <f>in_val_put(A31,σ,rf,q,T,X)</f>
        <v>84</v>
      </c>
      <c r="L31">
        <v>16</v>
      </c>
      <c r="M31">
        <f>BS_call(S,σ,rf,q,T,L31)</f>
        <v>84.472873365815516</v>
      </c>
      <c r="N31">
        <f>S</f>
        <v>100</v>
      </c>
      <c r="O31">
        <f>in_val_call(S,σ,rf,q,T,L31)</f>
        <v>84</v>
      </c>
      <c r="Q31" s="3">
        <f>BS_put(S,σ,rf,q,T,L31)</f>
        <v>1.9025916477491711E-6</v>
      </c>
      <c r="R31">
        <f>L31*EXP(-rf*T)</f>
        <v>15.52712853677613</v>
      </c>
      <c r="S31">
        <f>in_val_put(S,σ,rf,q,T,L31)</f>
        <v>0</v>
      </c>
      <c r="W31">
        <v>1.6</v>
      </c>
      <c r="X31">
        <f>BS_call(S,σ,rf,q,W31,X)</f>
        <v>21.228807112617503</v>
      </c>
      <c r="Y31">
        <f>S</f>
        <v>100</v>
      </c>
      <c r="Z31">
        <f>in_val_call(S,σ,rf,q,W31,X)</f>
        <v>0</v>
      </c>
      <c r="AC31">
        <f>BS_put(S,σ,rf,q,W31,X)</f>
        <v>16.542185820367983</v>
      </c>
      <c r="AD31">
        <f>X*EXP(-rf*W31)</f>
        <v>95.313378707750473</v>
      </c>
      <c r="AE31">
        <f>in_val_put(S,σ,rf,q,W31,X)</f>
        <v>0</v>
      </c>
      <c r="AJ31">
        <v>1.6</v>
      </c>
      <c r="AK31">
        <f>BS_call(S,AJ31,rf,q,T,X)</f>
        <v>58.263073799010144</v>
      </c>
      <c r="AL31">
        <f>in_val_call(S,AJ31,rf,q,T,X)</f>
        <v>0</v>
      </c>
      <c r="AM31">
        <f>S</f>
        <v>100</v>
      </c>
      <c r="AP31">
        <f>BS_put(S,AJ31,rf,q,T,X)</f>
        <v>55.307627153860956</v>
      </c>
      <c r="AQ31">
        <f>in_val_put(S,AJ31,rf,q,T,X)</f>
        <v>0</v>
      </c>
      <c r="AR31">
        <f>X*EXP(-rf*T)</f>
        <v>97.044553354850819</v>
      </c>
      <c r="AX31">
        <v>0.16</v>
      </c>
      <c r="AY31">
        <f>BS_call(S,σ,AX31,q,T,X)</f>
        <v>22.721114595378452</v>
      </c>
      <c r="AZ31">
        <f>S</f>
        <v>100</v>
      </c>
      <c r="BA31">
        <f>floor_call(S,σ,AX31,q,T,X)</f>
        <v>14.785621103378872</v>
      </c>
      <c r="BD31">
        <f>BS_put(S,σ,AX31,q,T,X)</f>
        <v>7.9354934919995799</v>
      </c>
      <c r="BE31">
        <f>in_val_put(S,σ,AX31,q,T,X)</f>
        <v>0</v>
      </c>
      <c r="BF31">
        <f>X*EXP(-AX31*T)</f>
        <v>85.214378896621128</v>
      </c>
    </row>
    <row r="32" spans="1:58" ht="25.5" x14ac:dyDescent="0.25">
      <c r="A32" s="1">
        <v>17</v>
      </c>
      <c r="B32" s="1">
        <f>BS_call(A32,σ,rf,q,T,X)</f>
        <v>9.5693593551405773E-6</v>
      </c>
      <c r="C32">
        <f t="shared" si="0"/>
        <v>17</v>
      </c>
      <c r="D32">
        <f>in_val_call(A32,σ,rf,q,T,X)</f>
        <v>0</v>
      </c>
      <c r="G32">
        <f>BS_put(A32,σ,rf,q,T,X)</f>
        <v>80.044562924210169</v>
      </c>
      <c r="H32">
        <f>X*EXP(-rf*T)</f>
        <v>97.044553354850819</v>
      </c>
      <c r="I32">
        <f>in_val_put(A32,σ,rf,q,T,X)</f>
        <v>83</v>
      </c>
      <c r="L32">
        <v>17</v>
      </c>
      <c r="M32">
        <f>BS_call(S,σ,rf,q,T,L32)</f>
        <v>83.502430329627586</v>
      </c>
      <c r="N32">
        <f>S</f>
        <v>100</v>
      </c>
      <c r="O32">
        <f>in_val_call(S,σ,rf,q,T,L32)</f>
        <v>83</v>
      </c>
      <c r="Q32" s="3">
        <f>BS_put(S,σ,rf,q,T,L32)</f>
        <v>4.3999522111216888E-6</v>
      </c>
      <c r="R32">
        <f>L32*EXP(-rf*T)</f>
        <v>16.497574070324639</v>
      </c>
      <c r="S32">
        <f>in_val_put(S,σ,rf,q,T,L32)</f>
        <v>0</v>
      </c>
      <c r="W32">
        <v>1.7</v>
      </c>
      <c r="X32">
        <f>BS_call(S,σ,rf,q,W32,X)</f>
        <v>21.91803210299792</v>
      </c>
      <c r="Y32">
        <f>S</f>
        <v>100</v>
      </c>
      <c r="Z32">
        <f>in_val_call(S,σ,rf,q,W32,X)</f>
        <v>0</v>
      </c>
      <c r="AC32">
        <f>BS_put(S,σ,rf,q,W32,X)</f>
        <v>16.945899156240621</v>
      </c>
      <c r="AD32">
        <f>X*EXP(-rf*W32)</f>
        <v>95.027867053242701</v>
      </c>
      <c r="AE32">
        <f>in_val_put(S,σ,rf,q,W32,X)</f>
        <v>0</v>
      </c>
      <c r="AJ32">
        <v>1.7</v>
      </c>
      <c r="AK32">
        <f>BS_call(S,AJ32,rf,q,T,X)</f>
        <v>61.058921294011014</v>
      </c>
      <c r="AL32">
        <f>in_val_call(S,AJ32,rf,q,T,X)</f>
        <v>0</v>
      </c>
      <c r="AM32">
        <f>S</f>
        <v>100</v>
      </c>
      <c r="AP32">
        <f>BS_put(S,AJ32,rf,q,T,X)</f>
        <v>58.103474648861834</v>
      </c>
      <c r="AQ32">
        <f>in_val_put(S,AJ32,rf,q,T,X)</f>
        <v>0</v>
      </c>
      <c r="AR32">
        <f>X*EXP(-rf*T)</f>
        <v>97.044553354850819</v>
      </c>
      <c r="AX32">
        <v>0.17</v>
      </c>
      <c r="AY32">
        <f>BS_call(S,σ,AX32,q,T,X)</f>
        <v>23.224071049077601</v>
      </c>
      <c r="AZ32">
        <f>S</f>
        <v>100</v>
      </c>
      <c r="BA32">
        <f>floor_call(S,σ,AX32,q,T,X)</f>
        <v>15.633518340361633</v>
      </c>
      <c r="BD32">
        <f>BS_put(S,σ,AX32,q,T,X)</f>
        <v>7.5905527087159754</v>
      </c>
      <c r="BE32">
        <f>in_val_put(S,σ,AX32,q,T,X)</f>
        <v>0</v>
      </c>
      <c r="BF32">
        <f>X*EXP(-AX32*T)</f>
        <v>84.366481659638367</v>
      </c>
    </row>
    <row r="33" spans="1:58" ht="25.5" x14ac:dyDescent="0.25">
      <c r="A33" s="1">
        <v>18</v>
      </c>
      <c r="B33" s="1">
        <f>BS_call(A33,σ,rf,q,T,X)</f>
        <v>2.0213124719624837E-5</v>
      </c>
      <c r="C33">
        <f t="shared" si="0"/>
        <v>18</v>
      </c>
      <c r="D33">
        <f>in_val_call(A33,σ,rf,q,T,X)</f>
        <v>0</v>
      </c>
      <c r="G33">
        <f>BS_put(A33,σ,rf,q,T,X)</f>
        <v>79.044573567975547</v>
      </c>
      <c r="H33">
        <f>X*EXP(-rf*T)</f>
        <v>97.044553354850819</v>
      </c>
      <c r="I33">
        <f>in_val_put(A33,σ,rf,q,T,X)</f>
        <v>82</v>
      </c>
      <c r="L33">
        <v>18</v>
      </c>
      <c r="M33">
        <f>BS_call(S,σ,rf,q,T,L33)</f>
        <v>82.531989892006038</v>
      </c>
      <c r="N33">
        <f>S</f>
        <v>100</v>
      </c>
      <c r="O33">
        <f>in_val_call(S,σ,rf,q,T,L33)</f>
        <v>82</v>
      </c>
      <c r="Q33" s="3">
        <f>BS_put(S,σ,rf,q,T,L33)</f>
        <v>9.4958791732731535E-6</v>
      </c>
      <c r="R33">
        <f>L33*EXP(-rf*T)</f>
        <v>17.468019603873145</v>
      </c>
      <c r="S33">
        <f>in_val_put(S,σ,rf,q,T,L33)</f>
        <v>0</v>
      </c>
      <c r="W33">
        <v>1.8</v>
      </c>
      <c r="X33">
        <f>BS_call(S,σ,rf,q,W33,X)</f>
        <v>22.58805359820856</v>
      </c>
      <c r="Y33">
        <f>S</f>
        <v>100</v>
      </c>
      <c r="Z33">
        <f>in_val_call(S,σ,rf,q,W33,X)</f>
        <v>0</v>
      </c>
      <c r="AC33">
        <f>BS_put(S,σ,rf,q,W33,X)</f>
        <v>17.331264248388393</v>
      </c>
      <c r="AD33">
        <f>X*EXP(-rf*W33)</f>
        <v>94.743210650179833</v>
      </c>
      <c r="AE33">
        <f>in_val_put(S,σ,rf,q,W33,X)</f>
        <v>0</v>
      </c>
      <c r="AJ33">
        <v>1.8</v>
      </c>
      <c r="AK33">
        <f>BS_call(S,AJ33,rf,q,T,X)</f>
        <v>63.738507875708137</v>
      </c>
      <c r="AL33">
        <f>in_val_call(S,AJ33,rf,q,T,X)</f>
        <v>0</v>
      </c>
      <c r="AM33">
        <f>S</f>
        <v>100</v>
      </c>
      <c r="AP33">
        <f>BS_put(S,AJ33,rf,q,T,X)</f>
        <v>60.783061230558957</v>
      </c>
      <c r="AQ33">
        <f>in_val_put(S,AJ33,rf,q,T,X)</f>
        <v>0</v>
      </c>
      <c r="AR33">
        <f>X*EXP(-rf*T)</f>
        <v>97.044553354850819</v>
      </c>
      <c r="AX33">
        <v>0.18</v>
      </c>
      <c r="AY33">
        <f>BS_call(S,σ,AX33,q,T,X)</f>
        <v>23.73045204000087</v>
      </c>
      <c r="AZ33">
        <f>S</f>
        <v>100</v>
      </c>
      <c r="BA33">
        <f>floor_call(S,σ,AX33,q,T,X)</f>
        <v>16.472978858872807</v>
      </c>
      <c r="BD33">
        <f>BS_put(S,σ,AX33,q,T,X)</f>
        <v>7.2574731811280593</v>
      </c>
      <c r="BE33">
        <f>in_val_put(S,σ,AX33,q,T,X)</f>
        <v>0</v>
      </c>
      <c r="BF33">
        <f>X*EXP(-AX33*T)</f>
        <v>83.527021141127193</v>
      </c>
    </row>
    <row r="34" spans="1:58" ht="25.5" x14ac:dyDescent="0.25">
      <c r="A34" s="1">
        <v>19</v>
      </c>
      <c r="B34" s="1">
        <f>BS_call(A34,σ,rf,q,T,X)</f>
        <v>4.0240749328823201E-5</v>
      </c>
      <c r="C34">
        <f t="shared" si="0"/>
        <v>19</v>
      </c>
      <c r="D34">
        <f>in_val_call(A34,σ,rf,q,T,X)</f>
        <v>0</v>
      </c>
      <c r="G34">
        <f>BS_put(A34,σ,rf,q,T,X)</f>
        <v>78.044593595600148</v>
      </c>
      <c r="H34">
        <f>X*EXP(-rf*T)</f>
        <v>97.044553354850819</v>
      </c>
      <c r="I34">
        <f>in_val_put(A34,σ,rf,q,T,X)</f>
        <v>81</v>
      </c>
      <c r="L34">
        <v>19</v>
      </c>
      <c r="M34">
        <f>BS_call(S,σ,rf,q,T,L34)</f>
        <v>81.561554154139458</v>
      </c>
      <c r="N34">
        <f>S</f>
        <v>100</v>
      </c>
      <c r="O34">
        <f>in_val_call(S,σ,rf,q,T,L34)</f>
        <v>81</v>
      </c>
      <c r="Q34" s="3">
        <f>BS_put(S,σ,rf,q,T,L34)</f>
        <v>1.9291561106896571E-5</v>
      </c>
      <c r="R34">
        <f>L34*EXP(-rf*T)</f>
        <v>18.438465137421655</v>
      </c>
      <c r="S34">
        <f>in_val_put(S,σ,rf,q,T,L34)</f>
        <v>0</v>
      </c>
      <c r="W34">
        <v>1.9</v>
      </c>
      <c r="X34">
        <f>BS_call(S,σ,rf,q,W34,X)</f>
        <v>23.240350413366208</v>
      </c>
      <c r="Y34">
        <f>S</f>
        <v>100</v>
      </c>
      <c r="Z34">
        <f>in_val_call(S,σ,rf,q,W34,X)</f>
        <v>0</v>
      </c>
      <c r="AC34">
        <f>BS_put(S,σ,rf,q,W34,X)</f>
        <v>17.69975735001853</v>
      </c>
      <c r="AD34">
        <f>X*EXP(-rf*W34)</f>
        <v>94.459406936652329</v>
      </c>
      <c r="AE34">
        <f>in_val_put(S,σ,rf,q,W34,X)</f>
        <v>0</v>
      </c>
      <c r="AJ34">
        <v>1.9</v>
      </c>
      <c r="AK34">
        <f>BS_call(S,AJ34,rf,q,T,X)</f>
        <v>66.300249584848643</v>
      </c>
      <c r="AL34">
        <f>in_val_call(S,AJ34,rf,q,T,X)</f>
        <v>0</v>
      </c>
      <c r="AM34">
        <f>S</f>
        <v>100</v>
      </c>
      <c r="AP34">
        <f>BS_put(S,AJ34,rf,q,T,X)</f>
        <v>63.344802939699449</v>
      </c>
      <c r="AQ34">
        <f>in_val_put(S,AJ34,rf,q,T,X)</f>
        <v>0</v>
      </c>
      <c r="AR34">
        <f>X*EXP(-rf*T)</f>
        <v>97.044553354850819</v>
      </c>
      <c r="AX34">
        <v>0.19</v>
      </c>
      <c r="AY34">
        <f>BS_call(S,σ,AX34,q,T,X)</f>
        <v>24.240083123636019</v>
      </c>
      <c r="AZ34">
        <f>S</f>
        <v>100</v>
      </c>
      <c r="BA34">
        <f>floor_call(S,σ,AX34,q,T,X)</f>
        <v>17.30408660566377</v>
      </c>
      <c r="BD34">
        <f>BS_put(S,σ,AX34,q,T,X)</f>
        <v>6.9359965179722494</v>
      </c>
      <c r="BE34">
        <f>in_val_put(S,σ,AX34,q,T,X)</f>
        <v>0</v>
      </c>
      <c r="BF34">
        <f>X*EXP(-AX34*T)</f>
        <v>82.69591339433623</v>
      </c>
    </row>
    <row r="35" spans="1:58" ht="25.5" x14ac:dyDescent="0.25">
      <c r="A35" s="1">
        <v>20</v>
      </c>
      <c r="B35" s="1">
        <f>BS_call(A35,σ,rf,q,T,X)</f>
        <v>7.6042404278583607E-5</v>
      </c>
      <c r="C35">
        <f t="shared" si="0"/>
        <v>20</v>
      </c>
      <c r="D35">
        <f>in_val_call(A35,σ,rf,q,T,X)</f>
        <v>0</v>
      </c>
      <c r="G35">
        <f>BS_put(A35,σ,rf,q,T,X)</f>
        <v>77.044629397255108</v>
      </c>
      <c r="H35">
        <f>X*EXP(-rf*T)</f>
        <v>97.044553354850819</v>
      </c>
      <c r="I35">
        <f>in_val_put(A35,σ,rf,q,T,X)</f>
        <v>80</v>
      </c>
      <c r="L35">
        <v>20</v>
      </c>
      <c r="M35">
        <f>BS_call(S,σ,rf,q,T,L35)</f>
        <v>80.591126488930797</v>
      </c>
      <c r="N35">
        <f>S</f>
        <v>100</v>
      </c>
      <c r="O35">
        <f>in_val_call(S,σ,rf,q,T,L35)</f>
        <v>80</v>
      </c>
      <c r="Q35" s="3">
        <f>BS_put(S,σ,rf,q,T,L35)</f>
        <v>3.7159900952659741E-5</v>
      </c>
      <c r="R35">
        <f>L35*EXP(-rf*T)</f>
        <v>19.408910670970162</v>
      </c>
      <c r="S35">
        <f>in_val_put(S,σ,rf,q,T,L35)</f>
        <v>0</v>
      </c>
      <c r="W35">
        <v>2</v>
      </c>
      <c r="X35">
        <f>BS_call(S,σ,rf,q,W35,X)</f>
        <v>23.876211943862515</v>
      </c>
      <c r="Y35">
        <f>S</f>
        <v>100</v>
      </c>
      <c r="Z35">
        <f>in_val_call(S,σ,rf,q,W35,X)</f>
        <v>0</v>
      </c>
      <c r="AC35">
        <f>BS_put(S,σ,rf,q,W35,X)</f>
        <v>18.052665302287373</v>
      </c>
      <c r="AD35">
        <f>X*EXP(-rf*W35)</f>
        <v>94.176453358424865</v>
      </c>
      <c r="AE35">
        <f>in_val_put(S,σ,rf,q,W35,X)</f>
        <v>0</v>
      </c>
      <c r="AJ35">
        <v>2</v>
      </c>
      <c r="AK35">
        <f>BS_call(S,AJ35,rf,q,T,X)</f>
        <v>68.74320963729744</v>
      </c>
      <c r="AL35">
        <f>in_val_call(S,AJ35,rf,q,T,X)</f>
        <v>0</v>
      </c>
      <c r="AM35">
        <f>S</f>
        <v>100</v>
      </c>
      <c r="AP35">
        <f>BS_put(S,AJ35,rf,q,T,X)</f>
        <v>65.787762992148259</v>
      </c>
      <c r="AQ35">
        <f>in_val_put(S,AJ35,rf,q,T,X)</f>
        <v>0</v>
      </c>
      <c r="AR35">
        <f>X*EXP(-rf*T)</f>
        <v>97.044553354850819</v>
      </c>
      <c r="AX35">
        <v>0.2</v>
      </c>
      <c r="AY35">
        <f>BS_call(S,σ,AX35,q,T,X)</f>
        <v>24.752788437911057</v>
      </c>
      <c r="AZ35">
        <f>S</f>
        <v>100</v>
      </c>
      <c r="BA35">
        <f>floor_call(S,σ,AX35,q,T,X)</f>
        <v>18.126924692201811</v>
      </c>
      <c r="BD35">
        <f>BS_put(S,σ,AX35,q,T,X)</f>
        <v>6.6258637457092533</v>
      </c>
      <c r="BE35">
        <f>in_val_put(S,σ,AX35,q,T,X)</f>
        <v>0</v>
      </c>
      <c r="BF35">
        <f>X*EXP(-AX35*T)</f>
        <v>81.873075307798189</v>
      </c>
    </row>
    <row r="36" spans="1:58" ht="25.5" x14ac:dyDescent="0.25">
      <c r="A36" s="1">
        <v>21</v>
      </c>
      <c r="B36" s="1">
        <f>BS_call(A36,σ,rf,q,T,X)</f>
        <v>1.3721016580646407E-4</v>
      </c>
      <c r="C36">
        <f t="shared" si="0"/>
        <v>21</v>
      </c>
      <c r="D36">
        <f>in_val_call(A36,σ,rf,q,T,X)</f>
        <v>0</v>
      </c>
      <c r="G36">
        <f>BS_put(A36,σ,rf,q,T,X)</f>
        <v>76.044690565016623</v>
      </c>
      <c r="H36">
        <f>X*EXP(-rf*T)</f>
        <v>97.044553354850819</v>
      </c>
      <c r="I36">
        <f>in_val_put(A36,σ,rf,q,T,X)</f>
        <v>79</v>
      </c>
      <c r="L36">
        <v>21</v>
      </c>
      <c r="M36">
        <f>BS_call(S,σ,rf,q,T,L36)</f>
        <v>79.620712074456947</v>
      </c>
      <c r="N36">
        <f>S</f>
        <v>100</v>
      </c>
      <c r="O36">
        <f>in_val_call(S,σ,rf,q,T,L36)</f>
        <v>79</v>
      </c>
      <c r="Q36" s="3">
        <f>BS_put(S,σ,rf,q,T,L36)</f>
        <v>6.8278975621301045E-5</v>
      </c>
      <c r="R36">
        <f>L36*EXP(-rf*T)</f>
        <v>20.379356204518672</v>
      </c>
      <c r="S36">
        <f>in_val_put(S,σ,rf,q,T,L36)</f>
        <v>0</v>
      </c>
      <c r="W36">
        <v>2.1</v>
      </c>
      <c r="X36">
        <f>BS_call(S,σ,rf,q,W36,X)</f>
        <v>24.496770769251064</v>
      </c>
      <c r="Y36">
        <f>S</f>
        <v>100</v>
      </c>
      <c r="Z36">
        <f>in_val_call(S,σ,rf,q,W36,X)</f>
        <v>0</v>
      </c>
      <c r="AC36">
        <f>BS_put(S,σ,rf,q,W36,X)</f>
        <v>18.391118138164373</v>
      </c>
      <c r="AD36">
        <f>X*EXP(-rf*W36)</f>
        <v>93.894347368913316</v>
      </c>
      <c r="AE36">
        <f>in_val_put(S,σ,rf,q,W36,X)</f>
        <v>0</v>
      </c>
      <c r="AJ36">
        <v>2.1</v>
      </c>
      <c r="AK36">
        <f>BS_call(S,AJ36,rf,q,T,X)</f>
        <v>71.067075545361064</v>
      </c>
      <c r="AL36">
        <f>in_val_call(S,AJ36,rf,q,T,X)</f>
        <v>0</v>
      </c>
      <c r="AM36">
        <f>S</f>
        <v>100</v>
      </c>
      <c r="AP36">
        <f>BS_put(S,AJ36,rf,q,T,X)</f>
        <v>68.111628900211883</v>
      </c>
      <c r="AQ36">
        <f>in_val_put(S,AJ36,rf,q,T,X)</f>
        <v>0</v>
      </c>
      <c r="AR36">
        <f>X*EXP(-rf*T)</f>
        <v>97.044553354850819</v>
      </c>
      <c r="AX36">
        <v>0.21</v>
      </c>
      <c r="AY36">
        <f>BS_call(S,σ,AX36,q,T,X)</f>
        <v>25.268390963603224</v>
      </c>
      <c r="AZ36">
        <f>S</f>
        <v>100</v>
      </c>
      <c r="BA36">
        <f>floor_call(S,σ,AX36,q,T,X)</f>
        <v>18.941575402981286</v>
      </c>
      <c r="BD36">
        <f>BS_put(S,σ,AX36,q,T,X)</f>
        <v>6.3268155606219416</v>
      </c>
      <c r="BE36">
        <f>in_val_put(S,σ,AX36,q,T,X)</f>
        <v>0</v>
      </c>
      <c r="BF36">
        <f>X*EXP(-AX36*T)</f>
        <v>81.058424597018714</v>
      </c>
    </row>
    <row r="37" spans="1:58" ht="25.5" x14ac:dyDescent="0.25">
      <c r="A37" s="1">
        <v>22</v>
      </c>
      <c r="B37" s="1">
        <f>BS_call(A37,σ,rf,q,T,X)</f>
        <v>2.3759999618804158E-4</v>
      </c>
      <c r="C37">
        <f t="shared" si="0"/>
        <v>22</v>
      </c>
      <c r="D37">
        <f>in_val_call(A37,σ,rf,q,T,X)</f>
        <v>0</v>
      </c>
      <c r="G37">
        <f>BS_put(A37,σ,rf,q,T,X)</f>
        <v>75.044790954847002</v>
      </c>
      <c r="H37">
        <f>X*EXP(-rf*T)</f>
        <v>97.044553354850819</v>
      </c>
      <c r="I37">
        <f>in_val_put(A37,σ,rf,q,T,X)</f>
        <v>78</v>
      </c>
      <c r="L37">
        <v>22</v>
      </c>
      <c r="M37">
        <f>BS_call(S,σ,rf,q,T,L37)</f>
        <v>78.650318553172212</v>
      </c>
      <c r="N37">
        <f>S</f>
        <v>100</v>
      </c>
      <c r="O37">
        <f>in_val_call(S,σ,rf,q,T,L37)</f>
        <v>78</v>
      </c>
      <c r="Q37" s="3">
        <f>BS_put(S,σ,rf,q,T,L37)</f>
        <v>1.2029123939260081E-4</v>
      </c>
      <c r="R37">
        <f>L37*EXP(-rf*T)</f>
        <v>21.349801738067178</v>
      </c>
      <c r="S37">
        <f>in_val_put(S,σ,rf,q,T,L37)</f>
        <v>0</v>
      </c>
      <c r="W37">
        <v>2.2000000000000002</v>
      </c>
      <c r="X37">
        <f>BS_call(S,σ,rf,q,W37,X)</f>
        <v>25.103028361826212</v>
      </c>
      <c r="Y37">
        <f>S</f>
        <v>100</v>
      </c>
      <c r="Z37">
        <f>in_val_call(S,σ,rf,q,W37,X)</f>
        <v>0</v>
      </c>
      <c r="AC37">
        <f>BS_put(S,σ,rf,q,W37,X)</f>
        <v>18.716114790988087</v>
      </c>
      <c r="AD37">
        <f>X*EXP(-rf*W37)</f>
        <v>93.613086429161882</v>
      </c>
      <c r="AE37">
        <f>in_val_put(S,σ,rf,q,W37,X)</f>
        <v>0</v>
      </c>
      <c r="AJ37">
        <v>2.2000000000000002</v>
      </c>
      <c r="AK37">
        <f>BS_call(S,AJ37,rf,q,T,X)</f>
        <v>73.272131354753199</v>
      </c>
      <c r="AL37">
        <f>in_val_call(S,AJ37,rf,q,T,X)</f>
        <v>0</v>
      </c>
      <c r="AM37">
        <f>S</f>
        <v>100</v>
      </c>
      <c r="AP37">
        <f>BS_put(S,AJ37,rf,q,T,X)</f>
        <v>70.316684709604019</v>
      </c>
      <c r="AQ37">
        <f>in_val_put(S,AJ37,rf,q,T,X)</f>
        <v>0</v>
      </c>
      <c r="AR37">
        <f>X*EXP(-rf*T)</f>
        <v>97.044553354850819</v>
      </c>
      <c r="AX37">
        <v>0.22</v>
      </c>
      <c r="AY37">
        <f>BS_call(S,σ,AX37,q,T,X)</f>
        <v>25.78671278363398</v>
      </c>
      <c r="AZ37">
        <f>S</f>
        <v>100</v>
      </c>
      <c r="BA37">
        <f>floor_call(S,σ,AX37,q,T,X)</f>
        <v>19.748120203752151</v>
      </c>
      <c r="BD37">
        <f>BS_put(S,σ,AX37,q,T,X)</f>
        <v>6.0385925798818221</v>
      </c>
      <c r="BE37">
        <f>in_val_put(S,σ,AX37,q,T,X)</f>
        <v>0</v>
      </c>
      <c r="BF37">
        <f>X*EXP(-AX37*T)</f>
        <v>80.251879796247849</v>
      </c>
    </row>
    <row r="38" spans="1:58" ht="25.5" x14ac:dyDescent="0.25">
      <c r="A38" s="1">
        <v>23</v>
      </c>
      <c r="B38" s="1">
        <f>BS_call(A38,σ,rf,q,T,X)</f>
        <v>3.9655680674199629E-4</v>
      </c>
      <c r="C38">
        <f t="shared" si="0"/>
        <v>23</v>
      </c>
      <c r="D38">
        <f>in_val_call(A38,σ,rf,q,T,X)</f>
        <v>0</v>
      </c>
      <c r="G38">
        <f>BS_put(A38,σ,rf,q,T,X)</f>
        <v>74.044949911657568</v>
      </c>
      <c r="H38">
        <f>X*EXP(-rf*T)</f>
        <v>97.044553354850819</v>
      </c>
      <c r="I38">
        <f>in_val_put(A38,σ,rf,q,T,X)</f>
        <v>77</v>
      </c>
      <c r="L38">
        <v>23</v>
      </c>
      <c r="M38">
        <f>BS_call(S,σ,rf,q,T,L38)</f>
        <v>77.6799568173778</v>
      </c>
      <c r="N38">
        <f>S</f>
        <v>100</v>
      </c>
      <c r="O38">
        <f>in_val_call(S,σ,rf,q,T,L38)</f>
        <v>77</v>
      </c>
      <c r="Q38" s="3">
        <f>BS_put(S,σ,rf,q,T,L38)</f>
        <v>2.0408899349029551E-4</v>
      </c>
      <c r="R38">
        <f>L38*EXP(-rf*T)</f>
        <v>22.320247271615688</v>
      </c>
      <c r="S38">
        <f>in_val_put(S,σ,rf,q,T,L38)</f>
        <v>0</v>
      </c>
      <c r="W38">
        <v>2.2999999999999998</v>
      </c>
      <c r="X38">
        <f>BS_call(S,σ,rf,q,W38,X)</f>
        <v>25.69587560432926</v>
      </c>
      <c r="Y38">
        <f>S</f>
        <v>100</v>
      </c>
      <c r="Z38">
        <f>in_val_call(S,σ,rf,q,W38,X)</f>
        <v>0</v>
      </c>
      <c r="AC38">
        <f>BS_put(S,σ,rf,q,W38,X)</f>
        <v>19.028543612149463</v>
      </c>
      <c r="AD38">
        <f>X*EXP(-rf*W38)</f>
        <v>93.332668007820203</v>
      </c>
      <c r="AE38">
        <f>in_val_put(S,σ,rf,q,W38,X)</f>
        <v>0</v>
      </c>
      <c r="AJ38">
        <v>2.2999999999999998</v>
      </c>
      <c r="AK38">
        <f>BS_call(S,AJ38,rf,q,T,X)</f>
        <v>75.359225524374537</v>
      </c>
      <c r="AL38">
        <f>in_val_call(S,AJ38,rf,q,T,X)</f>
        <v>0</v>
      </c>
      <c r="AM38">
        <f>S</f>
        <v>100</v>
      </c>
      <c r="AP38">
        <f>BS_put(S,AJ38,rf,q,T,X)</f>
        <v>72.403778879225356</v>
      </c>
      <c r="AQ38">
        <f>in_val_put(S,AJ38,rf,q,T,X)</f>
        <v>0</v>
      </c>
      <c r="AR38">
        <f>X*EXP(-rf*T)</f>
        <v>97.044553354850819</v>
      </c>
      <c r="AX38">
        <v>0.23</v>
      </c>
      <c r="AY38">
        <f>BS_call(S,σ,AX38,q,T,X)</f>
        <v>26.307575340573045</v>
      </c>
      <c r="AZ38">
        <f>S</f>
        <v>100</v>
      </c>
      <c r="BA38">
        <f>floor_call(S,σ,AX38,q,T,X)</f>
        <v>20.546639749666596</v>
      </c>
      <c r="BD38">
        <f>BS_put(S,σ,AX38,q,T,X)</f>
        <v>5.760935590906449</v>
      </c>
      <c r="BE38">
        <f>in_val_put(S,σ,AX38,q,T,X)</f>
        <v>0</v>
      </c>
      <c r="BF38">
        <f>X*EXP(-AX38*T)</f>
        <v>79.453360250333404</v>
      </c>
    </row>
    <row r="39" spans="1:58" ht="25.5" x14ac:dyDescent="0.25">
      <c r="A39" s="1">
        <v>24</v>
      </c>
      <c r="B39" s="1">
        <f>BS_call(A39,σ,rf,q,T,X)</f>
        <v>6.4028079401398305E-4</v>
      </c>
      <c r="C39">
        <f t="shared" si="0"/>
        <v>24</v>
      </c>
      <c r="D39">
        <f>in_val_call(A39,σ,rf,q,T,X)</f>
        <v>0</v>
      </c>
      <c r="G39">
        <f>BS_put(A39,σ,rf,q,T,X)</f>
        <v>73.045193635644836</v>
      </c>
      <c r="H39">
        <f>X*EXP(-rf*T)</f>
        <v>97.044553354850819</v>
      </c>
      <c r="I39">
        <f>in_val_put(A39,σ,rf,q,T,X)</f>
        <v>76</v>
      </c>
      <c r="L39">
        <v>24</v>
      </c>
      <c r="M39">
        <f>BS_call(S,σ,rf,q,T,L39)</f>
        <v>76.709641914645729</v>
      </c>
      <c r="N39">
        <f>S</f>
        <v>100</v>
      </c>
      <c r="O39">
        <f>in_val_call(S,σ,rf,q,T,L39)</f>
        <v>76</v>
      </c>
      <c r="Q39" s="3">
        <f>BS_put(S,σ,rf,q,T,L39)</f>
        <v>3.3471980992721582E-4</v>
      </c>
      <c r="R39">
        <f>L39*EXP(-rf*T)</f>
        <v>23.290692805164195</v>
      </c>
      <c r="S39">
        <f>in_val_put(S,σ,rf,q,T,L39)</f>
        <v>0</v>
      </c>
      <c r="W39">
        <v>2.4</v>
      </c>
      <c r="X39">
        <f>BS_call(S,σ,rf,q,W39,X)</f>
        <v>26.276109344361728</v>
      </c>
      <c r="Y39">
        <f>S</f>
        <v>100</v>
      </c>
      <c r="Z39">
        <f>in_val_call(S,σ,rf,q,W39,X)</f>
        <v>0</v>
      </c>
      <c r="AC39">
        <f>BS_put(S,σ,rf,q,W39,X)</f>
        <v>19.329198925482295</v>
      </c>
      <c r="AD39">
        <f>X*EXP(-rf*W39)</f>
        <v>93.053089581120574</v>
      </c>
      <c r="AE39">
        <f>in_val_put(S,σ,rf,q,W39,X)</f>
        <v>0</v>
      </c>
      <c r="AJ39">
        <v>2.4</v>
      </c>
      <c r="AK39">
        <f>BS_call(S,AJ39,rf,q,T,X)</f>
        <v>77.329735028297449</v>
      </c>
      <c r="AL39">
        <f>in_val_call(S,AJ39,rf,q,T,X)</f>
        <v>0</v>
      </c>
      <c r="AM39">
        <f>S</f>
        <v>100</v>
      </c>
      <c r="AP39">
        <f>BS_put(S,AJ39,rf,q,T,X)</f>
        <v>74.374288383148269</v>
      </c>
      <c r="AQ39">
        <f>in_val_put(S,AJ39,rf,q,T,X)</f>
        <v>0</v>
      </c>
      <c r="AR39">
        <f>X*EXP(-rf*T)</f>
        <v>97.044553354850819</v>
      </c>
      <c r="AX39">
        <v>0.24</v>
      </c>
      <c r="AY39">
        <f>BS_call(S,σ,AX39,q,T,X)</f>
        <v>26.830799691691155</v>
      </c>
      <c r="AZ39">
        <f>S</f>
        <v>100</v>
      </c>
      <c r="BA39">
        <f>floor_call(S,σ,AX39,q,T,X)</f>
        <v>21.337213893344654</v>
      </c>
      <c r="BD39">
        <f>BS_put(S,σ,AX39,q,T,X)</f>
        <v>5.4935857983464942</v>
      </c>
      <c r="BE39">
        <f>in_val_put(S,σ,AX39,q,T,X)</f>
        <v>0</v>
      </c>
      <c r="BF39">
        <f>X*EXP(-AX39*T)</f>
        <v>78.662786106655346</v>
      </c>
    </row>
    <row r="40" spans="1:58" ht="25.5" x14ac:dyDescent="0.25">
      <c r="A40" s="1">
        <v>25</v>
      </c>
      <c r="B40" s="1">
        <f>BS_call(A40,σ,rf,q,T,X)</f>
        <v>1.0033040056264975E-3</v>
      </c>
      <c r="C40">
        <f t="shared" si="0"/>
        <v>25</v>
      </c>
      <c r="D40">
        <f>in_val_call(A40,σ,rf,q,T,X)</f>
        <v>0</v>
      </c>
      <c r="G40">
        <f>BS_put(A40,σ,rf,q,T,X)</f>
        <v>72.045556658856441</v>
      </c>
      <c r="H40">
        <f>X*EXP(-rf*T)</f>
        <v>97.044553354850819</v>
      </c>
      <c r="I40">
        <f>in_val_put(A40,σ,rf,q,T,X)</f>
        <v>75</v>
      </c>
      <c r="L40">
        <v>25</v>
      </c>
      <c r="M40">
        <f>BS_call(S,σ,rf,q,T,L40)</f>
        <v>75.739394060130977</v>
      </c>
      <c r="N40">
        <f>S</f>
        <v>100</v>
      </c>
      <c r="O40">
        <f>in_val_call(S,σ,rf,q,T,L40)</f>
        <v>75</v>
      </c>
      <c r="Q40" s="3">
        <f>BS_put(S,σ,rf,q,T,L40)</f>
        <v>5.3239884369609466E-4</v>
      </c>
      <c r="R40">
        <f>L40*EXP(-rf*T)</f>
        <v>24.261138338712705</v>
      </c>
      <c r="S40">
        <f>in_val_put(S,σ,rf,q,T,L40)</f>
        <v>0</v>
      </c>
      <c r="W40">
        <v>2.5</v>
      </c>
      <c r="X40">
        <f>BS_call(S,σ,rf,q,W40,X)</f>
        <v>26.844445883888518</v>
      </c>
      <c r="Y40">
        <f>S</f>
        <v>100</v>
      </c>
      <c r="Z40">
        <f>in_val_call(S,σ,rf,q,W40,X)</f>
        <v>0</v>
      </c>
      <c r="AC40">
        <f>BS_put(S,σ,rf,q,W40,X)</f>
        <v>19.61879451674379</v>
      </c>
      <c r="AD40">
        <f>X*EXP(-rf*W40)</f>
        <v>92.774348632855279</v>
      </c>
      <c r="AE40">
        <f>in_val_put(S,σ,rf,q,W40,X)</f>
        <v>0</v>
      </c>
      <c r="AJ40">
        <v>2.5</v>
      </c>
      <c r="AK40">
        <f>BS_call(S,AJ40,rf,q,T,X)</f>
        <v>79.185526293941564</v>
      </c>
      <c r="AL40">
        <f>in_val_call(S,AJ40,rf,q,T,X)</f>
        <v>0</v>
      </c>
      <c r="AM40">
        <f>S</f>
        <v>100</v>
      </c>
      <c r="AP40">
        <f>BS_put(S,AJ40,rf,q,T,X)</f>
        <v>76.230079648792383</v>
      </c>
      <c r="AQ40">
        <f>in_val_put(S,AJ40,rf,q,T,X)</f>
        <v>0</v>
      </c>
      <c r="AR40">
        <f>X*EXP(-rf*T)</f>
        <v>97.044553354850819</v>
      </c>
      <c r="AX40">
        <v>0.25</v>
      </c>
      <c r="AY40">
        <f>BS_call(S,σ,AX40,q,T,X)</f>
        <v>27.356206760920003</v>
      </c>
      <c r="AZ40">
        <f>S</f>
        <v>100</v>
      </c>
      <c r="BA40">
        <f>floor_call(S,σ,AX40,q,T,X)</f>
        <v>22.119921692859506</v>
      </c>
      <c r="BD40">
        <f>BS_put(S,σ,AX40,q,T,X)</f>
        <v>5.2362850680604929</v>
      </c>
      <c r="BE40">
        <f>in_val_put(S,σ,AX40,q,T,X)</f>
        <v>0</v>
      </c>
      <c r="BF40">
        <f>X*EXP(-AX40*T)</f>
        <v>77.880078307140494</v>
      </c>
    </row>
    <row r="41" spans="1:58" ht="25.5" x14ac:dyDescent="0.25">
      <c r="A41" s="1">
        <v>26</v>
      </c>
      <c r="B41" s="1">
        <f>BS_call(A41,σ,rf,q,T,X)</f>
        <v>1.5300386887204878E-3</v>
      </c>
      <c r="C41">
        <f t="shared" si="0"/>
        <v>26</v>
      </c>
      <c r="D41">
        <f>in_val_call(A41,σ,rf,q,T,X)</f>
        <v>0</v>
      </c>
      <c r="G41">
        <f>BS_put(A41,σ,rf,q,T,X)</f>
        <v>71.046083393539533</v>
      </c>
      <c r="H41">
        <f>X*EXP(-rf*T)</f>
        <v>97.044553354850819</v>
      </c>
      <c r="I41">
        <f>in_val_put(A41,σ,rf,q,T,X)</f>
        <v>74</v>
      </c>
      <c r="L41">
        <v>26</v>
      </c>
      <c r="M41">
        <f>BS_call(S,σ,rf,q,T,L41)</f>
        <v>74.769239736541564</v>
      </c>
      <c r="N41">
        <f>S</f>
        <v>100</v>
      </c>
      <c r="O41">
        <f>in_val_call(S,σ,rf,q,T,L41)</f>
        <v>74</v>
      </c>
      <c r="Q41" s="3">
        <f>BS_put(S,σ,rf,q,T,L41)</f>
        <v>8.2360880276257688E-4</v>
      </c>
      <c r="R41">
        <f>L41*EXP(-rf*T)</f>
        <v>25.231583872261211</v>
      </c>
      <c r="S41">
        <f>in_val_put(S,σ,rf,q,T,L41)</f>
        <v>0</v>
      </c>
      <c r="W41">
        <v>2.6</v>
      </c>
      <c r="X41">
        <f>BS_call(S,σ,rf,q,W41,X)</f>
        <v>27.401532070893516</v>
      </c>
      <c r="Y41">
        <f>S</f>
        <v>100</v>
      </c>
      <c r="Z41">
        <f>in_val_call(S,σ,rf,q,W41,X)</f>
        <v>0</v>
      </c>
      <c r="AC41">
        <f>BS_put(S,σ,rf,q,W41,X)</f>
        <v>19.897974725247458</v>
      </c>
      <c r="AD41">
        <f>X*EXP(-rf*W41)</f>
        <v>92.496442654353928</v>
      </c>
      <c r="AE41">
        <f>in_val_put(S,σ,rf,q,W41,X)</f>
        <v>0</v>
      </c>
      <c r="AJ41">
        <v>2.6</v>
      </c>
      <c r="AK41">
        <f>BS_call(S,AJ41,rf,q,T,X)</f>
        <v>80.928913609615222</v>
      </c>
      <c r="AL41">
        <f>in_val_call(S,AJ41,rf,q,T,X)</f>
        <v>0</v>
      </c>
      <c r="AM41">
        <f>S</f>
        <v>100</v>
      </c>
      <c r="AP41">
        <f>BS_put(S,AJ41,rf,q,T,X)</f>
        <v>77.973466964466041</v>
      </c>
      <c r="AQ41">
        <f>in_val_put(S,AJ41,rf,q,T,X)</f>
        <v>0</v>
      </c>
      <c r="AR41">
        <f>X*EXP(-rf*T)</f>
        <v>97.044553354850819</v>
      </c>
      <c r="AX41">
        <v>0.26</v>
      </c>
      <c r="AY41">
        <f>BS_call(S,σ,AX41,q,T,X)</f>
        <v>27.883617587099835</v>
      </c>
      <c r="AZ41">
        <f>S</f>
        <v>100</v>
      </c>
      <c r="BA41">
        <f>floor_call(S,σ,AX41,q,T,X)</f>
        <v>22.89484141964337</v>
      </c>
      <c r="BD41">
        <f>BS_put(S,σ,AX41,q,T,X)</f>
        <v>4.9887761674564572</v>
      </c>
      <c r="BE41">
        <f>in_val_put(S,σ,AX41,q,T,X)</f>
        <v>0</v>
      </c>
      <c r="BF41">
        <f>X*EXP(-AX41*T)</f>
        <v>77.10515858035663</v>
      </c>
    </row>
    <row r="42" spans="1:58" ht="25.5" x14ac:dyDescent="0.25">
      <c r="A42" s="1">
        <v>27</v>
      </c>
      <c r="B42" s="1">
        <f>BS_call(A42,σ,rf,q,T,X)</f>
        <v>2.2763538213526127E-3</v>
      </c>
      <c r="C42">
        <f t="shared" si="0"/>
        <v>27</v>
      </c>
      <c r="D42">
        <f>in_val_call(A42,σ,rf,q,T,X)</f>
        <v>0</v>
      </c>
      <c r="G42">
        <f>BS_put(A42,σ,rf,q,T,X)</f>
        <v>70.046829708672163</v>
      </c>
      <c r="H42">
        <f>X*EXP(-rf*T)</f>
        <v>97.044553354850819</v>
      </c>
      <c r="I42">
        <f>in_val_put(A42,σ,rf,q,T,X)</f>
        <v>73</v>
      </c>
      <c r="L42">
        <v>27</v>
      </c>
      <c r="M42">
        <f>BS_call(S,σ,rf,q,T,L42)</f>
        <v>73.79921285736873</v>
      </c>
      <c r="N42">
        <f>S</f>
        <v>100</v>
      </c>
      <c r="O42">
        <f>in_val_call(S,σ,rf,q,T,L42)</f>
        <v>73</v>
      </c>
      <c r="Q42" s="3">
        <f>BS_put(S,σ,rf,q,T,L42)</f>
        <v>1.2422631784368022E-3</v>
      </c>
      <c r="R42">
        <f>L42*EXP(-rf*T)</f>
        <v>26.202029405809721</v>
      </c>
      <c r="S42">
        <f>in_val_put(S,σ,rf,q,T,L42)</f>
        <v>0</v>
      </c>
      <c r="W42">
        <v>2.7</v>
      </c>
      <c r="X42">
        <f>BS_call(S,σ,rf,q,W42,X)</f>
        <v>27.947954495069276</v>
      </c>
      <c r="Y42">
        <f>S</f>
        <v>100</v>
      </c>
      <c r="Z42">
        <f>in_val_call(S,σ,rf,q,W42,X)</f>
        <v>0</v>
      </c>
      <c r="AC42">
        <f>BS_put(S,σ,rf,q,W42,X)</f>
        <v>20.167323639530082</v>
      </c>
      <c r="AD42">
        <f>X*EXP(-rf*W42)</f>
        <v>92.219369144460799</v>
      </c>
      <c r="AE42">
        <f>in_val_put(S,σ,rf,q,W42,X)</f>
        <v>0</v>
      </c>
      <c r="AJ42">
        <v>2.7</v>
      </c>
      <c r="AK42">
        <f>BS_call(S,AJ42,rf,q,T,X)</f>
        <v>82.562615640009753</v>
      </c>
      <c r="AL42">
        <f>in_val_call(S,AJ42,rf,q,T,X)</f>
        <v>0</v>
      </c>
      <c r="AM42">
        <f>S</f>
        <v>100</v>
      </c>
      <c r="AP42">
        <f>BS_put(S,AJ42,rf,q,T,X)</f>
        <v>79.607168994860572</v>
      </c>
      <c r="AQ42">
        <f>in_val_put(S,AJ42,rf,q,T,X)</f>
        <v>0</v>
      </c>
      <c r="AR42">
        <f>X*EXP(-rf*T)</f>
        <v>97.044553354850819</v>
      </c>
      <c r="AX42">
        <v>0.27</v>
      </c>
      <c r="AY42">
        <f>BS_call(S,σ,AX42,q,T,X)</f>
        <v>28.412853567917601</v>
      </c>
      <c r="AZ42">
        <f>S</f>
        <v>100</v>
      </c>
      <c r="BA42">
        <f>floor_call(S,σ,AX42,q,T,X)</f>
        <v>23.66205056631469</v>
      </c>
      <c r="BD42">
        <f>BS_put(S,σ,AX42,q,T,X)</f>
        <v>4.7508030016029181</v>
      </c>
      <c r="BE42">
        <f>in_val_put(S,σ,AX42,q,T,X)</f>
        <v>0</v>
      </c>
      <c r="BF42">
        <f>X*EXP(-AX42*T)</f>
        <v>76.33794943368531</v>
      </c>
    </row>
    <row r="43" spans="1:58" ht="25.5" x14ac:dyDescent="0.25">
      <c r="A43" s="1">
        <v>28</v>
      </c>
      <c r="B43" s="1">
        <f>BS_call(A43,σ,rf,q,T,X)</f>
        <v>3.3111335085672274E-3</v>
      </c>
      <c r="C43">
        <f t="shared" si="0"/>
        <v>28</v>
      </c>
      <c r="D43">
        <f>in_val_call(A43,σ,rf,q,T,X)</f>
        <v>0</v>
      </c>
      <c r="G43">
        <f>BS_put(A43,σ,rf,q,T,X)</f>
        <v>69.04786448835938</v>
      </c>
      <c r="H43">
        <f>X*EXP(-rf*T)</f>
        <v>97.044553354850819</v>
      </c>
      <c r="I43">
        <f>in_val_put(A43,σ,rf,q,T,X)</f>
        <v>72</v>
      </c>
      <c r="L43">
        <v>28</v>
      </c>
      <c r="M43">
        <f>BS_call(S,σ,rf,q,T,L43)</f>
        <v>72.829355965095573</v>
      </c>
      <c r="N43">
        <f>S</f>
        <v>100</v>
      </c>
      <c r="O43">
        <f>in_val_call(S,σ,rf,q,T,L43)</f>
        <v>72</v>
      </c>
      <c r="Q43" s="3">
        <f>BS_put(S,σ,rf,q,T,L43)</f>
        <v>1.8309044538008072E-3</v>
      </c>
      <c r="R43">
        <f>L43*EXP(-rf*T)</f>
        <v>27.172474939358228</v>
      </c>
      <c r="S43">
        <f>in_val_put(S,σ,rf,q,T,L43)</f>
        <v>0</v>
      </c>
      <c r="W43">
        <v>2.8</v>
      </c>
      <c r="X43">
        <f>BS_call(S,σ,rf,q,W43,X)</f>
        <v>28.484247169730054</v>
      </c>
      <c r="Y43">
        <f>S</f>
        <v>100</v>
      </c>
      <c r="Z43">
        <f>in_val_call(S,σ,rf,q,W43,X)</f>
        <v>0</v>
      </c>
      <c r="AC43">
        <f>BS_put(S,σ,rf,q,W43,X)</f>
        <v>20.427372779242518</v>
      </c>
      <c r="AD43">
        <f>X*EXP(-rf*W43)</f>
        <v>91.943125609512464</v>
      </c>
      <c r="AE43">
        <f>in_val_put(S,σ,rf,q,W43,X)</f>
        <v>0</v>
      </c>
      <c r="AJ43">
        <v>2.8</v>
      </c>
      <c r="AK43">
        <f>BS_call(S,AJ43,rf,q,T,X)</f>
        <v>84.089710681241314</v>
      </c>
      <c r="AL43">
        <f>in_val_call(S,AJ43,rf,q,T,X)</f>
        <v>0</v>
      </c>
      <c r="AM43">
        <f>S</f>
        <v>100</v>
      </c>
      <c r="AP43">
        <f>BS_put(S,AJ43,rf,q,T,X)</f>
        <v>81.134264036092119</v>
      </c>
      <c r="AQ43">
        <f>in_val_put(S,AJ43,rf,q,T,X)</f>
        <v>0</v>
      </c>
      <c r="AR43">
        <f>X*EXP(-rf*T)</f>
        <v>97.044553354850819</v>
      </c>
      <c r="AX43">
        <v>0.28000000000000003</v>
      </c>
      <c r="AY43">
        <f>BS_call(S,σ,AX43,q,T,X)</f>
        <v>28.943736698964905</v>
      </c>
      <c r="AZ43">
        <f>S</f>
        <v>100</v>
      </c>
      <c r="BA43">
        <f>floor_call(S,σ,AX43,q,T,X)</f>
        <v>24.421625854427447</v>
      </c>
      <c r="BD43">
        <f>BS_put(S,σ,AX43,q,T,X)</f>
        <v>4.5221108445374476</v>
      </c>
      <c r="BE43">
        <f>in_val_put(S,σ,AX43,q,T,X)</f>
        <v>0</v>
      </c>
      <c r="BF43">
        <f>X*EXP(-AX43*T)</f>
        <v>75.578374145572553</v>
      </c>
    </row>
    <row r="44" spans="1:58" ht="25.5" x14ac:dyDescent="0.25">
      <c r="A44" s="1">
        <v>29</v>
      </c>
      <c r="B44" s="1">
        <f>BS_call(A44,σ,rf,q,T,X)</f>
        <v>4.717770612336171E-3</v>
      </c>
      <c r="C44">
        <f t="shared" si="0"/>
        <v>29</v>
      </c>
      <c r="D44">
        <f>in_val_call(A44,σ,rf,q,T,X)</f>
        <v>0</v>
      </c>
      <c r="G44">
        <f>BS_put(A44,σ,rf,q,T,X)</f>
        <v>68.04927112546315</v>
      </c>
      <c r="H44">
        <f>X*EXP(-rf*T)</f>
        <v>97.044553354850819</v>
      </c>
      <c r="I44">
        <f>in_val_put(A44,σ,rf,q,T,X)</f>
        <v>71</v>
      </c>
      <c r="L44">
        <v>29</v>
      </c>
      <c r="M44">
        <f>BS_call(S,σ,rf,q,T,L44)</f>
        <v>71.859721433653363</v>
      </c>
      <c r="N44">
        <f>S</f>
        <v>100</v>
      </c>
      <c r="O44">
        <f>in_val_call(S,σ,rf,q,T,L44)</f>
        <v>71</v>
      </c>
      <c r="Q44" s="3">
        <f>BS_put(S,σ,rf,q,T,L44)</f>
        <v>2.6419065600993517E-3</v>
      </c>
      <c r="R44">
        <f>L44*EXP(-rf*T)</f>
        <v>28.142920472906738</v>
      </c>
      <c r="S44">
        <f>in_val_put(S,σ,rf,q,T,L44)</f>
        <v>0</v>
      </c>
      <c r="W44">
        <v>2.9</v>
      </c>
      <c r="X44">
        <f>BS_call(S,σ,rf,q,W44,X)</f>
        <v>29.010897994232664</v>
      </c>
      <c r="Y44">
        <f>S</f>
        <v>100</v>
      </c>
      <c r="Z44">
        <f>in_val_call(S,σ,rf,q,W44,X)</f>
        <v>0</v>
      </c>
      <c r="AC44">
        <f>BS_put(S,σ,rf,q,W44,X)</f>
        <v>20.678607557547899</v>
      </c>
      <c r="AD44">
        <f>X*EXP(-rf*W44)</f>
        <v>91.667709563315228</v>
      </c>
      <c r="AE44">
        <f>in_val_put(S,σ,rf,q,W44,X)</f>
        <v>0</v>
      </c>
      <c r="AJ44">
        <v>2.9</v>
      </c>
      <c r="AK44">
        <f>BS_call(S,AJ44,rf,q,T,X)</f>
        <v>85.513591268938924</v>
      </c>
      <c r="AL44">
        <f>in_val_call(S,AJ44,rf,q,T,X)</f>
        <v>0</v>
      </c>
      <c r="AM44">
        <f>S</f>
        <v>100</v>
      </c>
      <c r="AP44">
        <f>BS_put(S,AJ44,rf,q,T,X)</f>
        <v>82.55814462378973</v>
      </c>
      <c r="AQ44">
        <f>in_val_put(S,AJ44,rf,q,T,X)</f>
        <v>0</v>
      </c>
      <c r="AR44">
        <f>X*EXP(-rf*T)</f>
        <v>97.044553354850819</v>
      </c>
      <c r="AX44">
        <v>0.28999999999999998</v>
      </c>
      <c r="AY44">
        <f>BS_call(S,σ,AX44,q,T,X)</f>
        <v>29.476089807371153</v>
      </c>
      <c r="AZ44">
        <f>S</f>
        <v>100</v>
      </c>
      <c r="BA44">
        <f>floor_call(S,σ,AX44,q,T,X)</f>
        <v>25.17364324214347</v>
      </c>
      <c r="BD44">
        <f>BS_put(S,σ,AX44,q,T,X)</f>
        <v>4.3024465652276831</v>
      </c>
      <c r="BE44">
        <f>in_val_put(S,σ,AX44,q,T,X)</f>
        <v>0</v>
      </c>
      <c r="BF44">
        <f>X*EXP(-AX44*T)</f>
        <v>74.82635675785653</v>
      </c>
    </row>
    <row r="45" spans="1:58" ht="25.5" x14ac:dyDescent="0.25">
      <c r="A45" s="1">
        <v>30</v>
      </c>
      <c r="B45" s="1">
        <f>BS_call(A45,σ,rf,q,T,X)</f>
        <v>6.5955508813518166E-3</v>
      </c>
      <c r="C45">
        <f t="shared" si="0"/>
        <v>30</v>
      </c>
      <c r="D45">
        <f>in_val_call(A45,σ,rf,q,T,X)</f>
        <v>0</v>
      </c>
      <c r="G45">
        <f>BS_put(A45,σ,rf,q,T,X)</f>
        <v>67.051148905732163</v>
      </c>
      <c r="H45">
        <f>X*EXP(-rf*T)</f>
        <v>97.044553354850819</v>
      </c>
      <c r="I45">
        <f>in_val_put(A45,σ,rf,q,T,X)</f>
        <v>70</v>
      </c>
      <c r="L45">
        <v>30</v>
      </c>
      <c r="M45">
        <f>BS_call(S,σ,rf,q,T,L45)</f>
        <v>70.890372643420207</v>
      </c>
      <c r="N45">
        <f>S</f>
        <v>100</v>
      </c>
      <c r="O45">
        <f>in_val_call(S,σ,rf,q,T,L45)</f>
        <v>70</v>
      </c>
      <c r="Q45" s="3">
        <f>BS_put(S,σ,rf,q,T,L45)</f>
        <v>3.7386498754455808E-3</v>
      </c>
      <c r="R45">
        <f>L45*EXP(-rf*T)</f>
        <v>29.113366006455244</v>
      </c>
      <c r="S45">
        <f>in_val_put(S,σ,rf,q,T,L45)</f>
        <v>0</v>
      </c>
      <c r="W45">
        <v>3</v>
      </c>
      <c r="X45">
        <f>BS_call(S,σ,rf,q,W45,X)</f>
        <v>29.52835422582897</v>
      </c>
      <c r="Y45">
        <f>S</f>
        <v>100</v>
      </c>
      <c r="Z45">
        <f>in_val_call(S,σ,rf,q,W45,X)</f>
        <v>0</v>
      </c>
      <c r="AC45">
        <f>BS_put(S,σ,rf,q,W45,X)</f>
        <v>20.921472752951789</v>
      </c>
      <c r="AD45">
        <f>X*EXP(-rf*W45)</f>
        <v>91.393118527122823</v>
      </c>
      <c r="AE45">
        <f>in_val_put(S,σ,rf,q,W45,X)</f>
        <v>0</v>
      </c>
      <c r="AJ45">
        <v>3</v>
      </c>
      <c r="AK45">
        <f>BS_call(S,AJ45,rf,q,T,X)</f>
        <v>86.837918724974571</v>
      </c>
      <c r="AL45">
        <f>in_val_call(S,AJ45,rf,q,T,X)</f>
        <v>0</v>
      </c>
      <c r="AM45">
        <f>S</f>
        <v>100</v>
      </c>
      <c r="AP45">
        <f>BS_put(S,AJ45,rf,q,T,X)</f>
        <v>83.882472079825391</v>
      </c>
      <c r="AQ45">
        <f>in_val_put(S,AJ45,rf,q,T,X)</f>
        <v>0</v>
      </c>
      <c r="AR45">
        <f>X*EXP(-rf*T)</f>
        <v>97.044553354850819</v>
      </c>
      <c r="AX45">
        <v>0.3</v>
      </c>
      <c r="AY45">
        <f>BS_call(S,σ,AX45,q,T,X)</f>
        <v>30.009736779496976</v>
      </c>
      <c r="AZ45">
        <f>S</f>
        <v>100</v>
      </c>
      <c r="BA45">
        <f>floor_call(S,σ,AX45,q,T,X)</f>
        <v>25.918177931828211</v>
      </c>
      <c r="BD45">
        <f>BS_put(S,σ,AX45,q,T,X)</f>
        <v>4.091558847668761</v>
      </c>
      <c r="BE45">
        <f>in_val_put(S,σ,AX45,q,T,X)</f>
        <v>0</v>
      </c>
      <c r="BF45">
        <f>X*EXP(-AX45*T)</f>
        <v>74.081822068171789</v>
      </c>
    </row>
    <row r="46" spans="1:58" ht="25.5" x14ac:dyDescent="0.25">
      <c r="A46" s="1">
        <v>31</v>
      </c>
      <c r="B46" s="1">
        <f>BS_call(A46,σ,rf,q,T,X)</f>
        <v>9.0608866350296996E-3</v>
      </c>
      <c r="C46">
        <f t="shared" si="0"/>
        <v>31</v>
      </c>
      <c r="D46">
        <f>in_val_call(A46,σ,rf,q,T,X)</f>
        <v>0</v>
      </c>
      <c r="G46">
        <f>BS_put(A46,σ,rf,q,T,X)</f>
        <v>66.05361424148586</v>
      </c>
      <c r="H46">
        <f>X*EXP(-rf*T)</f>
        <v>97.044553354850819</v>
      </c>
      <c r="I46">
        <f>in_val_put(A46,σ,rf,q,T,X)</f>
        <v>69</v>
      </c>
      <c r="L46">
        <v>31</v>
      </c>
      <c r="M46">
        <f>BS_call(S,σ,rf,q,T,L46)</f>
        <v>69.921385097486407</v>
      </c>
      <c r="N46">
        <f>S</f>
        <v>100</v>
      </c>
      <c r="O46">
        <f>in_val_call(S,σ,rf,q,T,L46)</f>
        <v>69</v>
      </c>
      <c r="Q46" s="3">
        <f>BS_put(S,σ,rf,q,T,L46)</f>
        <v>5.19663749016816E-3</v>
      </c>
      <c r="R46">
        <f>L46*EXP(-rf*T)</f>
        <v>30.083811540003754</v>
      </c>
      <c r="S46">
        <f>in_val_put(S,σ,rf,q,T,L46)</f>
        <v>0</v>
      </c>
      <c r="W46">
        <v>3.1</v>
      </c>
      <c r="X46">
        <f>BS_call(S,σ,rf,q,W46,X)</f>
        <v>30.037027140718529</v>
      </c>
      <c r="Y46">
        <f>S</f>
        <v>100</v>
      </c>
      <c r="Z46">
        <f>in_val_call(S,σ,rf,q,W46,X)</f>
        <v>0</v>
      </c>
      <c r="AC46">
        <f>BS_put(S,σ,rf,q,W46,X)</f>
        <v>21.156377170332579</v>
      </c>
      <c r="AD46">
        <f>X*EXP(-rf*W46)</f>
        <v>91.119350029614054</v>
      </c>
      <c r="AE46">
        <f>in_val_put(S,σ,rf,q,W46,X)</f>
        <v>0</v>
      </c>
      <c r="AJ46">
        <v>3.1</v>
      </c>
      <c r="AK46">
        <f>BS_call(S,AJ46,rf,q,T,X)</f>
        <v>88.066578192057193</v>
      </c>
      <c r="AL46">
        <f>in_val_call(S,AJ46,rf,q,T,X)</f>
        <v>0</v>
      </c>
      <c r="AM46">
        <f>S</f>
        <v>100</v>
      </c>
      <c r="AP46">
        <f>BS_put(S,AJ46,rf,q,T,X)</f>
        <v>85.111131546907984</v>
      </c>
      <c r="AQ46">
        <f>in_val_put(S,AJ46,rf,q,T,X)</f>
        <v>0</v>
      </c>
      <c r="AR46">
        <f>X*EXP(-rf*T)</f>
        <v>97.044553354850819</v>
      </c>
      <c r="AX46">
        <v>0.31</v>
      </c>
      <c r="AY46">
        <f>BS_call(S,σ,AX46,q,T,X)</f>
        <v>30.544502782202201</v>
      </c>
      <c r="AZ46">
        <f>S</f>
        <v>100</v>
      </c>
      <c r="BA46">
        <f>floor_call(S,σ,AX46,q,T,X)</f>
        <v>26.655304377571071</v>
      </c>
      <c r="BD46">
        <f>BS_put(S,σ,AX46,q,T,X)</f>
        <v>3.8891984046311237</v>
      </c>
      <c r="BE46">
        <f>in_val_put(S,σ,AX46,q,T,X)</f>
        <v>0</v>
      </c>
      <c r="BF46">
        <f>X*EXP(-AX46*T)</f>
        <v>73.344695622428929</v>
      </c>
    </row>
    <row r="47" spans="1:58" ht="25.5" x14ac:dyDescent="0.25">
      <c r="A47" s="1">
        <v>32</v>
      </c>
      <c r="B47" s="1">
        <f>BS_call(A47,σ,rf,q,T,X)</f>
        <v>1.2248364344945417E-2</v>
      </c>
      <c r="C47">
        <f t="shared" si="0"/>
        <v>32</v>
      </c>
      <c r="D47">
        <f>in_val_call(A47,σ,rf,q,T,X)</f>
        <v>0</v>
      </c>
      <c r="G47">
        <f>BS_put(A47,σ,rf,q,T,X)</f>
        <v>65.056801719195761</v>
      </c>
      <c r="H47">
        <f>X*EXP(-rf*T)</f>
        <v>97.044553354850819</v>
      </c>
      <c r="I47">
        <f>in_val_put(A47,σ,rf,q,T,X)</f>
        <v>68</v>
      </c>
      <c r="L47">
        <v>32</v>
      </c>
      <c r="M47">
        <f>BS_call(S,σ,rf,q,T,L47)</f>
        <v>68.952847449601137</v>
      </c>
      <c r="N47">
        <f>S</f>
        <v>100</v>
      </c>
      <c r="O47">
        <f>in_val_call(S,σ,rf,q,T,L47)</f>
        <v>68</v>
      </c>
      <c r="Q47" s="3">
        <f>BS_put(S,σ,rf,q,T,L47)</f>
        <v>7.1045231533899827E-3</v>
      </c>
      <c r="R47">
        <f>L47*EXP(-rf*T)</f>
        <v>31.054257073552261</v>
      </c>
      <c r="S47">
        <f>in_val_put(S,σ,rf,q,T,L47)</f>
        <v>0</v>
      </c>
      <c r="W47">
        <v>3.2</v>
      </c>
      <c r="X47">
        <f>BS_call(S,σ,rf,q,W47,X)</f>
        <v>30.537296026710969</v>
      </c>
      <c r="Y47">
        <f>S</f>
        <v>100</v>
      </c>
      <c r="Z47">
        <f>in_val_call(S,σ,rf,q,W47,X)</f>
        <v>0</v>
      </c>
      <c r="AC47">
        <f>BS_put(S,σ,rf,q,W47,X)</f>
        <v>21.383697633581573</v>
      </c>
      <c r="AD47">
        <f>X*EXP(-rf*W47)</f>
        <v>90.846401606870614</v>
      </c>
      <c r="AE47">
        <f>in_val_put(S,σ,rf,q,W47,X)</f>
        <v>0</v>
      </c>
      <c r="AJ47">
        <v>3.2</v>
      </c>
      <c r="AK47">
        <f>BS_call(S,AJ47,rf,q,T,X)</f>
        <v>89.203634661935752</v>
      </c>
      <c r="AL47">
        <f>in_val_call(S,AJ47,rf,q,T,X)</f>
        <v>0</v>
      </c>
      <c r="AM47">
        <f>S</f>
        <v>100</v>
      </c>
      <c r="AP47">
        <f>BS_put(S,AJ47,rf,q,T,X)</f>
        <v>86.248188016786557</v>
      </c>
      <c r="AQ47">
        <f>in_val_put(S,AJ47,rf,q,T,X)</f>
        <v>0</v>
      </c>
      <c r="AR47">
        <f>X*EXP(-rf*T)</f>
        <v>97.044553354850819</v>
      </c>
      <c r="AX47">
        <v>0.32</v>
      </c>
      <c r="AY47">
        <f>BS_call(S,σ,AX47,q,T,X)</f>
        <v>31.080214477235366</v>
      </c>
      <c r="AZ47">
        <f>S</f>
        <v>100</v>
      </c>
      <c r="BA47">
        <f>floor_call(S,σ,AX47,q,T,X)</f>
        <v>27.385096292630905</v>
      </c>
      <c r="BD47">
        <f>BS_put(S,σ,AX47,q,T,X)</f>
        <v>3.6951181846044623</v>
      </c>
      <c r="BE47">
        <f>in_val_put(S,σ,AX47,q,T,X)</f>
        <v>0</v>
      </c>
      <c r="BF47">
        <f>X*EXP(-AX47*T)</f>
        <v>72.614903707369095</v>
      </c>
    </row>
    <row r="48" spans="1:58" ht="25.5" x14ac:dyDescent="0.25">
      <c r="A48" s="1">
        <v>33</v>
      </c>
      <c r="B48" s="1">
        <f>BS_call(A48,σ,rf,q,T,X)</f>
        <v>1.6311576824332014E-2</v>
      </c>
      <c r="C48">
        <f t="shared" si="0"/>
        <v>33</v>
      </c>
      <c r="D48">
        <f>in_val_call(A48,σ,rf,q,T,X)</f>
        <v>0</v>
      </c>
      <c r="G48">
        <f>BS_put(A48,σ,rf,q,T,X)</f>
        <v>64.060864931675155</v>
      </c>
      <c r="H48">
        <f>X*EXP(-rf*T)</f>
        <v>97.044553354850819</v>
      </c>
      <c r="I48">
        <f>in_val_put(A48,σ,rf,q,T,X)</f>
        <v>67</v>
      </c>
      <c r="L48">
        <v>33</v>
      </c>
      <c r="M48">
        <f>BS_call(S,σ,rf,q,T,L48)</f>
        <v>67.984862416965939</v>
      </c>
      <c r="N48">
        <f>S</f>
        <v>100</v>
      </c>
      <c r="O48">
        <f>in_val_call(S,σ,rf,q,T,L48)</f>
        <v>67</v>
      </c>
      <c r="Q48" s="3">
        <f>BS_put(S,σ,rf,q,T,L48)</f>
        <v>9.5650240667119052E-3</v>
      </c>
      <c r="R48">
        <f>L48*EXP(-rf*T)</f>
        <v>32.024702607100771</v>
      </c>
      <c r="S48">
        <f>in_val_put(S,σ,rf,q,T,L48)</f>
        <v>0</v>
      </c>
      <c r="W48">
        <v>3.3</v>
      </c>
      <c r="X48">
        <f>BS_call(S,σ,rf,q,W48,X)</f>
        <v>31.029511621234015</v>
      </c>
      <c r="Y48">
        <f>S</f>
        <v>100</v>
      </c>
      <c r="Z48">
        <f>in_val_call(S,σ,rf,q,W48,X)</f>
        <v>0</v>
      </c>
      <c r="AC48">
        <f>BS_put(S,σ,rf,q,W48,X)</f>
        <v>21.603782423588861</v>
      </c>
      <c r="AD48">
        <f>X*EXP(-rf*W48)</f>
        <v>90.574270802354846</v>
      </c>
      <c r="AE48">
        <f>in_val_put(S,σ,rf,q,W48,X)</f>
        <v>0</v>
      </c>
      <c r="AJ48">
        <v>3.3</v>
      </c>
      <c r="AK48">
        <f>BS_call(S,AJ48,rf,q,T,X)</f>
        <v>90.253290453773403</v>
      </c>
      <c r="AL48">
        <f>in_val_call(S,AJ48,rf,q,T,X)</f>
        <v>0</v>
      </c>
      <c r="AM48">
        <f>S</f>
        <v>100</v>
      </c>
      <c r="AP48">
        <f>BS_put(S,AJ48,rf,q,T,X)</f>
        <v>87.297843808624222</v>
      </c>
      <c r="AQ48">
        <f>in_val_put(S,AJ48,rf,q,T,X)</f>
        <v>0</v>
      </c>
      <c r="AR48">
        <f>X*EXP(-rf*T)</f>
        <v>97.044553354850819</v>
      </c>
      <c r="AX48">
        <v>0.33</v>
      </c>
      <c r="AY48">
        <f>BS_call(S,σ,AX48,q,T,X)</f>
        <v>31.616700228323204</v>
      </c>
      <c r="AZ48">
        <f>S</f>
        <v>100</v>
      </c>
      <c r="BA48">
        <f>floor_call(S,σ,AX48,q,T,X)</f>
        <v>28.107626656807383</v>
      </c>
      <c r="BD48">
        <f>BS_put(S,σ,AX48,q,T,X)</f>
        <v>3.5090735715158203</v>
      </c>
      <c r="BE48">
        <f>in_val_put(S,σ,AX48,q,T,X)</f>
        <v>0</v>
      </c>
      <c r="BF48">
        <f>X*EXP(-AX48*T)</f>
        <v>71.892373343192617</v>
      </c>
    </row>
    <row r="49" spans="1:58" ht="25.5" x14ac:dyDescent="0.25">
      <c r="A49" s="1">
        <v>34</v>
      </c>
      <c r="B49" s="1">
        <f>BS_call(A49,σ,rf,q,T,X)</f>
        <v>2.1423717764184919E-2</v>
      </c>
      <c r="C49">
        <f t="shared" si="0"/>
        <v>34</v>
      </c>
      <c r="D49">
        <f>in_val_call(A49,σ,rf,q,T,X)</f>
        <v>0</v>
      </c>
      <c r="G49">
        <f>BS_put(A49,σ,rf,q,T,X)</f>
        <v>63.065977072615006</v>
      </c>
      <c r="H49">
        <f>X*EXP(-rf*T)</f>
        <v>97.044553354850819</v>
      </c>
      <c r="I49">
        <f>in_val_put(A49,σ,rf,q,T,X)</f>
        <v>66</v>
      </c>
      <c r="L49">
        <v>34</v>
      </c>
      <c r="M49">
        <f>BS_call(S,σ,rf,q,T,L49)</f>
        <v>67.017547554623803</v>
      </c>
      <c r="N49">
        <f>S</f>
        <v>100</v>
      </c>
      <c r="O49">
        <f>in_val_call(S,σ,rf,q,T,L49)</f>
        <v>66</v>
      </c>
      <c r="Q49" s="3">
        <f>BS_put(S,σ,rf,q,T,L49)</f>
        <v>1.2695695273084964E-2</v>
      </c>
      <c r="R49">
        <f>L49*EXP(-rf*T)</f>
        <v>32.995148140649277</v>
      </c>
      <c r="S49">
        <f>in_val_put(S,σ,rf,q,T,L49)</f>
        <v>0</v>
      </c>
      <c r="W49">
        <v>3.4</v>
      </c>
      <c r="X49">
        <f>BS_call(S,σ,rf,q,W49,X)</f>
        <v>31.513999086215037</v>
      </c>
      <c r="Y49">
        <f>S</f>
        <v>100</v>
      </c>
      <c r="Z49">
        <f>in_val_call(S,σ,rf,q,W49,X)</f>
        <v>0</v>
      </c>
      <c r="AC49">
        <f>BS_put(S,σ,rf,q,W49,X)</f>
        <v>21.816954253102711</v>
      </c>
      <c r="AD49">
        <f>X*EXP(-rf*W49)</f>
        <v>90.302955166887671</v>
      </c>
      <c r="AE49">
        <f>in_val_put(S,σ,rf,q,W49,X)</f>
        <v>0</v>
      </c>
      <c r="AJ49">
        <v>3.4</v>
      </c>
      <c r="AK49">
        <f>BS_call(S,AJ49,rf,q,T,X)</f>
        <v>91.219844545758363</v>
      </c>
      <c r="AL49">
        <f>in_val_call(S,AJ49,rf,q,T,X)</f>
        <v>0</v>
      </c>
      <c r="AM49">
        <f>S</f>
        <v>100</v>
      </c>
      <c r="AP49">
        <f>BS_put(S,AJ49,rf,q,T,X)</f>
        <v>88.264397900609197</v>
      </c>
      <c r="AQ49">
        <f>in_val_put(S,AJ49,rf,q,T,X)</f>
        <v>0</v>
      </c>
      <c r="AR49">
        <f>X*EXP(-rf*T)</f>
        <v>97.044553354850819</v>
      </c>
      <c r="AX49">
        <v>0.34</v>
      </c>
      <c r="AY49">
        <f>BS_call(S,σ,AX49,q,T,X)</f>
        <v>32.153790300572759</v>
      </c>
      <c r="AZ49">
        <f>S</f>
        <v>100</v>
      </c>
      <c r="BA49">
        <f>floor_call(S,σ,AX49,q,T,X)</f>
        <v>28.82296772373904</v>
      </c>
      <c r="BD49">
        <f>BS_put(S,σ,AX49,q,T,X)</f>
        <v>3.330822576833727</v>
      </c>
      <c r="BE49">
        <f>in_val_put(S,σ,AX49,q,T,X)</f>
        <v>0</v>
      </c>
      <c r="BF49">
        <f>X*EXP(-AX49*T)</f>
        <v>71.17703227626096</v>
      </c>
    </row>
    <row r="50" spans="1:58" ht="25.5" x14ac:dyDescent="0.25">
      <c r="A50" s="1">
        <v>35</v>
      </c>
      <c r="B50" s="1">
        <f>BS_call(A50,σ,rf,q,T,X)</f>
        <v>2.7777923655141146E-2</v>
      </c>
      <c r="C50">
        <f t="shared" si="0"/>
        <v>35</v>
      </c>
      <c r="D50">
        <f>in_val_call(A50,σ,rf,q,T,X)</f>
        <v>0</v>
      </c>
      <c r="G50">
        <f>BS_put(A50,σ,rf,q,T,X)</f>
        <v>62.072331278505963</v>
      </c>
      <c r="H50">
        <f>X*EXP(-rf*T)</f>
        <v>97.044553354850819</v>
      </c>
      <c r="I50">
        <f>in_val_put(A50,σ,rf,q,T,X)</f>
        <v>65</v>
      </c>
      <c r="L50">
        <v>35</v>
      </c>
      <c r="M50">
        <f>BS_call(S,σ,rf,q,T,L50)</f>
        <v>66.051035872363713</v>
      </c>
      <c r="N50">
        <f>S</f>
        <v>100</v>
      </c>
      <c r="O50">
        <f>in_val_call(S,σ,rf,q,T,L50)</f>
        <v>65</v>
      </c>
      <c r="Q50" s="3">
        <f>BS_put(S,σ,rf,q,T,L50)</f>
        <v>1.6629546561514053E-2</v>
      </c>
      <c r="R50">
        <f>L50*EXP(-rf*T)</f>
        <v>33.965593674197784</v>
      </c>
      <c r="S50">
        <f>in_val_put(S,σ,rf,q,T,L50)</f>
        <v>0</v>
      </c>
      <c r="W50">
        <v>3.5</v>
      </c>
      <c r="X50">
        <f>BS_call(S,σ,rf,q,W50,X)</f>
        <v>31.991060594016446</v>
      </c>
      <c r="Y50">
        <f>S</f>
        <v>100</v>
      </c>
      <c r="Z50">
        <f>in_val_call(S,σ,rf,q,W50,X)</f>
        <v>0</v>
      </c>
      <c r="AC50">
        <f>BS_put(S,σ,rf,q,W50,X)</f>
        <v>22.023512852642995</v>
      </c>
      <c r="AD50">
        <f>X*EXP(-rf*W50)</f>
        <v>90.032452258626563</v>
      </c>
      <c r="AE50">
        <f>in_val_put(S,σ,rf,q,W50,X)</f>
        <v>0</v>
      </c>
      <c r="AJ50">
        <v>3.5</v>
      </c>
      <c r="AK50">
        <f>BS_call(S,AJ50,rf,q,T,X)</f>
        <v>92.107654106584974</v>
      </c>
      <c r="AL50">
        <f>in_val_call(S,AJ50,rf,q,T,X)</f>
        <v>0</v>
      </c>
      <c r="AM50">
        <f>S</f>
        <v>100</v>
      </c>
      <c r="AP50">
        <f>BS_put(S,AJ50,rf,q,T,X)</f>
        <v>89.152207461435793</v>
      </c>
      <c r="AQ50">
        <f>in_val_put(S,AJ50,rf,q,T,X)</f>
        <v>0</v>
      </c>
      <c r="AR50">
        <f>X*EXP(-rf*T)</f>
        <v>97.044553354850819</v>
      </c>
      <c r="AX50">
        <v>0.35</v>
      </c>
      <c r="AY50">
        <f>BS_call(S,σ,AX50,q,T,X)</f>
        <v>32.691317051833124</v>
      </c>
      <c r="AZ50">
        <f>S</f>
        <v>100</v>
      </c>
      <c r="BA50">
        <f>floor_call(S,σ,AX50,q,T,X)</f>
        <v>29.53119102812866</v>
      </c>
      <c r="BD50">
        <f>BS_put(S,σ,AX50,q,T,X)</f>
        <v>3.1601260237044606</v>
      </c>
      <c r="BE50">
        <f>in_val_put(S,σ,AX50,q,T,X)</f>
        <v>0</v>
      </c>
      <c r="BF50">
        <f>X*EXP(-AX50*T)</f>
        <v>70.46880897187134</v>
      </c>
    </row>
    <row r="51" spans="1:58" ht="25.5" x14ac:dyDescent="0.25">
      <c r="A51" s="1">
        <v>36</v>
      </c>
      <c r="B51" s="1">
        <f>BS_call(A51,σ,rf,q,T,X)</f>
        <v>3.5587355367639351E-2</v>
      </c>
      <c r="C51">
        <f t="shared" si="0"/>
        <v>36</v>
      </c>
      <c r="D51">
        <f>in_val_call(A51,σ,rf,q,T,X)</f>
        <v>0</v>
      </c>
      <c r="G51">
        <f>BS_put(A51,σ,rf,q,T,X)</f>
        <v>61.080140710218458</v>
      </c>
      <c r="H51">
        <f>X*EXP(-rf*T)</f>
        <v>97.044553354850819</v>
      </c>
      <c r="I51">
        <f>in_val_put(A51,σ,rf,q,T,X)</f>
        <v>64</v>
      </c>
      <c r="L51">
        <v>36</v>
      </c>
      <c r="M51">
        <f>BS_call(S,σ,rf,q,T,L51)</f>
        <v>65.085476279590068</v>
      </c>
      <c r="N51">
        <f>S</f>
        <v>100</v>
      </c>
      <c r="O51">
        <f>in_val_call(S,σ,rf,q,T,L51)</f>
        <v>64</v>
      </c>
      <c r="Q51" s="3">
        <f>BS_put(S,σ,rf,q,T,L51)</f>
        <v>2.1515487336371514E-2</v>
      </c>
      <c r="R51">
        <f>L51*EXP(-rf*T)</f>
        <v>34.93603920774629</v>
      </c>
      <c r="S51">
        <f>in_val_put(S,σ,rf,q,T,L51)</f>
        <v>0</v>
      </c>
      <c r="W51">
        <v>3.6</v>
      </c>
      <c r="X51">
        <f>BS_call(S,σ,rf,q,W51,X)</f>
        <v>32.460977584946242</v>
      </c>
      <c r="Y51">
        <f>S</f>
        <v>100</v>
      </c>
      <c r="Z51">
        <f>in_val_call(S,σ,rf,q,W51,X)</f>
        <v>0</v>
      </c>
      <c r="AC51">
        <f>BS_put(S,σ,rf,q,W51,X)</f>
        <v>22.223737227989737</v>
      </c>
      <c r="AD51">
        <f>X*EXP(-rf*W51)</f>
        <v>89.762759643043495</v>
      </c>
      <c r="AE51">
        <f>in_val_put(S,σ,rf,q,W51,X)</f>
        <v>0</v>
      </c>
      <c r="AJ51">
        <v>3.6</v>
      </c>
      <c r="AK51">
        <f>BS_call(S,AJ51,rf,q,T,X)</f>
        <v>92.92109851539351</v>
      </c>
      <c r="AL51">
        <f>in_val_call(S,AJ51,rf,q,T,X)</f>
        <v>0</v>
      </c>
      <c r="AM51">
        <f>S</f>
        <v>100</v>
      </c>
      <c r="AP51">
        <f>BS_put(S,AJ51,rf,q,T,X)</f>
        <v>89.965651870244329</v>
      </c>
      <c r="AQ51">
        <f>in_val_put(S,AJ51,rf,q,T,X)</f>
        <v>0</v>
      </c>
      <c r="AR51">
        <f>X*EXP(-rf*T)</f>
        <v>97.044553354850819</v>
      </c>
      <c r="AX51">
        <v>0.36</v>
      </c>
      <c r="AY51">
        <f>BS_call(S,σ,AX51,q,T,X)</f>
        <v>33.229115115698228</v>
      </c>
      <c r="AZ51">
        <f>S</f>
        <v>100</v>
      </c>
      <c r="BA51">
        <f>floor_call(S,σ,AX51,q,T,X)</f>
        <v>30.23236739289689</v>
      </c>
      <c r="BD51">
        <f>BS_put(S,σ,AX51,q,T,X)</f>
        <v>2.9967477228013433</v>
      </c>
      <c r="BE51">
        <f>in_val_put(S,σ,AX51,q,T,X)</f>
        <v>0</v>
      </c>
      <c r="BF51">
        <f>X*EXP(-AX51*T)</f>
        <v>69.76763260710311</v>
      </c>
    </row>
    <row r="52" spans="1:58" ht="25.5" x14ac:dyDescent="0.25">
      <c r="A52" s="1">
        <v>37</v>
      </c>
      <c r="B52" s="1">
        <f>BS_call(A52,σ,rf,q,T,X)</f>
        <v>4.5085018547197597E-2</v>
      </c>
      <c r="C52">
        <f t="shared" si="0"/>
        <v>37</v>
      </c>
      <c r="D52">
        <f>in_val_call(A52,σ,rf,q,T,X)</f>
        <v>0</v>
      </c>
      <c r="G52">
        <f>BS_put(A52,σ,rf,q,T,X)</f>
        <v>60.089638373398003</v>
      </c>
      <c r="H52">
        <f>X*EXP(-rf*T)</f>
        <v>97.044553354850819</v>
      </c>
      <c r="I52">
        <f>in_val_put(A52,σ,rf,q,T,X)</f>
        <v>63</v>
      </c>
      <c r="L52">
        <v>37</v>
      </c>
      <c r="M52">
        <f>BS_call(S,σ,rf,q,T,L52)</f>
        <v>64.121033848272489</v>
      </c>
      <c r="N52">
        <f>S</f>
        <v>100</v>
      </c>
      <c r="O52">
        <f>in_val_call(S,σ,rf,q,T,L52)</f>
        <v>63</v>
      </c>
      <c r="Q52" s="3">
        <f>BS_put(S,σ,rf,q,T,L52)</f>
        <v>2.7518589567289753E-2</v>
      </c>
      <c r="R52">
        <f>L52*EXP(-rf*T)</f>
        <v>35.906484741294804</v>
      </c>
      <c r="S52">
        <f>in_val_put(S,σ,rf,q,T,L52)</f>
        <v>0</v>
      </c>
      <c r="W52">
        <v>3.7</v>
      </c>
      <c r="X52">
        <f>BS_call(S,σ,rf,q,W52,X)</f>
        <v>32.924012746029824</v>
      </c>
      <c r="Y52">
        <f>S</f>
        <v>100</v>
      </c>
      <c r="Z52">
        <f>in_val_call(S,σ,rf,q,W52,X)</f>
        <v>0</v>
      </c>
      <c r="AC52">
        <f>BS_put(S,σ,rf,q,W52,X)</f>
        <v>22.417887638932942</v>
      </c>
      <c r="AD52">
        <f>X*EXP(-rf*W52)</f>
        <v>89.493874892903108</v>
      </c>
      <c r="AE52">
        <f>in_val_put(S,σ,rf,q,W52,X)</f>
        <v>0</v>
      </c>
      <c r="AJ52">
        <v>3.7</v>
      </c>
      <c r="AK52">
        <f>BS_call(S,AJ52,rf,q,T,X)</f>
        <v>93.664546100353419</v>
      </c>
      <c r="AL52">
        <f>in_val_call(S,AJ52,rf,q,T,X)</f>
        <v>0</v>
      </c>
      <c r="AM52">
        <f>S</f>
        <v>100</v>
      </c>
      <c r="AP52">
        <f>BS_put(S,AJ52,rf,q,T,X)</f>
        <v>90.709099455204239</v>
      </c>
      <c r="AQ52">
        <f>in_val_put(S,AJ52,rf,q,T,X)</f>
        <v>0</v>
      </c>
      <c r="AR52">
        <f>X*EXP(-rf*T)</f>
        <v>97.044553354850819</v>
      </c>
      <c r="AX52">
        <v>0.37</v>
      </c>
      <c r="AY52">
        <f>BS_call(S,σ,AX52,q,T,X)</f>
        <v>33.767021575868142</v>
      </c>
      <c r="AZ52">
        <f>S</f>
        <v>100</v>
      </c>
      <c r="BA52">
        <f>floor_call(S,σ,AX52,q,T,X)</f>
        <v>30.926566936264535</v>
      </c>
      <c r="BD52">
        <f>BS_put(S,σ,AX52,q,T,X)</f>
        <v>2.840454639603605</v>
      </c>
      <c r="BE52">
        <f>in_val_put(S,σ,AX52,q,T,X)</f>
        <v>0</v>
      </c>
      <c r="BF52">
        <f>X*EXP(-AX52*T)</f>
        <v>69.073433063735465</v>
      </c>
    </row>
    <row r="53" spans="1:58" ht="25.5" x14ac:dyDescent="0.25">
      <c r="A53" s="1">
        <v>38</v>
      </c>
      <c r="B53" s="1">
        <f>BS_call(A53,σ,rf,q,T,X)</f>
        <v>5.6523328297291231E-2</v>
      </c>
      <c r="C53">
        <f t="shared" si="0"/>
        <v>38</v>
      </c>
      <c r="D53">
        <f>in_val_call(A53,σ,rf,q,T,X)</f>
        <v>0</v>
      </c>
      <c r="G53">
        <f>BS_put(A53,σ,rf,q,T,X)</f>
        <v>59.101076683148108</v>
      </c>
      <c r="H53">
        <f>X*EXP(-rf*T)</f>
        <v>97.044553354850819</v>
      </c>
      <c r="I53">
        <f>in_val_put(A53,σ,rf,q,T,X)</f>
        <v>62</v>
      </c>
      <c r="L53">
        <v>38</v>
      </c>
      <c r="M53">
        <f>BS_call(S,σ,rf,q,T,L53)</f>
        <v>63.157889888708404</v>
      </c>
      <c r="N53">
        <f>S</f>
        <v>100</v>
      </c>
      <c r="O53">
        <f>in_val_call(S,σ,rf,q,T,L53)</f>
        <v>62</v>
      </c>
      <c r="Q53" s="3">
        <f>BS_put(S,σ,rf,q,T,L53)</f>
        <v>3.4820163551710526E-2</v>
      </c>
      <c r="R53">
        <f>L53*EXP(-rf*T)</f>
        <v>36.876930274843311</v>
      </c>
      <c r="S53">
        <f>in_val_put(S,σ,rf,q,T,L53)</f>
        <v>0</v>
      </c>
      <c r="W53">
        <v>3.8</v>
      </c>
      <c r="X53">
        <f>BS_call(S,σ,rf,q,W53,X)</f>
        <v>33.380411752074082</v>
      </c>
      <c r="Y53">
        <f>S</f>
        <v>100</v>
      </c>
      <c r="Z53">
        <f>in_val_call(S,σ,rf,q,W53,X)</f>
        <v>0</v>
      </c>
      <c r="AC53">
        <f>BS_put(S,σ,rf,q,W53,X)</f>
        <v>22.606207340314906</v>
      </c>
      <c r="AD53">
        <f>X*EXP(-rf*W53)</f>
        <v>89.225795588240828</v>
      </c>
      <c r="AE53">
        <f>in_val_put(S,σ,rf,q,W53,X)</f>
        <v>0</v>
      </c>
      <c r="AJ53">
        <v>3.8</v>
      </c>
      <c r="AK53">
        <f>BS_call(S,AJ53,rf,q,T,X)</f>
        <v>94.342323768469896</v>
      </c>
      <c r="AL53">
        <f>in_val_call(S,AJ53,rf,q,T,X)</f>
        <v>0</v>
      </c>
      <c r="AM53">
        <f>S</f>
        <v>100</v>
      </c>
      <c r="AP53">
        <f>BS_put(S,AJ53,rf,q,T,X)</f>
        <v>91.38687712332073</v>
      </c>
      <c r="AQ53">
        <f>in_val_put(S,AJ53,rf,q,T,X)</f>
        <v>0</v>
      </c>
      <c r="AR53">
        <f>X*EXP(-rf*T)</f>
        <v>97.044553354850819</v>
      </c>
      <c r="AX53">
        <v>0.38</v>
      </c>
      <c r="AY53">
        <f>BS_call(S,σ,AX53,q,T,X)</f>
        <v>34.304876131620809</v>
      </c>
      <c r="AZ53">
        <f>S</f>
        <v>100</v>
      </c>
      <c r="BA53">
        <f>floor_call(S,σ,AX53,q,T,X)</f>
        <v>31.61385907876442</v>
      </c>
      <c r="BD53">
        <f>BS_put(S,σ,AX53,q,T,X)</f>
        <v>2.6910170528563881</v>
      </c>
      <c r="BE53">
        <f>in_val_put(S,σ,AX53,q,T,X)</f>
        <v>0</v>
      </c>
      <c r="BF53">
        <f>X*EXP(-AX53*T)</f>
        <v>68.38614092123558</v>
      </c>
    </row>
    <row r="54" spans="1:58" ht="25.5" x14ac:dyDescent="0.25">
      <c r="A54" s="1">
        <v>39</v>
      </c>
      <c r="B54" s="1">
        <f>BS_call(A54,σ,rf,q,T,X)</f>
        <v>7.0173429210926619E-2</v>
      </c>
      <c r="C54">
        <f t="shared" si="0"/>
        <v>39</v>
      </c>
      <c r="D54">
        <f>in_val_call(A54,σ,rf,q,T,X)</f>
        <v>0</v>
      </c>
      <c r="G54">
        <f>BS_put(A54,σ,rf,q,T,X)</f>
        <v>58.114726784061759</v>
      </c>
      <c r="H54">
        <f>X*EXP(-rf*T)</f>
        <v>97.044553354850819</v>
      </c>
      <c r="I54">
        <f>in_val_put(A54,σ,rf,q,T,X)</f>
        <v>61</v>
      </c>
      <c r="L54">
        <v>39</v>
      </c>
      <c r="M54">
        <f>BS_call(S,σ,rf,q,T,L54)</f>
        <v>62.19624183723667</v>
      </c>
      <c r="N54">
        <f>S</f>
        <v>100</v>
      </c>
      <c r="O54">
        <f>in_val_call(S,σ,rf,q,T,L54)</f>
        <v>61</v>
      </c>
      <c r="Q54" s="3">
        <f>BS_put(S,σ,rf,q,T,L54)</f>
        <v>4.3617645628489354E-2</v>
      </c>
      <c r="R54">
        <f>L54*EXP(-rf*T)</f>
        <v>37.847375808391817</v>
      </c>
      <c r="S54">
        <f>in_val_put(S,σ,rf,q,T,L54)</f>
        <v>0</v>
      </c>
      <c r="W54">
        <v>3.9</v>
      </c>
      <c r="X54">
        <f>BS_call(S,σ,rf,q,W54,X)</f>
        <v>33.830404803094297</v>
      </c>
      <c r="Y54">
        <f>S</f>
        <v>100</v>
      </c>
      <c r="Z54">
        <f>in_val_call(S,σ,rf,q,W54,X)</f>
        <v>0</v>
      </c>
      <c r="AC54">
        <f>BS_put(S,σ,rf,q,W54,X)</f>
        <v>22.788924119435428</v>
      </c>
      <c r="AD54">
        <f>X*EXP(-rf*W54)</f>
        <v>88.958519316341139</v>
      </c>
      <c r="AE54">
        <f>in_val_put(S,σ,rf,q,W54,X)</f>
        <v>0</v>
      </c>
      <c r="AJ54">
        <v>3.9</v>
      </c>
      <c r="AK54">
        <f>BS_call(S,AJ54,rf,q,T,X)</f>
        <v>94.958689643431086</v>
      </c>
      <c r="AL54">
        <f>in_val_call(S,AJ54,rf,q,T,X)</f>
        <v>0</v>
      </c>
      <c r="AM54">
        <f>S</f>
        <v>100</v>
      </c>
      <c r="AP54">
        <f>BS_put(S,AJ54,rf,q,T,X)</f>
        <v>92.003242998281891</v>
      </c>
      <c r="AQ54">
        <f>in_val_put(S,AJ54,rf,q,T,X)</f>
        <v>0</v>
      </c>
      <c r="AR54">
        <f>X*EXP(-rf*T)</f>
        <v>97.044553354850819</v>
      </c>
      <c r="AX54">
        <v>0.39</v>
      </c>
      <c r="AY54">
        <f>BS_call(S,σ,AX54,q,T,X)</f>
        <v>34.842521254183183</v>
      </c>
      <c r="AZ54">
        <f>S</f>
        <v>100</v>
      </c>
      <c r="BA54">
        <f>floor_call(S,σ,AX54,q,T,X)</f>
        <v>32.294312550183534</v>
      </c>
      <c r="BD54">
        <f>BS_put(S,σ,AX54,q,T,X)</f>
        <v>2.5482087039996486</v>
      </c>
      <c r="BE54">
        <f>in_val_put(S,σ,AX54,q,T,X)</f>
        <v>0</v>
      </c>
      <c r="BF54">
        <f>X*EXP(-AX54*T)</f>
        <v>67.705687449816466</v>
      </c>
    </row>
    <row r="55" spans="1:58" ht="25.5" x14ac:dyDescent="0.25">
      <c r="A55" s="1">
        <v>40</v>
      </c>
      <c r="B55" s="1">
        <f>BS_call(A55,σ,rf,q,T,X)</f>
        <v>8.6324286572258768E-2</v>
      </c>
      <c r="C55">
        <f t="shared" si="0"/>
        <v>40</v>
      </c>
      <c r="D55">
        <f>in_val_call(A55,σ,rf,q,T,X)</f>
        <v>0</v>
      </c>
      <c r="G55">
        <f>BS_put(A55,σ,rf,q,T,X)</f>
        <v>57.130877641423076</v>
      </c>
      <c r="H55">
        <f>X*EXP(-rf*T)</f>
        <v>97.044553354850819</v>
      </c>
      <c r="I55">
        <f>in_val_put(A55,σ,rf,q,T,X)</f>
        <v>60</v>
      </c>
      <c r="L55">
        <v>40</v>
      </c>
      <c r="M55">
        <f>BS_call(S,σ,rf,q,T,L55)</f>
        <v>61.23630295911159</v>
      </c>
      <c r="N55">
        <f>S</f>
        <v>100</v>
      </c>
      <c r="O55">
        <f>in_val_call(S,σ,rf,q,T,L55)</f>
        <v>60</v>
      </c>
      <c r="Q55" s="3">
        <f>BS_put(S,σ,rf,q,T,L55)</f>
        <v>5.4124301051911072E-2</v>
      </c>
      <c r="R55">
        <f>L55*EXP(-rf*T)</f>
        <v>38.817821341940324</v>
      </c>
      <c r="S55">
        <f>in_val_put(S,σ,rf,q,T,L55)</f>
        <v>0</v>
      </c>
      <c r="W55">
        <v>4</v>
      </c>
      <c r="X55">
        <f>BS_call(S,σ,rf,q,W55,X)</f>
        <v>34.274207986543821</v>
      </c>
      <c r="Y55">
        <f>S</f>
        <v>100</v>
      </c>
      <c r="Z55">
        <f>in_val_call(S,σ,rf,q,W55,X)</f>
        <v>0</v>
      </c>
      <c r="AC55">
        <f>BS_put(S,σ,rf,q,W55,X)</f>
        <v>22.966251658259569</v>
      </c>
      <c r="AD55">
        <f>X*EXP(-rf*W55)</f>
        <v>88.692043671715751</v>
      </c>
      <c r="AE55">
        <f>in_val_put(S,σ,rf,q,W55,X)</f>
        <v>0</v>
      </c>
      <c r="AJ55">
        <v>4</v>
      </c>
      <c r="AK55">
        <f>BS_call(S,AJ55,rf,q,T,X)</f>
        <v>95.517808775311167</v>
      </c>
      <c r="AL55">
        <f>in_val_call(S,AJ55,rf,q,T,X)</f>
        <v>0</v>
      </c>
      <c r="AM55">
        <f>S</f>
        <v>100</v>
      </c>
      <c r="AP55">
        <f>BS_put(S,AJ55,rf,q,T,X)</f>
        <v>92.562362130161986</v>
      </c>
      <c r="AQ55">
        <f>in_val_put(S,AJ55,rf,q,T,X)</f>
        <v>0</v>
      </c>
      <c r="AR55">
        <f>X*EXP(-rf*T)</f>
        <v>97.044553354850819</v>
      </c>
      <c r="AX55">
        <v>0.4</v>
      </c>
      <c r="AY55">
        <f>BS_call(S,σ,AX55,q,T,X)</f>
        <v>35.37980233382482</v>
      </c>
      <c r="AZ55">
        <f>S</f>
        <v>100</v>
      </c>
      <c r="BA55">
        <f>floor_call(S,σ,AX55,q,T,X)</f>
        <v>32.967995396436066</v>
      </c>
      <c r="BD55">
        <f>BS_put(S,σ,AX55,q,T,X)</f>
        <v>2.4118069373887536</v>
      </c>
      <c r="BE55">
        <f>in_val_put(S,σ,AX55,q,T,X)</f>
        <v>0</v>
      </c>
      <c r="BF55">
        <f>X*EXP(-AX55*T)</f>
        <v>67.032004603563934</v>
      </c>
    </row>
    <row r="56" spans="1:58" ht="25.5" x14ac:dyDescent="0.25">
      <c r="A56" s="1">
        <v>41</v>
      </c>
      <c r="B56" s="1">
        <f>BS_call(A56,σ,rf,q,T,X)</f>
        <v>0.10528156843057257</v>
      </c>
      <c r="C56">
        <f t="shared" si="0"/>
        <v>41</v>
      </c>
      <c r="D56">
        <f>in_val_call(A56,σ,rf,q,T,X)</f>
        <v>0</v>
      </c>
      <c r="G56">
        <f>BS_put(A56,σ,rf,q,T,X)</f>
        <v>56.149834923281389</v>
      </c>
      <c r="H56">
        <f>X*EXP(-rf*T)</f>
        <v>97.044553354850819</v>
      </c>
      <c r="I56">
        <f>in_val_put(A56,σ,rf,q,T,X)</f>
        <v>59</v>
      </c>
      <c r="L56">
        <v>41</v>
      </c>
      <c r="M56">
        <f>BS_call(S,σ,rf,q,T,L56)</f>
        <v>60.278301873389523</v>
      </c>
      <c r="N56">
        <f>S</f>
        <v>100</v>
      </c>
      <c r="O56">
        <f>in_val_call(S,σ,rf,q,T,L56)</f>
        <v>59</v>
      </c>
      <c r="Q56" s="3">
        <f>BS_put(S,σ,rf,q,T,L56)</f>
        <v>6.6568748878361284E-2</v>
      </c>
      <c r="R56">
        <f>L56*EXP(-rf*T)</f>
        <v>39.788266875488837</v>
      </c>
      <c r="S56">
        <f>in_val_put(S,σ,rf,q,T,L56)</f>
        <v>0</v>
      </c>
      <c r="W56">
        <v>4.0999999999999996</v>
      </c>
      <c r="X56">
        <f>BS_call(S,σ,rf,q,W56,X)</f>
        <v>34.712024488202367</v>
      </c>
      <c r="Y56">
        <f>S</f>
        <v>100</v>
      </c>
      <c r="Z56">
        <f>in_val_call(S,σ,rf,q,W56,X)</f>
        <v>0</v>
      </c>
      <c r="AC56">
        <f>BS_put(S,σ,rf,q,W56,X)</f>
        <v>23.138390744284457</v>
      </c>
      <c r="AD56">
        <f>X*EXP(-rf*W56)</f>
        <v>88.42636625608209</v>
      </c>
      <c r="AE56">
        <f>in_val_put(S,σ,rf,q,W56,X)</f>
        <v>0</v>
      </c>
      <c r="AJ56">
        <v>4.0999999999999996</v>
      </c>
      <c r="AK56">
        <f>BS_call(S,AJ56,rf,q,T,X)</f>
        <v>96.023731936478427</v>
      </c>
      <c r="AL56">
        <f>in_val_call(S,AJ56,rf,q,T,X)</f>
        <v>0</v>
      </c>
      <c r="AM56">
        <f>S</f>
        <v>100</v>
      </c>
      <c r="AP56">
        <f>BS_put(S,AJ56,rf,q,T,X)</f>
        <v>93.068285291329246</v>
      </c>
      <c r="AQ56">
        <f>in_val_put(S,AJ56,rf,q,T,X)</f>
        <v>0</v>
      </c>
      <c r="AR56">
        <f>X*EXP(-rf*T)</f>
        <v>97.044553354850819</v>
      </c>
      <c r="AX56">
        <v>0.41</v>
      </c>
      <c r="AY56">
        <f>BS_call(S,σ,AX56,q,T,X)</f>
        <v>35.916567817533227</v>
      </c>
      <c r="AZ56">
        <f>S</f>
        <v>100</v>
      </c>
      <c r="BA56">
        <f>floor_call(S,σ,AX56,q,T,X)</f>
        <v>33.634974986368064</v>
      </c>
      <c r="BD56">
        <f>BS_put(S,σ,AX56,q,T,X)</f>
        <v>2.2815928311651579</v>
      </c>
      <c r="BE56">
        <f>in_val_put(S,σ,AX56,q,T,X)</f>
        <v>0</v>
      </c>
      <c r="BF56">
        <f>X*EXP(-AX56*T)</f>
        <v>66.365025013631936</v>
      </c>
    </row>
    <row r="57" spans="1:58" ht="25.5" x14ac:dyDescent="0.25">
      <c r="A57" s="1">
        <v>42</v>
      </c>
      <c r="B57" s="1">
        <f>BS_call(A57,σ,rf,q,T,X)</f>
        <v>0.1273663412424656</v>
      </c>
      <c r="C57">
        <f t="shared" si="0"/>
        <v>42</v>
      </c>
      <c r="D57">
        <f>in_val_call(A57,σ,rf,q,T,X)</f>
        <v>0</v>
      </c>
      <c r="G57">
        <f>BS_put(A57,σ,rf,q,T,X)</f>
        <v>55.171919696093283</v>
      </c>
      <c r="H57">
        <f>X*EXP(-rf*T)</f>
        <v>97.044553354850819</v>
      </c>
      <c r="I57">
        <f>in_val_put(A57,σ,rf,q,T,X)</f>
        <v>58</v>
      </c>
      <c r="L57">
        <v>42</v>
      </c>
      <c r="M57">
        <f>BS_call(S,σ,rf,q,T,L57)</f>
        <v>59.322481909833492</v>
      </c>
      <c r="N57">
        <f>S</f>
        <v>100</v>
      </c>
      <c r="O57">
        <f>in_val_call(S,σ,rf,q,T,L57)</f>
        <v>58</v>
      </c>
      <c r="Q57" s="3">
        <f>BS_put(S,σ,rf,q,T,L57)</f>
        <v>8.1194318870838167E-2</v>
      </c>
      <c r="R57">
        <f>L57*EXP(-rf*T)</f>
        <v>40.758712409037344</v>
      </c>
      <c r="S57">
        <f>in_val_put(S,σ,rf,q,T,L57)</f>
        <v>0</v>
      </c>
      <c r="W57">
        <v>4.2</v>
      </c>
      <c r="X57">
        <f>BS_call(S,σ,rf,q,W57,X)</f>
        <v>35.14404567182811</v>
      </c>
      <c r="Y57">
        <f>S</f>
        <v>100</v>
      </c>
      <c r="Z57">
        <f>in_val_call(S,σ,rf,q,W57,X)</f>
        <v>0</v>
      </c>
      <c r="AC57">
        <f>BS_put(S,σ,rf,q,W57,X)</f>
        <v>23.305530350169722</v>
      </c>
      <c r="AD57">
        <f>X*EXP(-rf*W57)</f>
        <v>88.161484678341608</v>
      </c>
      <c r="AE57">
        <f>in_val_put(S,σ,rf,q,W57,X)</f>
        <v>0</v>
      </c>
      <c r="AJ57">
        <v>4.2</v>
      </c>
      <c r="AK57">
        <f>BS_call(S,AJ57,rf,q,T,X)</f>
        <v>96.480377472761035</v>
      </c>
      <c r="AL57">
        <f>in_val_call(S,AJ57,rf,q,T,X)</f>
        <v>0</v>
      </c>
      <c r="AM57">
        <f>S</f>
        <v>100</v>
      </c>
      <c r="AP57">
        <f>BS_put(S,AJ57,rf,q,T,X)</f>
        <v>93.524930827611854</v>
      </c>
      <c r="AQ57">
        <f>in_val_put(S,AJ57,rf,q,T,X)</f>
        <v>0</v>
      </c>
      <c r="AR57">
        <f>X*EXP(-rf*T)</f>
        <v>97.044553354850819</v>
      </c>
      <c r="AX57">
        <v>0.42</v>
      </c>
      <c r="AY57">
        <f>BS_call(S,σ,AX57,q,T,X)</f>
        <v>36.452669337164444</v>
      </c>
      <c r="AZ57">
        <f>S</f>
        <v>100</v>
      </c>
      <c r="BA57">
        <f>floor_call(S,σ,AX57,q,T,X)</f>
        <v>34.295318018494328</v>
      </c>
      <c r="BD57">
        <f>BS_put(S,σ,AX57,q,T,X)</f>
        <v>2.157351318670111</v>
      </c>
      <c r="BE57">
        <f>in_val_put(S,σ,AX57,q,T,X)</f>
        <v>0</v>
      </c>
      <c r="BF57">
        <f>X*EXP(-AX57*T)</f>
        <v>65.704681981505672</v>
      </c>
    </row>
    <row r="58" spans="1:58" ht="25.5" x14ac:dyDescent="0.25">
      <c r="A58" s="1">
        <v>43</v>
      </c>
      <c r="B58" s="1">
        <f>BS_call(A58,σ,rf,q,T,X)</f>
        <v>0.15291360391041486</v>
      </c>
      <c r="C58">
        <f t="shared" si="0"/>
        <v>43</v>
      </c>
      <c r="D58">
        <f>in_val_call(A58,σ,rf,q,T,X)</f>
        <v>0</v>
      </c>
      <c r="G58">
        <f>BS_put(A58,σ,rf,q,T,X)</f>
        <v>54.197466958761233</v>
      </c>
      <c r="H58">
        <f>X*EXP(-rf*T)</f>
        <v>97.044553354850819</v>
      </c>
      <c r="I58">
        <f>in_val_put(A58,σ,rf,q,T,X)</f>
        <v>57</v>
      </c>
      <c r="L58">
        <v>43</v>
      </c>
      <c r="M58">
        <f>BS_call(S,σ,rf,q,T,L58)</f>
        <v>58.3691003104693</v>
      </c>
      <c r="N58">
        <f>S</f>
        <v>100</v>
      </c>
      <c r="O58">
        <f>in_val_call(S,σ,rf,q,T,L58)</f>
        <v>57</v>
      </c>
      <c r="Q58" s="3">
        <f>BS_put(S,σ,rf,q,T,L58)</f>
        <v>9.8258253055139577E-2</v>
      </c>
      <c r="R58">
        <f>L58*EXP(-rf*T)</f>
        <v>41.72915794258585</v>
      </c>
      <c r="S58">
        <f>in_val_put(S,σ,rf,q,T,L58)</f>
        <v>0</v>
      </c>
      <c r="W58">
        <v>4.3</v>
      </c>
      <c r="X58">
        <f>BS_call(S,σ,rf,q,W58,X)</f>
        <v>35.57045204459282</v>
      </c>
      <c r="Y58">
        <f>S</f>
        <v>100</v>
      </c>
      <c r="Z58">
        <f>in_val_call(S,σ,rf,q,W58,X)</f>
        <v>0</v>
      </c>
      <c r="AC58">
        <f>BS_put(S,σ,rf,q,W58,X)</f>
        <v>23.467848599151132</v>
      </c>
      <c r="AD58">
        <f>X*EXP(-rf*W58)</f>
        <v>87.897396554558313</v>
      </c>
      <c r="AE58">
        <f>in_val_put(S,σ,rf,q,W58,X)</f>
        <v>0</v>
      </c>
      <c r="AJ58">
        <v>4.3</v>
      </c>
      <c r="AK58">
        <f>BS_call(S,AJ58,rf,q,T,X)</f>
        <v>96.891516138284203</v>
      </c>
      <c r="AL58">
        <f>in_val_call(S,AJ58,rf,q,T,X)</f>
        <v>0</v>
      </c>
      <c r="AM58">
        <f>S</f>
        <v>100</v>
      </c>
      <c r="AP58">
        <f>BS_put(S,AJ58,rf,q,T,X)</f>
        <v>93.936069493135022</v>
      </c>
      <c r="AQ58">
        <f>in_val_put(S,AJ58,rf,q,T,X)</f>
        <v>0</v>
      </c>
      <c r="AR58">
        <f>X*EXP(-rf*T)</f>
        <v>97.044553354850819</v>
      </c>
      <c r="AX58">
        <v>0.43</v>
      </c>
      <c r="AY58">
        <f>BS_call(S,σ,AX58,q,T,X)</f>
        <v>36.987961827997111</v>
      </c>
      <c r="AZ58">
        <f>S</f>
        <v>100</v>
      </c>
      <c r="BA58">
        <f>floor_call(S,σ,AX58,q,T,X)</f>
        <v>34.949090527668346</v>
      </c>
      <c r="BD58">
        <f>BS_put(S,σ,AX58,q,T,X)</f>
        <v>2.0388713003287666</v>
      </c>
      <c r="BE58">
        <f>in_val_put(S,σ,AX58,q,T,X)</f>
        <v>0</v>
      </c>
      <c r="BF58">
        <f>X*EXP(-AX58*T)</f>
        <v>65.050909472331654</v>
      </c>
    </row>
    <row r="59" spans="1:58" ht="25.5" x14ac:dyDescent="0.25">
      <c r="A59" s="1">
        <v>44</v>
      </c>
      <c r="B59" s="1">
        <f>BS_call(A59,σ,rf,q,T,X)</f>
        <v>0.18227068636990884</v>
      </c>
      <c r="C59">
        <f t="shared" si="0"/>
        <v>44</v>
      </c>
      <c r="D59">
        <f>in_val_call(A59,σ,rf,q,T,X)</f>
        <v>0</v>
      </c>
      <c r="G59">
        <f>BS_put(A59,σ,rf,q,T,X)</f>
        <v>53.226824041220731</v>
      </c>
      <c r="H59">
        <f>X*EXP(-rf*T)</f>
        <v>97.044553354850819</v>
      </c>
      <c r="I59">
        <f>in_val_put(A59,σ,rf,q,T,X)</f>
        <v>56</v>
      </c>
      <c r="L59">
        <v>44</v>
      </c>
      <c r="M59">
        <f>BS_call(S,σ,rf,q,T,L59)</f>
        <v>57.418427290521052</v>
      </c>
      <c r="N59">
        <f>S</f>
        <v>100</v>
      </c>
      <c r="O59">
        <f>in_val_call(S,σ,rf,q,T,L59)</f>
        <v>56</v>
      </c>
      <c r="Q59" s="3">
        <f>BS_put(S,σ,rf,q,T,L59)</f>
        <v>0.11803076665541579</v>
      </c>
      <c r="R59">
        <f>L59*EXP(-rf*T)</f>
        <v>42.699603476134357</v>
      </c>
      <c r="S59">
        <f>in_val_put(S,σ,rf,q,T,L59)</f>
        <v>0</v>
      </c>
      <c r="W59">
        <v>4.4000000000000004</v>
      </c>
      <c r="X59">
        <f>BS_call(S,σ,rf,q,W59,X)</f>
        <v>35.991414122767402</v>
      </c>
      <c r="Y59">
        <f>S</f>
        <v>100</v>
      </c>
      <c r="Z59">
        <f>in_val_call(S,σ,rf,q,W59,X)</f>
        <v>0</v>
      </c>
      <c r="AC59">
        <f>BS_put(S,σ,rf,q,W59,X)</f>
        <v>23.625513630704724</v>
      </c>
      <c r="AD59">
        <f>X*EXP(-rf*W59)</f>
        <v>87.634099507937322</v>
      </c>
      <c r="AE59">
        <f>in_val_put(S,σ,rf,q,W59,X)</f>
        <v>0</v>
      </c>
      <c r="AJ59">
        <v>4.4000000000000004</v>
      </c>
      <c r="AK59">
        <f>BS_call(S,AJ59,rf,q,T,X)</f>
        <v>97.260758806750403</v>
      </c>
      <c r="AL59">
        <f>in_val_call(S,AJ59,rf,q,T,X)</f>
        <v>0</v>
      </c>
      <c r="AM59">
        <f>S</f>
        <v>100</v>
      </c>
      <c r="AP59">
        <f>BS_put(S,AJ59,rf,q,T,X)</f>
        <v>94.305312161601222</v>
      </c>
      <c r="AQ59">
        <f>in_val_put(S,AJ59,rf,q,T,X)</f>
        <v>0</v>
      </c>
      <c r="AR59">
        <f>X*EXP(-rf*T)</f>
        <v>97.044553354850819</v>
      </c>
      <c r="AX59">
        <v>0.44</v>
      </c>
      <c r="AY59">
        <f>BS_call(S,σ,AX59,q,T,X)</f>
        <v>37.522303637651419</v>
      </c>
      <c r="AZ59">
        <f>S</f>
        <v>100</v>
      </c>
      <c r="BA59">
        <f>floor_call(S,σ,AX59,q,T,X)</f>
        <v>35.596357891685855</v>
      </c>
      <c r="BD59">
        <f>BS_put(S,σ,AX59,q,T,X)</f>
        <v>1.9259457459655511</v>
      </c>
      <c r="BE59">
        <f>in_val_put(S,σ,AX59,q,T,X)</f>
        <v>0</v>
      </c>
      <c r="BF59">
        <f>X*EXP(-AX59*T)</f>
        <v>64.403642108314145</v>
      </c>
    </row>
    <row r="60" spans="1:58" ht="25.5" x14ac:dyDescent="0.25">
      <c r="A60" s="1">
        <v>45</v>
      </c>
      <c r="B60" s="1">
        <f>BS_call(A60,σ,rf,q,T,X)</f>
        <v>0.21579553946472796</v>
      </c>
      <c r="C60">
        <f t="shared" si="0"/>
        <v>45</v>
      </c>
      <c r="D60">
        <f>in_val_call(A60,σ,rf,q,T,X)</f>
        <v>0</v>
      </c>
      <c r="G60">
        <f>BS_put(A60,σ,rf,q,T,X)</f>
        <v>52.260348894315548</v>
      </c>
      <c r="H60">
        <f>X*EXP(-rf*T)</f>
        <v>97.044553354850819</v>
      </c>
      <c r="I60">
        <f>in_val_put(A60,σ,rf,q,T,X)</f>
        <v>55</v>
      </c>
      <c r="L60">
        <v>45</v>
      </c>
      <c r="M60">
        <f>BS_call(S,σ,rf,q,T,L60)</f>
        <v>56.4707449750222</v>
      </c>
      <c r="N60">
        <f>S</f>
        <v>100</v>
      </c>
      <c r="O60">
        <f>in_val_call(S,σ,rf,q,T,L60)</f>
        <v>55</v>
      </c>
      <c r="Q60" s="3">
        <f>BS_put(S,σ,rf,q,T,L60)</f>
        <v>0.14079398470506921</v>
      </c>
      <c r="R60">
        <f>L60*EXP(-rf*T)</f>
        <v>43.67004900968287</v>
      </c>
      <c r="S60">
        <f>in_val_put(S,σ,rf,q,T,L60)</f>
        <v>0</v>
      </c>
      <c r="W60">
        <v>4.5</v>
      </c>
      <c r="X60">
        <f>BS_call(S,σ,rf,q,W60,X)</f>
        <v>36.407093210005222</v>
      </c>
      <c r="Y60">
        <f>S</f>
        <v>100</v>
      </c>
      <c r="Z60">
        <f>in_val_call(S,σ,rf,q,W60,X)</f>
        <v>0</v>
      </c>
      <c r="AC60">
        <f>BS_put(S,σ,rf,q,W60,X)</f>
        <v>23.778684378808677</v>
      </c>
      <c r="AD60">
        <f>X*EXP(-rf*W60)</f>
        <v>87.371591168803448</v>
      </c>
      <c r="AE60">
        <f>in_val_put(S,σ,rf,q,W60,X)</f>
        <v>0</v>
      </c>
      <c r="AJ60">
        <v>4.5</v>
      </c>
      <c r="AK60">
        <f>BS_call(S,AJ60,rf,q,T,X)</f>
        <v>97.591546921492537</v>
      </c>
      <c r="AL60">
        <f>in_val_call(S,AJ60,rf,q,T,X)</f>
        <v>0</v>
      </c>
      <c r="AM60">
        <f>S</f>
        <v>100</v>
      </c>
      <c r="AP60">
        <f>BS_put(S,AJ60,rf,q,T,X)</f>
        <v>94.636100276343356</v>
      </c>
      <c r="AQ60">
        <f>in_val_put(S,AJ60,rf,q,T,X)</f>
        <v>0</v>
      </c>
      <c r="AR60">
        <f>X*EXP(-rf*T)</f>
        <v>97.044553354850819</v>
      </c>
      <c r="AX60">
        <v>0.45</v>
      </c>
      <c r="AY60">
        <f>BS_call(S,σ,AX60,q,T,X)</f>
        <v>38.055556625367061</v>
      </c>
      <c r="AZ60">
        <f>S</f>
        <v>100</v>
      </c>
      <c r="BA60">
        <f>floor_call(S,σ,AX60,q,T,X)</f>
        <v>36.237184837822667</v>
      </c>
      <c r="BD60">
        <f>BS_put(S,σ,AX60,q,T,X)</f>
        <v>1.8183717875443932</v>
      </c>
      <c r="BE60">
        <f>in_val_put(S,σ,AX60,q,T,X)</f>
        <v>0</v>
      </c>
      <c r="BF60">
        <f>X*EXP(-AX60*T)</f>
        <v>63.762815162177333</v>
      </c>
    </row>
    <row r="61" spans="1:58" ht="25.5" x14ac:dyDescent="0.25">
      <c r="A61" s="1">
        <v>46</v>
      </c>
      <c r="B61" s="1">
        <f>BS_call(A61,σ,rf,q,T,X)</f>
        <v>0.25385494278515708</v>
      </c>
      <c r="C61">
        <f t="shared" si="0"/>
        <v>46</v>
      </c>
      <c r="D61">
        <f>in_val_call(A61,σ,rf,q,T,X)</f>
        <v>0</v>
      </c>
      <c r="G61">
        <f>BS_put(A61,σ,rf,q,T,X)</f>
        <v>51.298408297635973</v>
      </c>
      <c r="H61">
        <f>X*EXP(-rf*T)</f>
        <v>97.044553354850819</v>
      </c>
      <c r="I61">
        <f>in_val_put(A61,σ,rf,q,T,X)</f>
        <v>54</v>
      </c>
      <c r="L61">
        <v>46</v>
      </c>
      <c r="M61">
        <f>BS_call(S,σ,rf,q,T,L61)</f>
        <v>55.52634622846503</v>
      </c>
      <c r="N61">
        <f>S</f>
        <v>100</v>
      </c>
      <c r="O61">
        <f>in_val_call(S,σ,rf,q,T,L61)</f>
        <v>54</v>
      </c>
      <c r="Q61" s="3">
        <f>BS_put(S,σ,rf,q,T,L61)</f>
        <v>0.16684077169639244</v>
      </c>
      <c r="R61">
        <f>L61*EXP(-rf*T)</f>
        <v>44.640494543231377</v>
      </c>
      <c r="S61">
        <f>in_val_put(S,σ,rf,q,T,L61)</f>
        <v>0</v>
      </c>
      <c r="W61">
        <v>4.5999999999999996</v>
      </c>
      <c r="X61">
        <f>BS_call(S,σ,rf,q,W61,X)</f>
        <v>36.817642098802054</v>
      </c>
      <c r="Y61">
        <f>S</f>
        <v>100</v>
      </c>
      <c r="Z61">
        <f>in_val_call(S,σ,rf,q,W61,X)</f>
        <v>0</v>
      </c>
      <c r="AC61">
        <f>BS_put(S,σ,rf,q,W61,X)</f>
        <v>23.927511273381892</v>
      </c>
      <c r="AD61">
        <f>X*EXP(-rf*W61)</f>
        <v>87.109869174579842</v>
      </c>
      <c r="AE61">
        <f>in_val_put(S,σ,rf,q,W61,X)</f>
        <v>0</v>
      </c>
      <c r="AJ61">
        <v>4.5999999999999996</v>
      </c>
      <c r="AK61">
        <f>BS_call(S,AJ61,rf,q,T,X)</f>
        <v>97.887145521462259</v>
      </c>
      <c r="AL61">
        <f>in_val_call(S,AJ61,rf,q,T,X)</f>
        <v>0</v>
      </c>
      <c r="AM61">
        <f>S</f>
        <v>100</v>
      </c>
      <c r="AP61">
        <f>BS_put(S,AJ61,rf,q,T,X)</f>
        <v>94.931698876313078</v>
      </c>
      <c r="AQ61">
        <f>in_val_put(S,AJ61,rf,q,T,X)</f>
        <v>0</v>
      </c>
      <c r="AR61">
        <f>X*EXP(-rf*T)</f>
        <v>97.044553354850819</v>
      </c>
      <c r="AX61">
        <v>0.46</v>
      </c>
      <c r="AY61">
        <f>BS_call(S,σ,AX61,q,T,X)</f>
        <v>38.587586251666465</v>
      </c>
      <c r="AZ61">
        <f>S</f>
        <v>100</v>
      </c>
      <c r="BA61">
        <f>floor_call(S,σ,AX61,q,T,X)</f>
        <v>36.871635449307405</v>
      </c>
      <c r="BD61">
        <f>BS_put(S,σ,AX61,q,T,X)</f>
        <v>1.7159508023590622</v>
      </c>
      <c r="BE61">
        <f>in_val_put(S,σ,AX61,q,T,X)</f>
        <v>0</v>
      </c>
      <c r="BF61">
        <f>X*EXP(-AX61*T)</f>
        <v>63.128364550692595</v>
      </c>
    </row>
    <row r="62" spans="1:58" ht="25.5" x14ac:dyDescent="0.25">
      <c r="A62" s="1">
        <v>47</v>
      </c>
      <c r="B62" s="1">
        <f>BS_call(A62,σ,rf,q,T,X)</f>
        <v>0.29682265651757911</v>
      </c>
      <c r="C62">
        <f t="shared" si="0"/>
        <v>47</v>
      </c>
      <c r="D62">
        <f>in_val_call(A62,σ,rf,q,T,X)</f>
        <v>0</v>
      </c>
      <c r="G62">
        <f>BS_put(A62,σ,rf,q,T,X)</f>
        <v>50.341376011368389</v>
      </c>
      <c r="H62">
        <f>X*EXP(-rf*T)</f>
        <v>97.044553354850819</v>
      </c>
      <c r="I62">
        <f>in_val_put(A62,σ,rf,q,T,X)</f>
        <v>53</v>
      </c>
      <c r="L62">
        <v>47</v>
      </c>
      <c r="M62">
        <f>BS_call(S,σ,rf,q,T,L62)</f>
        <v>54.58553339545557</v>
      </c>
      <c r="N62">
        <f>S</f>
        <v>100</v>
      </c>
      <c r="O62">
        <f>in_val_call(S,σ,rf,q,T,L62)</f>
        <v>53</v>
      </c>
      <c r="Q62" s="3">
        <f>BS_put(S,σ,rf,q,T,L62)</f>
        <v>0.19647347223546019</v>
      </c>
      <c r="R62">
        <f>L62*EXP(-rf*T)</f>
        <v>45.610940076779883</v>
      </c>
      <c r="S62">
        <f>in_val_put(S,σ,rf,q,T,L62)</f>
        <v>0</v>
      </c>
      <c r="W62">
        <v>4.7</v>
      </c>
      <c r="X62">
        <f>BS_call(S,σ,rf,q,W62,X)</f>
        <v>37.223205704227901</v>
      </c>
      <c r="Y62">
        <f>S</f>
        <v>100</v>
      </c>
      <c r="Z62">
        <f>in_val_call(S,σ,rf,q,W62,X)</f>
        <v>0</v>
      </c>
      <c r="AC62">
        <f>BS_put(S,σ,rf,q,W62,X)</f>
        <v>24.072136873994683</v>
      </c>
      <c r="AD62">
        <f>X*EXP(-rf*W62)</f>
        <v>86.848931169766786</v>
      </c>
      <c r="AE62">
        <f>in_val_put(S,σ,rf,q,W62,X)</f>
        <v>0</v>
      </c>
      <c r="AJ62">
        <v>4.7</v>
      </c>
      <c r="AK62">
        <f>BS_call(S,AJ62,rf,q,T,X)</f>
        <v>98.150638660370547</v>
      </c>
      <c r="AL62">
        <f>in_val_call(S,AJ62,rf,q,T,X)</f>
        <v>0</v>
      </c>
      <c r="AM62">
        <f>S</f>
        <v>100</v>
      </c>
      <c r="AP62">
        <f>BS_put(S,AJ62,rf,q,T,X)</f>
        <v>95.195192015221366</v>
      </c>
      <c r="AQ62">
        <f>in_val_put(S,AJ62,rf,q,T,X)</f>
        <v>0</v>
      </c>
      <c r="AR62">
        <f>X*EXP(-rf*T)</f>
        <v>97.044553354850819</v>
      </c>
      <c r="AX62">
        <v>0.47</v>
      </c>
      <c r="AY62">
        <f>BS_call(S,σ,AX62,q,T,X)</f>
        <v>39.118261658459481</v>
      </c>
      <c r="AZ62">
        <f>S</f>
        <v>100</v>
      </c>
      <c r="BA62">
        <f>floor_call(S,σ,AX62,q,T,X)</f>
        <v>37.49977317172992</v>
      </c>
      <c r="BD62">
        <f>BS_put(S,σ,AX62,q,T,X)</f>
        <v>1.6184884867295635</v>
      </c>
      <c r="BE62">
        <f>in_val_put(S,σ,AX62,q,T,X)</f>
        <v>0</v>
      </c>
      <c r="BF62">
        <f>X*EXP(-AX62*T)</f>
        <v>62.50022682827008</v>
      </c>
    </row>
    <row r="63" spans="1:58" ht="25.5" x14ac:dyDescent="0.25">
      <c r="A63" s="1">
        <v>48</v>
      </c>
      <c r="B63" s="1">
        <f>BS_call(A63,σ,rf,q,T,X)</f>
        <v>0.34507754225952292</v>
      </c>
      <c r="C63">
        <f t="shared" si="0"/>
        <v>48</v>
      </c>
      <c r="D63">
        <f>in_val_call(A63,σ,rf,q,T,X)</f>
        <v>0</v>
      </c>
      <c r="G63">
        <f>BS_put(A63,σ,rf,q,T,X)</f>
        <v>49.389630897110337</v>
      </c>
      <c r="H63">
        <f>X*EXP(-rf*T)</f>
        <v>97.044553354850819</v>
      </c>
      <c r="I63">
        <f>in_val_put(A63,σ,rf,q,T,X)</f>
        <v>52</v>
      </c>
      <c r="L63">
        <v>48</v>
      </c>
      <c r="M63">
        <f>BS_call(S,σ,rf,q,T,L63)</f>
        <v>53.648616970523875</v>
      </c>
      <c r="N63">
        <f>S</f>
        <v>100</v>
      </c>
      <c r="O63">
        <f>in_val_call(S,σ,rf,q,T,L63)</f>
        <v>52</v>
      </c>
      <c r="Q63" s="3">
        <f>BS_put(S,σ,rf,q,T,L63)</f>
        <v>0.23000258085225656</v>
      </c>
      <c r="R63">
        <f>L63*EXP(-rf*T)</f>
        <v>46.58138561032839</v>
      </c>
      <c r="S63">
        <f>in_val_put(S,σ,rf,q,T,L63)</f>
        <v>0</v>
      </c>
      <c r="W63">
        <v>4.8</v>
      </c>
      <c r="X63">
        <f>BS_call(S,σ,rf,q,W63,X)</f>
        <v>37.623921637779347</v>
      </c>
      <c r="Y63">
        <f>S</f>
        <v>100</v>
      </c>
      <c r="Z63">
        <f>in_val_call(S,σ,rf,q,W63,X)</f>
        <v>0</v>
      </c>
      <c r="AC63">
        <f>BS_put(S,σ,rf,q,W63,X)</f>
        <v>24.21269644369983</v>
      </c>
      <c r="AD63">
        <f>X*EXP(-rf*W63)</f>
        <v>86.588774805920494</v>
      </c>
      <c r="AE63">
        <f>in_val_put(S,σ,rf,q,W63,X)</f>
        <v>0</v>
      </c>
      <c r="AJ63">
        <v>4.8</v>
      </c>
      <c r="AK63">
        <f>BS_call(S,AJ63,rf,q,T,X)</f>
        <v>98.3849270213246</v>
      </c>
      <c r="AL63">
        <f>in_val_call(S,AJ63,rf,q,T,X)</f>
        <v>0</v>
      </c>
      <c r="AM63">
        <f>S</f>
        <v>100</v>
      </c>
      <c r="AP63">
        <f>BS_put(S,AJ63,rf,q,T,X)</f>
        <v>95.429480376175405</v>
      </c>
      <c r="AQ63">
        <f>in_val_put(S,AJ63,rf,q,T,X)</f>
        <v>0</v>
      </c>
      <c r="AR63">
        <f>X*EXP(-rf*T)</f>
        <v>97.044553354850819</v>
      </c>
      <c r="AX63">
        <v>0.48</v>
      </c>
      <c r="AY63">
        <f>BS_call(S,σ,AX63,q,T,X)</f>
        <v>39.647455739676033</v>
      </c>
      <c r="AZ63">
        <f>S</f>
        <v>100</v>
      </c>
      <c r="BA63">
        <f>floor_call(S,σ,AX63,q,T,X)</f>
        <v>38.121660819385916</v>
      </c>
      <c r="BD63">
        <f>BS_put(S,σ,AX63,q,T,X)</f>
        <v>1.5257949202901164</v>
      </c>
      <c r="BE63">
        <f>in_val_put(S,σ,AX63,q,T,X)</f>
        <v>0</v>
      </c>
      <c r="BF63">
        <f>X*EXP(-AX63*T)</f>
        <v>61.878339180614084</v>
      </c>
    </row>
    <row r="64" spans="1:58" ht="25.5" x14ac:dyDescent="0.25">
      <c r="A64" s="1">
        <v>49</v>
      </c>
      <c r="B64" s="1">
        <f>BS_call(A64,σ,rf,q,T,X)</f>
        <v>0.39900167628278416</v>
      </c>
      <c r="C64">
        <f t="shared" si="0"/>
        <v>49</v>
      </c>
      <c r="D64">
        <f>in_val_call(A64,σ,rf,q,T,X)</f>
        <v>0</v>
      </c>
      <c r="G64">
        <f>BS_put(A64,σ,rf,q,T,X)</f>
        <v>48.443555031133606</v>
      </c>
      <c r="H64">
        <f>X*EXP(-rf*T)</f>
        <v>97.044553354850819</v>
      </c>
      <c r="I64">
        <f>in_val_put(A64,σ,rf,q,T,X)</f>
        <v>51</v>
      </c>
      <c r="L64">
        <v>49</v>
      </c>
      <c r="M64">
        <f>BS_call(S,σ,rf,q,T,L64)</f>
        <v>52.715914215052756</v>
      </c>
      <c r="N64">
        <f>S</f>
        <v>100</v>
      </c>
      <c r="O64">
        <f>in_val_call(S,σ,rf,q,T,L64)</f>
        <v>51</v>
      </c>
      <c r="Q64" s="3">
        <f>BS_put(S,σ,rf,q,T,L64)</f>
        <v>0.26774535892965901</v>
      </c>
      <c r="R64">
        <f>L64*EXP(-rf*T)</f>
        <v>47.551831143876896</v>
      </c>
      <c r="S64">
        <f>in_val_put(S,σ,rf,q,T,L64)</f>
        <v>0</v>
      </c>
      <c r="W64">
        <v>4.9000000000000004</v>
      </c>
      <c r="X64">
        <f>BS_call(S,σ,rf,q,W64,X)</f>
        <v>38.019920728145749</v>
      </c>
      <c r="Y64">
        <f>S</f>
        <v>100</v>
      </c>
      <c r="Z64">
        <f>in_val_call(S,σ,rf,q,W64,X)</f>
        <v>0</v>
      </c>
      <c r="AC64">
        <f>BS_put(S,σ,rf,q,W64,X)</f>
        <v>24.349318469777678</v>
      </c>
      <c r="AD64">
        <f>X*EXP(-rf*W64)</f>
        <v>86.329397741631936</v>
      </c>
      <c r="AE64">
        <f>in_val_put(S,σ,rf,q,W64,X)</f>
        <v>0</v>
      </c>
      <c r="AJ64">
        <v>4.9000000000000004</v>
      </c>
      <c r="AK64">
        <f>BS_call(S,AJ64,rf,q,T,X)</f>
        <v>98.592727519256229</v>
      </c>
      <c r="AL64">
        <f>in_val_call(S,AJ64,rf,q,T,X)</f>
        <v>0</v>
      </c>
      <c r="AM64">
        <f>S</f>
        <v>100</v>
      </c>
      <c r="AP64">
        <f>BS_put(S,AJ64,rf,q,T,X)</f>
        <v>95.637280874107049</v>
      </c>
      <c r="AQ64">
        <f>in_val_put(S,AJ64,rf,q,T,X)</f>
        <v>0</v>
      </c>
      <c r="AR64">
        <f>X*EXP(-rf*T)</f>
        <v>97.044553354850819</v>
      </c>
      <c r="AX64">
        <v>0.49</v>
      </c>
      <c r="AY64">
        <f>BS_call(S,σ,AX64,q,T,X)</f>
        <v>40.17504520254046</v>
      </c>
      <c r="AZ64">
        <f>S</f>
        <v>100</v>
      </c>
      <c r="BA64">
        <f>floor_call(S,σ,AX64,q,T,X)</f>
        <v>38.737360581558391</v>
      </c>
      <c r="BD64">
        <f>BS_put(S,σ,AX64,q,T,X)</f>
        <v>1.4376846209820755</v>
      </c>
      <c r="BE64">
        <f>in_val_put(S,σ,AX64,q,T,X)</f>
        <v>0</v>
      </c>
      <c r="BF64">
        <f>X*EXP(-AX64*T)</f>
        <v>61.262639418441609</v>
      </c>
    </row>
    <row r="65" spans="1:58" ht="25.5" x14ac:dyDescent="0.25">
      <c r="A65" s="1">
        <v>50</v>
      </c>
      <c r="B65" s="1">
        <f>BS_call(A65,σ,rf,q,T,X)</f>
        <v>0.45897847696594196</v>
      </c>
      <c r="C65">
        <f t="shared" si="0"/>
        <v>50</v>
      </c>
      <c r="D65">
        <f>in_val_call(A65,σ,rf,q,T,X)</f>
        <v>0</v>
      </c>
      <c r="G65">
        <f>BS_put(A65,σ,rf,q,T,X)</f>
        <v>47.503531831816773</v>
      </c>
      <c r="H65">
        <f>X*EXP(-rf*T)</f>
        <v>97.044553354850819</v>
      </c>
      <c r="I65">
        <f>in_val_put(A65,σ,rf,q,T,X)</f>
        <v>50</v>
      </c>
      <c r="L65">
        <v>50</v>
      </c>
      <c r="M65">
        <f>BS_call(S,σ,rf,q,T,L65)</f>
        <v>51.787747738785605</v>
      </c>
      <c r="N65">
        <f>S</f>
        <v>100</v>
      </c>
      <c r="O65">
        <f>in_val_call(S,σ,rf,q,T,L65)</f>
        <v>50</v>
      </c>
      <c r="Q65" s="3">
        <f>BS_put(S,σ,rf,q,T,L65)</f>
        <v>0.31002441621102017</v>
      </c>
      <c r="R65">
        <f>L65*EXP(-rf*T)</f>
        <v>48.52227667742541</v>
      </c>
      <c r="S65">
        <f>in_val_put(S,σ,rf,q,T,L65)</f>
        <v>0</v>
      </c>
      <c r="W65">
        <v>5</v>
      </c>
      <c r="X65">
        <f>BS_call(S,σ,rf,q,W65,X)</f>
        <v>38.411327494789582</v>
      </c>
      <c r="Y65">
        <f>S</f>
        <v>100</v>
      </c>
      <c r="Z65">
        <f>in_val_call(S,σ,rf,q,W65,X)</f>
        <v>0</v>
      </c>
      <c r="AC65">
        <f>BS_put(S,σ,rf,q,W65,X)</f>
        <v>24.482125137295363</v>
      </c>
      <c r="AD65">
        <f>X*EXP(-rf*W65)</f>
        <v>86.070797642505781</v>
      </c>
      <c r="AE65">
        <f>in_val_put(S,σ,rf,q,W65,X)</f>
        <v>0</v>
      </c>
      <c r="AJ65">
        <v>5</v>
      </c>
      <c r="AK65">
        <f>BS_call(S,AJ65,rf,q,T,X)</f>
        <v>98.776574677889883</v>
      </c>
      <c r="AL65">
        <f>in_val_call(S,AJ65,rf,q,T,X)</f>
        <v>0</v>
      </c>
      <c r="AM65">
        <f>S</f>
        <v>100</v>
      </c>
      <c r="AP65">
        <f>BS_put(S,AJ65,rf,q,T,X)</f>
        <v>95.821128032740702</v>
      </c>
      <c r="AQ65">
        <f>in_val_put(S,AJ65,rf,q,T,X)</f>
        <v>0</v>
      </c>
      <c r="AR65">
        <f>X*EXP(-rf*T)</f>
        <v>97.044553354850819</v>
      </c>
      <c r="AX65">
        <v>0.5</v>
      </c>
      <c r="AY65">
        <f>BS_call(S,σ,AX65,q,T,X)</f>
        <v>40.700910619629077</v>
      </c>
      <c r="AZ65">
        <f>S</f>
        <v>100</v>
      </c>
      <c r="BA65">
        <f>floor_call(S,σ,AX65,q,T,X)</f>
        <v>39.346934028736655</v>
      </c>
      <c r="BD65">
        <f>BS_put(S,σ,AX65,q,T,X)</f>
        <v>1.3539765908924188</v>
      </c>
      <c r="BE65">
        <f>in_val_put(S,σ,AX65,q,T,X)</f>
        <v>0</v>
      </c>
      <c r="BF65">
        <f>X*EXP(-AX65*T)</f>
        <v>60.653065971263345</v>
      </c>
    </row>
    <row r="66" spans="1:58" ht="25.5" x14ac:dyDescent="0.25">
      <c r="A66" s="1">
        <v>51</v>
      </c>
      <c r="B66" s="1">
        <f>BS_call(A66,σ,rf,q,T,X)</f>
        <v>0.52539086614704189</v>
      </c>
      <c r="C66">
        <f t="shared" si="0"/>
        <v>51</v>
      </c>
      <c r="D66">
        <f>in_val_call(A66,σ,rf,q,T,X)</f>
        <v>0</v>
      </c>
      <c r="G66">
        <f>BS_put(A66,σ,rf,q,T,X)</f>
        <v>46.569944220997861</v>
      </c>
      <c r="H66">
        <f>X*EXP(-rf*T)</f>
        <v>97.044553354850819</v>
      </c>
      <c r="I66">
        <f>in_val_put(A66,σ,rf,q,T,X)</f>
        <v>49</v>
      </c>
      <c r="L66">
        <v>51</v>
      </c>
      <c r="M66">
        <f>BS_call(S,σ,rf,q,T,L66)</f>
        <v>50.864444062603361</v>
      </c>
      <c r="N66">
        <f>S</f>
        <v>100</v>
      </c>
      <c r="O66">
        <f>in_val_call(S,σ,rf,q,T,L66)</f>
        <v>49</v>
      </c>
      <c r="Q66" s="3">
        <f>BS_put(S,σ,rf,q,T,L66)</f>
        <v>0.35716627357727848</v>
      </c>
      <c r="R66">
        <f>L66*EXP(-rf*T)</f>
        <v>49.492722210973916</v>
      </c>
      <c r="S66">
        <f>in_val_put(S,σ,rf,q,T,L66)</f>
        <v>0</v>
      </c>
      <c r="W66">
        <v>5.0999999999999996</v>
      </c>
      <c r="X66">
        <f>BS_call(S,σ,rf,q,W66,X)</f>
        <v>38.798260579479731</v>
      </c>
      <c r="Y66">
        <f>S</f>
        <v>100</v>
      </c>
      <c r="Z66">
        <f>in_val_call(S,σ,rf,q,W66,X)</f>
        <v>0</v>
      </c>
      <c r="AC66">
        <f>BS_put(S,σ,rf,q,W66,X)</f>
        <v>24.611232760619114</v>
      </c>
      <c r="AD66">
        <f>X*EXP(-rf*W66)</f>
        <v>85.812972181139386</v>
      </c>
      <c r="AE66">
        <f>in_val_put(S,σ,rf,q,W66,X)</f>
        <v>0</v>
      </c>
      <c r="AJ66">
        <v>5.0999999999999996</v>
      </c>
      <c r="AK66">
        <f>BS_call(S,AJ66,rf,q,T,X)</f>
        <v>98.938823566569241</v>
      </c>
      <c r="AL66">
        <f>in_val_call(S,AJ66,rf,q,T,X)</f>
        <v>0</v>
      </c>
      <c r="AM66">
        <f>S</f>
        <v>100</v>
      </c>
      <c r="AP66">
        <f>BS_put(S,AJ66,rf,q,T,X)</f>
        <v>95.98337692142006</v>
      </c>
      <c r="AQ66">
        <f>in_val_put(S,AJ66,rf,q,T,X)</f>
        <v>0</v>
      </c>
      <c r="AR66">
        <f>X*EXP(-rf*T)</f>
        <v>97.044553354850819</v>
      </c>
      <c r="AX66">
        <v>0.51</v>
      </c>
      <c r="AY66">
        <f>BS_call(S,σ,AX66,q,T,X)</f>
        <v>41.22493647187671</v>
      </c>
      <c r="AZ66">
        <f>S</f>
        <v>100</v>
      </c>
      <c r="BA66">
        <f>floor_call(S,σ,AX66,q,T,X)</f>
        <v>39.95044211877341</v>
      </c>
      <c r="BD66">
        <f>BS_put(S,σ,AX66,q,T,X)</f>
        <v>1.2744943531032913</v>
      </c>
      <c r="BE66">
        <f>in_val_put(S,σ,AX66,q,T,X)</f>
        <v>0</v>
      </c>
      <c r="BF66">
        <f>X*EXP(-AX66*T)</f>
        <v>60.04955788122659</v>
      </c>
    </row>
    <row r="67" spans="1:58" ht="25.5" x14ac:dyDescent="0.25">
      <c r="A67" s="1">
        <v>52</v>
      </c>
      <c r="B67" s="1">
        <f>BS_call(A67,σ,rf,q,T,X)</f>
        <v>0.59861948203987136</v>
      </c>
      <c r="C67">
        <f t="shared" si="0"/>
        <v>52</v>
      </c>
      <c r="D67">
        <f>in_val_call(A67,σ,rf,q,T,X)</f>
        <v>0</v>
      </c>
      <c r="G67">
        <f>BS_put(A67,σ,rf,q,T,X)</f>
        <v>45.643172836890685</v>
      </c>
      <c r="H67">
        <f>X*EXP(-rf*T)</f>
        <v>97.044553354850819</v>
      </c>
      <c r="I67">
        <f>in_val_put(A67,σ,rf,q,T,X)</f>
        <v>48</v>
      </c>
      <c r="L67">
        <v>52</v>
      </c>
      <c r="M67">
        <f>BS_call(S,σ,rf,q,T,L67)</f>
        <v>49.946332178279576</v>
      </c>
      <c r="N67">
        <f>S</f>
        <v>100</v>
      </c>
      <c r="O67">
        <f>in_val_call(S,σ,rf,q,T,L67)</f>
        <v>48</v>
      </c>
      <c r="Q67" s="3">
        <f>BS_put(S,σ,rf,q,T,L67)</f>
        <v>0.40949992280200265</v>
      </c>
      <c r="R67">
        <f>L67*EXP(-rf*T)</f>
        <v>50.463167744522423</v>
      </c>
      <c r="S67">
        <f>in_val_put(S,σ,rf,q,T,L67)</f>
        <v>0</v>
      </c>
      <c r="W67">
        <v>5.2</v>
      </c>
      <c r="X67">
        <f>BS_call(S,σ,rf,q,W67,X)</f>
        <v>39.180833140267417</v>
      </c>
      <c r="Y67">
        <f>S</f>
        <v>100</v>
      </c>
      <c r="Z67">
        <f>in_val_call(S,σ,rf,q,W67,X)</f>
        <v>0</v>
      </c>
      <c r="AC67">
        <f>BS_put(S,σ,rf,q,W67,X)</f>
        <v>24.736752177369265</v>
      </c>
      <c r="AD67">
        <f>X*EXP(-rf*W67)</f>
        <v>85.555919037101845</v>
      </c>
      <c r="AE67">
        <f>in_val_put(S,σ,rf,q,W67,X)</f>
        <v>0</v>
      </c>
      <c r="AJ67">
        <v>5.2</v>
      </c>
      <c r="AK67">
        <f>BS_call(S,AJ67,rf,q,T,X)</f>
        <v>99.08165408452345</v>
      </c>
      <c r="AL67">
        <f>in_val_call(S,AJ67,rf,q,T,X)</f>
        <v>0</v>
      </c>
      <c r="AM67">
        <f>S</f>
        <v>100</v>
      </c>
      <c r="AP67">
        <f>BS_put(S,AJ67,rf,q,T,X)</f>
        <v>96.126207439374269</v>
      </c>
      <c r="AQ67">
        <f>in_val_put(S,AJ67,rf,q,T,X)</f>
        <v>0</v>
      </c>
      <c r="AR67">
        <f>X*EXP(-rf*T)</f>
        <v>97.044553354850819</v>
      </c>
      <c r="AX67">
        <v>0.52</v>
      </c>
      <c r="AY67">
        <f>BS_call(S,σ,AX67,q,T,X)</f>
        <v>41.747011182722815</v>
      </c>
      <c r="AZ67">
        <f>S</f>
        <v>100</v>
      </c>
      <c r="BA67">
        <f>floor_call(S,σ,AX67,q,T,X)</f>
        <v>40.547945202980564</v>
      </c>
      <c r="BD67">
        <f>BS_put(S,σ,AX67,q,T,X)</f>
        <v>1.1990659797422571</v>
      </c>
      <c r="BE67">
        <f>in_val_put(S,σ,AX67,q,T,X)</f>
        <v>0</v>
      </c>
      <c r="BF67">
        <f>X*EXP(-AX67*T)</f>
        <v>59.452054797019436</v>
      </c>
    </row>
    <row r="68" spans="1:58" ht="25.5" x14ac:dyDescent="0.25">
      <c r="A68" s="1">
        <v>53</v>
      </c>
      <c r="B68" s="1">
        <f>BS_call(A68,σ,rf,q,T,X)</f>
        <v>0.67904095917768581</v>
      </c>
      <c r="C68">
        <f t="shared" si="0"/>
        <v>53</v>
      </c>
      <c r="D68">
        <f>in_val_call(A68,σ,rf,q,T,X)</f>
        <v>0</v>
      </c>
      <c r="G68">
        <f>BS_put(A68,σ,rf,q,T,X)</f>
        <v>44.72359431402851</v>
      </c>
      <c r="H68">
        <f>X*EXP(-rf*T)</f>
        <v>97.044553354850819</v>
      </c>
      <c r="I68">
        <f>in_val_put(A68,σ,rf,q,T,X)</f>
        <v>47</v>
      </c>
      <c r="L68">
        <v>53</v>
      </c>
      <c r="M68">
        <f>BS_call(S,σ,rf,q,T,L68)</f>
        <v>49.033742119774281</v>
      </c>
      <c r="N68">
        <f>S</f>
        <v>100</v>
      </c>
      <c r="O68">
        <f>in_val_call(S,σ,rf,q,T,L68)</f>
        <v>47</v>
      </c>
      <c r="Q68" s="3">
        <f>BS_put(S,σ,rf,q,T,L68)</f>
        <v>0.46735539784521096</v>
      </c>
      <c r="R68">
        <f>L68*EXP(-rf*T)</f>
        <v>51.433613278070929</v>
      </c>
      <c r="S68">
        <f>in_val_put(S,σ,rf,q,T,L68)</f>
        <v>0</v>
      </c>
      <c r="W68">
        <v>5.3</v>
      </c>
      <c r="X68">
        <f>BS_call(S,σ,rf,q,W68,X)</f>
        <v>39.559153211837298</v>
      </c>
      <c r="Y68">
        <f>S</f>
        <v>100</v>
      </c>
      <c r="Z68">
        <f>in_val_call(S,σ,rf,q,W68,X)</f>
        <v>0</v>
      </c>
      <c r="AC68">
        <f>BS_put(S,σ,rf,q,W68,X)</f>
        <v>24.85878910875044</v>
      </c>
      <c r="AD68">
        <f>X*EXP(-rf*W68)</f>
        <v>85.299635896913145</v>
      </c>
      <c r="AE68">
        <f>in_val_put(S,σ,rf,q,W68,X)</f>
        <v>0</v>
      </c>
      <c r="AJ68">
        <v>5.3</v>
      </c>
      <c r="AK68">
        <f>BS_call(S,AJ68,rf,q,T,X)</f>
        <v>99.207076385644697</v>
      </c>
      <c r="AL68">
        <f>in_val_call(S,AJ68,rf,q,T,X)</f>
        <v>0</v>
      </c>
      <c r="AM68">
        <f>S</f>
        <v>100</v>
      </c>
      <c r="AP68">
        <f>BS_put(S,AJ68,rf,q,T,X)</f>
        <v>96.251629740495531</v>
      </c>
      <c r="AQ68">
        <f>in_val_put(S,AJ68,rf,q,T,X)</f>
        <v>0</v>
      </c>
      <c r="AR68">
        <f>X*EXP(-rf*T)</f>
        <v>97.044553354850819</v>
      </c>
      <c r="AX68">
        <v>0.53</v>
      </c>
      <c r="AY68">
        <f>BS_call(S,σ,AX68,q,T,X)</f>
        <v>42.267027143609496</v>
      </c>
      <c r="AZ68">
        <f>S</f>
        <v>100</v>
      </c>
      <c r="BA68">
        <f>floor_call(S,σ,AX68,q,T,X)</f>
        <v>41.139503032164484</v>
      </c>
      <c r="BD68">
        <f>BS_put(S,σ,AX68,q,T,X)</f>
        <v>1.1275241114450072</v>
      </c>
      <c r="BE68">
        <f>in_val_put(S,σ,AX68,q,T,X)</f>
        <v>0</v>
      </c>
      <c r="BF68">
        <f>X*EXP(-AX68*T)</f>
        <v>58.860496967835516</v>
      </c>
    </row>
    <row r="69" spans="1:58" ht="25.5" x14ac:dyDescent="0.25">
      <c r="A69" s="1">
        <v>54</v>
      </c>
      <c r="B69" s="1">
        <f>BS_call(A69,σ,rf,q,T,X)</f>
        <v>0.7670262886517305</v>
      </c>
      <c r="C69">
        <f t="shared" si="0"/>
        <v>54</v>
      </c>
      <c r="D69">
        <f>in_val_call(A69,σ,rf,q,T,X)</f>
        <v>0</v>
      </c>
      <c r="G69">
        <f>BS_put(A69,σ,rf,q,T,X)</f>
        <v>43.811579643502554</v>
      </c>
      <c r="H69">
        <f>X*EXP(-rf*T)</f>
        <v>97.044553354850819</v>
      </c>
      <c r="I69">
        <f>in_val_put(A69,σ,rf,q,T,X)</f>
        <v>46</v>
      </c>
      <c r="L69">
        <v>54</v>
      </c>
      <c r="M69">
        <f>BS_call(S,σ,rf,q,T,L69)</f>
        <v>48.127003559359608</v>
      </c>
      <c r="N69">
        <f>S</f>
        <v>100</v>
      </c>
      <c r="O69">
        <f>in_val_call(S,σ,rf,q,T,L69)</f>
        <v>46</v>
      </c>
      <c r="Q69" s="3">
        <f>BS_put(S,σ,rf,q,T,L69)</f>
        <v>0.5310623709790474</v>
      </c>
      <c r="R69">
        <f>L69*EXP(-rf*T)</f>
        <v>52.404058811619443</v>
      </c>
      <c r="S69">
        <f>in_val_put(S,σ,rf,q,T,L69)</f>
        <v>0</v>
      </c>
      <c r="W69">
        <v>5.4</v>
      </c>
      <c r="X69">
        <f>BS_call(S,σ,rf,q,W69,X)</f>
        <v>39.933324035688351</v>
      </c>
      <c r="Y69">
        <f>S</f>
        <v>100</v>
      </c>
      <c r="Z69">
        <f>in_val_call(S,σ,rf,q,W69,X)</f>
        <v>0</v>
      </c>
      <c r="AC69">
        <f>BS_put(S,σ,rf,q,W69,X)</f>
        <v>24.977444489711651</v>
      </c>
      <c r="AD69">
        <f>X*EXP(-rf*W69)</f>
        <v>85.0441204540233</v>
      </c>
      <c r="AE69">
        <f>in_val_put(S,σ,rf,q,W69,X)</f>
        <v>0</v>
      </c>
      <c r="AJ69">
        <v>5.4</v>
      </c>
      <c r="AK69">
        <f>BS_call(S,AJ69,rf,q,T,X)</f>
        <v>99.316937245098458</v>
      </c>
      <c r="AL69">
        <f>in_val_call(S,AJ69,rf,q,T,X)</f>
        <v>0</v>
      </c>
      <c r="AM69">
        <f>S</f>
        <v>100</v>
      </c>
      <c r="AP69">
        <f>BS_put(S,AJ69,rf,q,T,X)</f>
        <v>96.361490599949278</v>
      </c>
      <c r="AQ69">
        <f>in_val_put(S,AJ69,rf,q,T,X)</f>
        <v>0</v>
      </c>
      <c r="AR69">
        <f>X*EXP(-rf*T)</f>
        <v>97.044553354850819</v>
      </c>
      <c r="AX69">
        <v>0.54</v>
      </c>
      <c r="AY69">
        <f>BS_call(S,σ,AX69,q,T,X)</f>
        <v>42.784880731063893</v>
      </c>
      <c r="AZ69">
        <f>S</f>
        <v>100</v>
      </c>
      <c r="BA69">
        <f>floor_call(S,σ,AX69,q,T,X)</f>
        <v>41.725174762601036</v>
      </c>
      <c r="BD69">
        <f>BS_put(S,σ,AX69,q,T,X)</f>
        <v>1.0597059684628674</v>
      </c>
      <c r="BE69">
        <f>in_val_put(S,σ,AX69,q,T,X)</f>
        <v>0</v>
      </c>
      <c r="BF69">
        <f>X*EXP(-AX69*T)</f>
        <v>58.274825237398964</v>
      </c>
    </row>
    <row r="70" spans="1:58" ht="25.5" x14ac:dyDescent="0.25">
      <c r="A70" s="1">
        <v>55</v>
      </c>
      <c r="B70" s="1">
        <f>BS_call(A70,σ,rf,q,T,X)</f>
        <v>0.86293926974501289</v>
      </c>
      <c r="C70">
        <f t="shared" si="0"/>
        <v>55</v>
      </c>
      <c r="D70">
        <f>in_val_call(A70,σ,rf,q,T,X)</f>
        <v>0</v>
      </c>
      <c r="G70">
        <f>BS_put(A70,σ,rf,q,T,X)</f>
        <v>42.907492624595825</v>
      </c>
      <c r="H70">
        <f>X*EXP(-rf*T)</f>
        <v>97.044553354850819</v>
      </c>
      <c r="I70">
        <f>in_val_put(A70,σ,rf,q,T,X)</f>
        <v>45</v>
      </c>
      <c r="L70">
        <v>55</v>
      </c>
      <c r="M70">
        <f>BS_call(S,σ,rf,q,T,L70)</f>
        <v>47.226444440523295</v>
      </c>
      <c r="N70">
        <f>S</f>
        <v>100</v>
      </c>
      <c r="O70">
        <f>in_val_call(S,σ,rf,q,T,L70)</f>
        <v>45</v>
      </c>
      <c r="Q70" s="3">
        <f>BS_put(S,σ,rf,q,T,L70)</f>
        <v>0.60094878569124655</v>
      </c>
      <c r="R70">
        <f>L70*EXP(-rf*T)</f>
        <v>53.374504345167949</v>
      </c>
      <c r="S70">
        <f>in_val_put(S,σ,rf,q,T,L70)</f>
        <v>0</v>
      </c>
      <c r="W70">
        <v>5.5</v>
      </c>
      <c r="X70">
        <f>BS_call(S,σ,rf,q,W70,X)</f>
        <v>40.303444363186131</v>
      </c>
      <c r="Y70">
        <f>S</f>
        <v>100</v>
      </c>
      <c r="Z70">
        <f>in_val_call(S,σ,rf,q,W70,X)</f>
        <v>0</v>
      </c>
      <c r="AC70">
        <f>BS_put(S,σ,rf,q,W70,X)</f>
        <v>25.092814771977721</v>
      </c>
      <c r="AD70">
        <f>X*EXP(-rf*W70)</f>
        <v>84.789370408791584</v>
      </c>
      <c r="AE70">
        <f>in_val_put(S,σ,rf,q,W70,X)</f>
        <v>0</v>
      </c>
      <c r="AJ70">
        <v>5.5</v>
      </c>
      <c r="AK70">
        <f>BS_call(S,AJ70,rf,q,T,X)</f>
        <v>99.412927179613433</v>
      </c>
      <c r="AL70">
        <f>in_val_call(S,AJ70,rf,q,T,X)</f>
        <v>0</v>
      </c>
      <c r="AM70">
        <f>S</f>
        <v>100</v>
      </c>
      <c r="AP70">
        <f>BS_put(S,AJ70,rf,q,T,X)</f>
        <v>96.457480534464253</v>
      </c>
      <c r="AQ70">
        <f>in_val_put(S,AJ70,rf,q,T,X)</f>
        <v>0</v>
      </c>
      <c r="AR70">
        <f>X*EXP(-rf*T)</f>
        <v>97.044553354850819</v>
      </c>
      <c r="AX70">
        <v>0.55000000000000004</v>
      </c>
      <c r="AY70">
        <f>BS_call(S,σ,AX70,q,T,X)</f>
        <v>43.300472315617917</v>
      </c>
      <c r="AZ70">
        <f>S</f>
        <v>100</v>
      </c>
      <c r="BA70">
        <f>floor_call(S,σ,AX70,q,T,X)</f>
        <v>42.305018961951333</v>
      </c>
      <c r="BD70">
        <f>BS_put(S,σ,AX70,q,T,X)</f>
        <v>0.99545335366657817</v>
      </c>
      <c r="BE70">
        <f>in_val_put(S,σ,AX70,q,T,X)</f>
        <v>0</v>
      </c>
      <c r="BF70">
        <f>X*EXP(-AX70*T)</f>
        <v>57.694981038048667</v>
      </c>
    </row>
    <row r="71" spans="1:58" ht="25.5" x14ac:dyDescent="0.25">
      <c r="A71" s="1">
        <v>56</v>
      </c>
      <c r="B71" s="1">
        <f>BS_call(A71,σ,rf,q,T,X)</f>
        <v>0.96713506196317844</v>
      </c>
      <c r="C71">
        <f t="shared" si="0"/>
        <v>56</v>
      </c>
      <c r="D71">
        <f>in_val_call(A71,σ,rf,q,T,X)</f>
        <v>0</v>
      </c>
      <c r="G71">
        <f>BS_put(A71,σ,rf,q,T,X)</f>
        <v>42.011688416813989</v>
      </c>
      <c r="H71">
        <f>X*EXP(-rf*T)</f>
        <v>97.044553354850819</v>
      </c>
      <c r="I71">
        <f>in_val_put(A71,σ,rf,q,T,X)</f>
        <v>44</v>
      </c>
      <c r="L71">
        <v>56</v>
      </c>
      <c r="M71">
        <f>BS_call(S,σ,rf,q,T,L71)</f>
        <v>46.332389658205571</v>
      </c>
      <c r="N71">
        <f>S</f>
        <v>100</v>
      </c>
      <c r="O71">
        <f>in_val_call(S,σ,rf,q,T,L71)</f>
        <v>44</v>
      </c>
      <c r="Q71" s="3">
        <f>BS_put(S,σ,rf,q,T,L71)</f>
        <v>0.67733953692202764</v>
      </c>
      <c r="R71">
        <f>L71*EXP(-rf*T)</f>
        <v>54.344949878716456</v>
      </c>
      <c r="S71">
        <f>in_val_put(S,σ,rf,q,T,L71)</f>
        <v>0</v>
      </c>
      <c r="W71">
        <v>5.6</v>
      </c>
      <c r="X71">
        <f>BS_call(S,σ,rf,q,W71,X)</f>
        <v>40.669608734172137</v>
      </c>
      <c r="Y71">
        <f>S</f>
        <v>100</v>
      </c>
      <c r="Z71">
        <f>in_val_call(S,σ,rf,q,W71,X)</f>
        <v>0</v>
      </c>
      <c r="AC71">
        <f>BS_put(S,σ,rf,q,W71,X)</f>
        <v>25.204992202638017</v>
      </c>
      <c r="AD71">
        <f>X*EXP(-rf*W71)</f>
        <v>84.535383468465881</v>
      </c>
      <c r="AE71">
        <f>in_val_put(S,σ,rf,q,W71,X)</f>
        <v>0</v>
      </c>
      <c r="AJ71">
        <v>5.6</v>
      </c>
      <c r="AK71">
        <f>BS_call(S,AJ71,rf,q,T,X)</f>
        <v>99.496588145635229</v>
      </c>
      <c r="AL71">
        <f>in_val_call(S,AJ71,rf,q,T,X)</f>
        <v>0</v>
      </c>
      <c r="AM71">
        <f>S</f>
        <v>100</v>
      </c>
      <c r="AP71">
        <f>BS_put(S,AJ71,rf,q,T,X)</f>
        <v>96.541141500486049</v>
      </c>
      <c r="AQ71">
        <f>in_val_put(S,AJ71,rf,q,T,X)</f>
        <v>0</v>
      </c>
      <c r="AR71">
        <f>X*EXP(-rf*T)</f>
        <v>97.044553354850819</v>
      </c>
      <c r="AX71">
        <v>0.56000000000000005</v>
      </c>
      <c r="AY71">
        <f>BS_call(S,σ,AX71,q,T,X)</f>
        <v>43.813706262833364</v>
      </c>
      <c r="AZ71">
        <f>S</f>
        <v>100</v>
      </c>
      <c r="BA71">
        <f>floor_call(S,σ,AX71,q,T,X)</f>
        <v>42.879093615118514</v>
      </c>
      <c r="BD71">
        <f>BS_put(S,σ,AX71,q,T,X)</f>
        <v>0.93461264771485641</v>
      </c>
      <c r="BE71">
        <f>in_val_put(S,σ,AX71,q,T,X)</f>
        <v>0</v>
      </c>
      <c r="BF71">
        <f>X*EXP(-AX71*T)</f>
        <v>57.120906384881486</v>
      </c>
    </row>
    <row r="72" spans="1:58" ht="25.5" x14ac:dyDescent="0.25">
      <c r="A72" s="1">
        <v>57</v>
      </c>
      <c r="B72" s="1">
        <f>BS_call(A72,σ,rf,q,T,X)</f>
        <v>1.0799588444641799</v>
      </c>
      <c r="C72">
        <f t="shared" si="0"/>
        <v>57</v>
      </c>
      <c r="D72">
        <f>in_val_call(A72,σ,rf,q,T,X)</f>
        <v>0</v>
      </c>
      <c r="G72">
        <f>BS_put(A72,σ,rf,q,T,X)</f>
        <v>41.124512199315014</v>
      </c>
      <c r="H72">
        <f>X*EXP(-rf*T)</f>
        <v>97.044553354850819</v>
      </c>
      <c r="I72">
        <f>in_val_put(A72,σ,rf,q,T,X)</f>
        <v>43</v>
      </c>
      <c r="L72">
        <v>57</v>
      </c>
      <c r="M72">
        <f>BS_call(S,σ,rf,q,T,L72)</f>
        <v>45.445159795523033</v>
      </c>
      <c r="N72">
        <f>S</f>
        <v>100</v>
      </c>
      <c r="O72">
        <f>in_val_call(S,σ,rf,q,T,L72)</f>
        <v>43</v>
      </c>
      <c r="Q72" s="3">
        <f>BS_put(S,σ,rf,q,T,L72)</f>
        <v>0.76055520778799934</v>
      </c>
      <c r="R72">
        <f>L72*EXP(-rf*T)</f>
        <v>55.315395412264962</v>
      </c>
      <c r="S72">
        <f>in_val_put(S,σ,rf,q,T,L72)</f>
        <v>0</v>
      </c>
      <c r="W72">
        <v>5.7</v>
      </c>
      <c r="X72">
        <f>BS_call(S,σ,rf,q,W72,X)</f>
        <v>41.031907733506081</v>
      </c>
      <c r="Y72">
        <f>S</f>
        <v>100</v>
      </c>
      <c r="Z72">
        <f>in_val_call(S,σ,rf,q,W72,X)</f>
        <v>0</v>
      </c>
      <c r="AC72">
        <f>BS_put(S,σ,rf,q,W72,X)</f>
        <v>25.314065080668069</v>
      </c>
      <c r="AD72">
        <f>X*EXP(-rf*W72)</f>
        <v>84.282157347161984</v>
      </c>
      <c r="AE72">
        <f>in_val_put(S,σ,rf,q,W72,X)</f>
        <v>0</v>
      </c>
      <c r="AJ72">
        <v>5.7</v>
      </c>
      <c r="AK72">
        <f>BS_call(S,AJ72,rf,q,T,X)</f>
        <v>99.569321653222346</v>
      </c>
      <c r="AL72">
        <f>in_val_call(S,AJ72,rf,q,T,X)</f>
        <v>0</v>
      </c>
      <c r="AM72">
        <f>S</f>
        <v>100</v>
      </c>
      <c r="AP72">
        <f>BS_put(S,AJ72,rf,q,T,X)</f>
        <v>96.613875008073165</v>
      </c>
      <c r="AQ72">
        <f>in_val_put(S,AJ72,rf,q,T,X)</f>
        <v>0</v>
      </c>
      <c r="AR72">
        <f>X*EXP(-rf*T)</f>
        <v>97.044553354850819</v>
      </c>
      <c r="AX72">
        <v>0.56999999999999995</v>
      </c>
      <c r="AY72">
        <f>BS_call(S,σ,AX72,q,T,X)</f>
        <v>44.324490926718383</v>
      </c>
      <c r="AZ72">
        <f>S</f>
        <v>100</v>
      </c>
      <c r="BA72">
        <f>floor_call(S,σ,AX72,q,T,X)</f>
        <v>43.447456130046291</v>
      </c>
      <c r="BD72">
        <f>BS_put(S,σ,AX72,q,T,X)</f>
        <v>0.8770347966720875</v>
      </c>
      <c r="BE72">
        <f>in_val_put(S,σ,AX72,q,T,X)</f>
        <v>0</v>
      </c>
      <c r="BF72">
        <f>X*EXP(-AX72*T)</f>
        <v>56.552543869953709</v>
      </c>
    </row>
    <row r="73" spans="1:58" ht="25.5" x14ac:dyDescent="0.25">
      <c r="A73" s="1">
        <v>58</v>
      </c>
      <c r="B73" s="1">
        <f>BS_call(A73,σ,rf,q,T,X)</f>
        <v>1.2017445880100333</v>
      </c>
      <c r="C73">
        <f t="shared" si="0"/>
        <v>58</v>
      </c>
      <c r="D73">
        <f>in_val_call(A73,σ,rf,q,T,X)</f>
        <v>0</v>
      </c>
      <c r="G73">
        <f>BS_put(A73,σ,rf,q,T,X)</f>
        <v>40.246297942860849</v>
      </c>
      <c r="H73">
        <f>X*EXP(-rf*T)</f>
        <v>97.044553354850819</v>
      </c>
      <c r="I73">
        <f>in_val_put(A73,σ,rf,q,T,X)</f>
        <v>42</v>
      </c>
      <c r="L73">
        <v>58</v>
      </c>
      <c r="M73">
        <f>BS_call(S,σ,rf,q,T,L73)</f>
        <v>44.565069924746183</v>
      </c>
      <c r="N73">
        <f>S</f>
        <v>100</v>
      </c>
      <c r="O73">
        <f>in_val_call(S,σ,rf,q,T,L73)</f>
        <v>42</v>
      </c>
      <c r="Q73" s="3">
        <f>BS_put(S,σ,rf,q,T,L73)</f>
        <v>0.85091087055965708</v>
      </c>
      <c r="R73">
        <f>L73*EXP(-rf*T)</f>
        <v>56.285840945813476</v>
      </c>
      <c r="S73">
        <f>in_val_put(S,σ,rf,q,T,L73)</f>
        <v>0</v>
      </c>
      <c r="W73">
        <v>5.8</v>
      </c>
      <c r="X73">
        <f>BS_call(S,σ,rf,q,W73,X)</f>
        <v>41.390428227648727</v>
      </c>
      <c r="Y73">
        <f>S</f>
        <v>100</v>
      </c>
      <c r="Z73">
        <f>in_val_call(S,σ,rf,q,W73,X)</f>
        <v>0</v>
      </c>
      <c r="AC73">
        <f>BS_put(S,σ,rf,q,W73,X)</f>
        <v>25.420117993491868</v>
      </c>
      <c r="AD73">
        <f>X*EXP(-rf*W73)</f>
        <v>84.029689765843145</v>
      </c>
      <c r="AE73">
        <f>in_val_put(S,σ,rf,q,W73,X)</f>
        <v>0</v>
      </c>
      <c r="AJ73">
        <v>5.8</v>
      </c>
      <c r="AK73">
        <f>BS_call(S,AJ73,rf,q,T,X)</f>
        <v>99.632397148193235</v>
      </c>
      <c r="AL73">
        <f>in_val_call(S,AJ73,rf,q,T,X)</f>
        <v>0</v>
      </c>
      <c r="AM73">
        <f>S</f>
        <v>100</v>
      </c>
      <c r="AP73">
        <f>BS_put(S,AJ73,rf,q,T,X)</f>
        <v>96.676950503044054</v>
      </c>
      <c r="AQ73">
        <f>in_val_put(S,AJ73,rf,q,T,X)</f>
        <v>0</v>
      </c>
      <c r="AR73">
        <f>X*EXP(-rf*T)</f>
        <v>97.044553354850819</v>
      </c>
      <c r="AX73">
        <v>0.57999999999999996</v>
      </c>
      <c r="AY73">
        <f>BS_call(S,σ,AX73,q,T,X)</f>
        <v>44.83273863583296</v>
      </c>
      <c r="AZ73">
        <f>S</f>
        <v>100</v>
      </c>
      <c r="BA73">
        <f>floor_call(S,σ,AX73,q,T,X)</f>
        <v>44.010163343459794</v>
      </c>
      <c r="BD73">
        <f>BS_put(S,σ,AX73,q,T,X)</f>
        <v>0.82257529237316174</v>
      </c>
      <c r="BE73">
        <f>in_val_put(S,σ,AX73,q,T,X)</f>
        <v>0</v>
      </c>
      <c r="BF73">
        <f>X*EXP(-AX73*T)</f>
        <v>55.989836656540206</v>
      </c>
    </row>
    <row r="74" spans="1:58" ht="25.5" x14ac:dyDescent="0.25">
      <c r="A74" s="1">
        <v>59</v>
      </c>
      <c r="B74" s="1">
        <f>BS_call(A74,σ,rf,q,T,X)</f>
        <v>1.3328139428244796</v>
      </c>
      <c r="C74">
        <f t="shared" si="0"/>
        <v>59</v>
      </c>
      <c r="D74">
        <f>in_val_call(A74,σ,rf,q,T,X)</f>
        <v>0</v>
      </c>
      <c r="G74">
        <f>BS_put(A74,σ,rf,q,T,X)</f>
        <v>39.377367297675306</v>
      </c>
      <c r="H74">
        <f>X*EXP(-rf*T)</f>
        <v>97.044553354850819</v>
      </c>
      <c r="I74">
        <f>in_val_put(A74,σ,rf,q,T,X)</f>
        <v>41</v>
      </c>
      <c r="L74">
        <v>59</v>
      </c>
      <c r="M74">
        <f>BS_call(S,σ,rf,q,T,L74)</f>
        <v>43.692428478947761</v>
      </c>
      <c r="N74">
        <f>S</f>
        <v>100</v>
      </c>
      <c r="O74">
        <f>in_val_call(S,σ,rf,q,T,L74)</f>
        <v>41</v>
      </c>
      <c r="Q74" s="3">
        <f>BS_put(S,σ,rf,q,T,L74)</f>
        <v>0.94871495830974251</v>
      </c>
      <c r="R74">
        <f>L74*EXP(-rf*T)</f>
        <v>57.256286479361982</v>
      </c>
      <c r="S74">
        <f>in_val_put(S,σ,rf,q,T,L74)</f>
        <v>0</v>
      </c>
      <c r="W74">
        <v>5.9</v>
      </c>
      <c r="X74">
        <f>BS_call(S,σ,rf,q,W74,X)</f>
        <v>41.745253583158458</v>
      </c>
      <c r="Y74">
        <f>S</f>
        <v>100</v>
      </c>
      <c r="Z74">
        <f>in_val_call(S,σ,rf,q,W74,X)</f>
        <v>0</v>
      </c>
      <c r="AC74">
        <f>BS_put(S,σ,rf,q,W74,X)</f>
        <v>25.523232035457845</v>
      </c>
      <c r="AD74">
        <f>X*EXP(-rf*W74)</f>
        <v>83.777978452299379</v>
      </c>
      <c r="AE74">
        <f>in_val_put(S,σ,rf,q,W74,X)</f>
        <v>0</v>
      </c>
      <c r="AJ74">
        <v>5.9</v>
      </c>
      <c r="AK74">
        <f>BS_call(S,AJ74,rf,q,T,X)</f>
        <v>99.686960530207315</v>
      </c>
      <c r="AL74">
        <f>in_val_call(S,AJ74,rf,q,T,X)</f>
        <v>0</v>
      </c>
      <c r="AM74">
        <f>S</f>
        <v>100</v>
      </c>
      <c r="AP74">
        <f>BS_put(S,AJ74,rf,q,T,X)</f>
        <v>96.731513885058121</v>
      </c>
      <c r="AQ74">
        <f>in_val_put(S,AJ74,rf,q,T,X)</f>
        <v>0</v>
      </c>
      <c r="AR74">
        <f>X*EXP(-rf*T)</f>
        <v>97.044553354850819</v>
      </c>
      <c r="AX74">
        <v>0.59</v>
      </c>
      <c r="AY74">
        <f>BS_call(S,σ,AX74,q,T,X)</f>
        <v>45.338365672395113</v>
      </c>
      <c r="AZ74">
        <f>S</f>
        <v>100</v>
      </c>
      <c r="BA74">
        <f>floor_call(S,σ,AX74,q,T,X)</f>
        <v>44.567271526549291</v>
      </c>
      <c r="BD74">
        <f>BS_put(S,σ,AX74,q,T,X)</f>
        <v>0.7710941458458187</v>
      </c>
      <c r="BE74">
        <f>in_val_put(S,σ,AX74,q,T,X)</f>
        <v>0</v>
      </c>
      <c r="BF74">
        <f>X*EXP(-AX74*T)</f>
        <v>55.432728473450709</v>
      </c>
    </row>
    <row r="75" spans="1:58" ht="25.5" x14ac:dyDescent="0.25">
      <c r="A75" s="1">
        <v>60</v>
      </c>
      <c r="B75" s="1">
        <f>BS_call(A75,σ,rf,q,T,X)</f>
        <v>1.4734752441505687</v>
      </c>
      <c r="C75">
        <f t="shared" si="0"/>
        <v>60</v>
      </c>
      <c r="D75">
        <f>in_val_call(A75,σ,rf,q,T,X)</f>
        <v>0</v>
      </c>
      <c r="G75">
        <f>BS_put(A75,σ,rf,q,T,X)</f>
        <v>38.518028599001397</v>
      </c>
      <c r="H75">
        <f>X*EXP(-rf*T)</f>
        <v>97.044553354850819</v>
      </c>
      <c r="I75">
        <f>in_val_put(A75,σ,rf,q,T,X)</f>
        <v>40</v>
      </c>
      <c r="L75">
        <v>60</v>
      </c>
      <c r="M75">
        <f>BS_call(S,σ,rf,q,T,L75)</f>
        <v>42.827536199445028</v>
      </c>
      <c r="N75">
        <f>S</f>
        <v>100</v>
      </c>
      <c r="O75">
        <f>in_val_call(S,σ,rf,q,T,L75)</f>
        <v>40</v>
      </c>
      <c r="Q75" s="3">
        <f>BS_put(S,σ,rf,q,T,L75)</f>
        <v>1.0542682123555158</v>
      </c>
      <c r="R75">
        <f>L75*EXP(-rf*T)</f>
        <v>58.226732012910489</v>
      </c>
      <c r="S75">
        <f>in_val_put(S,σ,rf,q,T,L75)</f>
        <v>0</v>
      </c>
      <c r="W75">
        <v>6</v>
      </c>
      <c r="X75">
        <f>BS_call(S,σ,rf,q,W75,X)</f>
        <v>42.096463868769895</v>
      </c>
      <c r="Y75">
        <f>S</f>
        <v>100</v>
      </c>
      <c r="Z75">
        <f>in_val_call(S,σ,rf,q,W75,X)</f>
        <v>0</v>
      </c>
      <c r="AC75">
        <f>BS_put(S,σ,rf,q,W75,X)</f>
        <v>25.623485009897088</v>
      </c>
      <c r="AD75">
        <f>X*EXP(-rf*W75)</f>
        <v>83.527021141127193</v>
      </c>
      <c r="AE75">
        <f>in_val_put(S,σ,rf,q,W75,X)</f>
        <v>0</v>
      </c>
      <c r="AJ75">
        <v>6</v>
      </c>
      <c r="AK75">
        <f>BS_call(S,AJ75,rf,q,T,X)</f>
        <v>99.734042689829479</v>
      </c>
      <c r="AL75">
        <f>in_val_call(S,AJ75,rf,q,T,X)</f>
        <v>0</v>
      </c>
      <c r="AM75">
        <f>S</f>
        <v>100</v>
      </c>
      <c r="AP75">
        <f>BS_put(S,AJ75,rf,q,T,X)</f>
        <v>96.778596044680313</v>
      </c>
      <c r="AQ75">
        <f>in_val_put(S,AJ75,rf,q,T,X)</f>
        <v>0</v>
      </c>
      <c r="AR75">
        <f>X*EXP(-rf*T)</f>
        <v>97.044553354850819</v>
      </c>
      <c r="AX75">
        <v>0.6</v>
      </c>
      <c r="AY75">
        <f>BS_call(S,σ,AX75,q,T,X)</f>
        <v>45.841292244708526</v>
      </c>
      <c r="AZ75">
        <f>S</f>
        <v>100</v>
      </c>
      <c r="BA75">
        <f>floor_call(S,σ,AX75,q,T,X)</f>
        <v>45.118836390597352</v>
      </c>
      <c r="BD75">
        <f>BS_put(S,σ,AX75,q,T,X)</f>
        <v>0.7224558541111783</v>
      </c>
      <c r="BE75">
        <f>in_val_put(S,σ,AX75,q,T,X)</f>
        <v>0</v>
      </c>
      <c r="BF75">
        <f>X*EXP(-AX75*T)</f>
        <v>54.881163609402641</v>
      </c>
    </row>
    <row r="76" spans="1:58" ht="25.5" x14ac:dyDescent="0.25">
      <c r="A76" s="1">
        <v>61</v>
      </c>
      <c r="B76" s="1">
        <f>BS_call(A76,σ,rf,q,T,X)</f>
        <v>1.624022635868843</v>
      </c>
      <c r="C76">
        <f t="shared" si="0"/>
        <v>61</v>
      </c>
      <c r="D76">
        <f>in_val_call(A76,σ,rf,q,T,X)</f>
        <v>0</v>
      </c>
      <c r="G76">
        <f>BS_put(A76,σ,rf,q,T,X)</f>
        <v>37.668575990719667</v>
      </c>
      <c r="H76">
        <f>X*EXP(-rf*T)</f>
        <v>97.044553354850819</v>
      </c>
      <c r="I76">
        <f>in_val_put(A76,σ,rf,q,T,X)</f>
        <v>39</v>
      </c>
      <c r="L76">
        <v>61</v>
      </c>
      <c r="M76">
        <f>BS_call(S,σ,rf,q,T,L76)</f>
        <v>41.970685162934899</v>
      </c>
      <c r="N76">
        <f>S</f>
        <v>100</v>
      </c>
      <c r="O76">
        <f>in_val_call(S,σ,rf,q,T,L76)</f>
        <v>39</v>
      </c>
      <c r="Q76" s="3">
        <f>BS_put(S,σ,rf,q,T,L76)</f>
        <v>1.1678627093938951</v>
      </c>
      <c r="R76">
        <f>L76*EXP(-rf*T)</f>
        <v>59.197177546458995</v>
      </c>
      <c r="S76">
        <f>in_val_put(S,σ,rf,q,T,L76)</f>
        <v>0</v>
      </c>
      <c r="W76">
        <v>6.1</v>
      </c>
      <c r="X76">
        <f>BS_call(S,σ,rf,q,W76,X)</f>
        <v>42.444136042544081</v>
      </c>
      <c r="Y76">
        <f>S</f>
        <v>100</v>
      </c>
      <c r="Z76">
        <f>in_val_call(S,σ,rf,q,W76,X)</f>
        <v>0</v>
      </c>
      <c r="AC76">
        <f>BS_put(S,σ,rf,q,W76,X)</f>
        <v>25.720951616253178</v>
      </c>
      <c r="AD76">
        <f>X*EXP(-rf*W76)</f>
        <v>83.276815573709101</v>
      </c>
      <c r="AE76">
        <f>in_val_put(S,σ,rf,q,W76,X)</f>
        <v>0</v>
      </c>
      <c r="AJ76">
        <v>6.1</v>
      </c>
      <c r="AK76">
        <f>BS_call(S,AJ76,rf,q,T,X)</f>
        <v>99.774567962875253</v>
      </c>
      <c r="AL76">
        <f>in_val_call(S,AJ76,rf,q,T,X)</f>
        <v>0</v>
      </c>
      <c r="AM76">
        <f>S</f>
        <v>100</v>
      </c>
      <c r="AP76">
        <f>BS_put(S,AJ76,rf,q,T,X)</f>
        <v>96.819121317726072</v>
      </c>
      <c r="AQ76">
        <f>in_val_put(S,AJ76,rf,q,T,X)</f>
        <v>0</v>
      </c>
      <c r="AR76">
        <f>X*EXP(-rf*T)</f>
        <v>97.044553354850819</v>
      </c>
      <c r="AX76">
        <v>0.61</v>
      </c>
      <c r="AY76">
        <f>BS_call(S,σ,AX76,q,T,X)</f>
        <v>46.341442453242131</v>
      </c>
      <c r="AZ76">
        <f>S</f>
        <v>100</v>
      </c>
      <c r="BA76">
        <f>floor_call(S,σ,AX76,q,T,X)</f>
        <v>45.664913092550016</v>
      </c>
      <c r="BD76">
        <f>BS_put(S,σ,AX76,q,T,X)</f>
        <v>0.67652936069212188</v>
      </c>
      <c r="BE76">
        <f>in_val_put(S,σ,AX76,q,T,X)</f>
        <v>0</v>
      </c>
      <c r="BF76">
        <f>X*EXP(-AX76*T)</f>
        <v>54.335086907449984</v>
      </c>
    </row>
    <row r="77" spans="1:58" ht="25.5" x14ac:dyDescent="0.25">
      <c r="A77" s="1">
        <v>62</v>
      </c>
      <c r="B77" s="1">
        <f>BS_call(A77,σ,rf,q,T,X)</f>
        <v>1.7847353112617075</v>
      </c>
      <c r="C77">
        <f t="shared" si="0"/>
        <v>62</v>
      </c>
      <c r="D77">
        <f>in_val_call(A77,σ,rf,q,T,X)</f>
        <v>0</v>
      </c>
      <c r="G77">
        <f>BS_put(A77,σ,rf,q,T,X)</f>
        <v>36.829288666112518</v>
      </c>
      <c r="H77">
        <f>X*EXP(-rf*T)</f>
        <v>97.044553354850819</v>
      </c>
      <c r="I77">
        <f>in_val_put(A77,σ,rf,q,T,X)</f>
        <v>38</v>
      </c>
      <c r="L77">
        <v>62</v>
      </c>
      <c r="M77">
        <f>BS_call(S,σ,rf,q,T,L77)</f>
        <v>41.12215789107686</v>
      </c>
      <c r="N77">
        <f>S</f>
        <v>100</v>
      </c>
      <c r="O77">
        <f>in_val_call(S,σ,rf,q,T,L77)</f>
        <v>38</v>
      </c>
      <c r="Q77" s="3">
        <f>BS_put(S,σ,rf,q,T,L77)</f>
        <v>1.2897809710843768</v>
      </c>
      <c r="R77">
        <f>L77*EXP(-rf*T)</f>
        <v>60.167623080007509</v>
      </c>
      <c r="S77">
        <f>in_val_put(S,σ,rf,q,T,L77)</f>
        <v>0</v>
      </c>
      <c r="W77">
        <v>6.2</v>
      </c>
      <c r="X77">
        <f>BS_call(S,σ,rf,q,W77,X)</f>
        <v>42.788344125421744</v>
      </c>
      <c r="Y77">
        <f>S</f>
        <v>100</v>
      </c>
      <c r="Z77">
        <f>in_val_call(S,σ,rf,q,W77,X)</f>
        <v>0</v>
      </c>
      <c r="AC77">
        <f>BS_put(S,σ,rf,q,W77,X)</f>
        <v>25.815703623615001</v>
      </c>
      <c r="AD77">
        <f>X*EXP(-rf*W77)</f>
        <v>83.027359498193263</v>
      </c>
      <c r="AE77">
        <f>in_val_put(S,σ,rf,q,W77,X)</f>
        <v>0</v>
      </c>
      <c r="AJ77">
        <v>6.2</v>
      </c>
      <c r="AK77">
        <f>BS_call(S,AJ77,rf,q,T,X)</f>
        <v>99.809362415194954</v>
      </c>
      <c r="AL77">
        <f>in_val_call(S,AJ77,rf,q,T,X)</f>
        <v>0</v>
      </c>
      <c r="AM77">
        <f>S</f>
        <v>100</v>
      </c>
      <c r="AP77">
        <f>BS_put(S,AJ77,rf,q,T,X)</f>
        <v>96.853915770045774</v>
      </c>
      <c r="AQ77">
        <f>in_val_put(S,AJ77,rf,q,T,X)</f>
        <v>0</v>
      </c>
      <c r="AR77">
        <f>X*EXP(-rf*T)</f>
        <v>97.044553354850819</v>
      </c>
      <c r="AX77">
        <v>0.62</v>
      </c>
      <c r="AY77">
        <f>BS_call(S,σ,AX77,q,T,X)</f>
        <v>46.838744250698724</v>
      </c>
      <c r="AZ77">
        <f>S</f>
        <v>100</v>
      </c>
      <c r="BA77">
        <f>floor_call(S,σ,AX77,q,T,X)</f>
        <v>46.205556240532552</v>
      </c>
      <c r="BD77">
        <f>BS_put(S,σ,AX77,q,T,X)</f>
        <v>0.63318801016617687</v>
      </c>
      <c r="BE77">
        <f>in_val_put(S,σ,AX77,q,T,X)</f>
        <v>0</v>
      </c>
      <c r="BF77">
        <f>X*EXP(-AX77*T)</f>
        <v>53.794443759467448</v>
      </c>
    </row>
    <row r="78" spans="1:58" ht="25.5" x14ac:dyDescent="0.25">
      <c r="A78" s="1">
        <v>63</v>
      </c>
      <c r="B78" s="1">
        <f>BS_call(A78,σ,rf,q,T,X)</f>
        <v>1.9558768688918491</v>
      </c>
      <c r="C78">
        <f t="shared" si="0"/>
        <v>63</v>
      </c>
      <c r="D78">
        <f>in_val_call(A78,σ,rf,q,T,X)</f>
        <v>0</v>
      </c>
      <c r="G78">
        <f>BS_put(A78,σ,rf,q,T,X)</f>
        <v>36.000430223742676</v>
      </c>
      <c r="H78">
        <f>X*EXP(-rf*T)</f>
        <v>97.044553354850819</v>
      </c>
      <c r="I78">
        <f>in_val_put(A78,σ,rf,q,T,X)</f>
        <v>37</v>
      </c>
      <c r="L78">
        <v>63</v>
      </c>
      <c r="M78">
        <f>BS_call(S,σ,rf,q,T,L78)</f>
        <v>40.282226544222446</v>
      </c>
      <c r="N78">
        <f>S</f>
        <v>100</v>
      </c>
      <c r="O78">
        <f>in_val_call(S,σ,rf,q,T,L78)</f>
        <v>37</v>
      </c>
      <c r="Q78" s="3">
        <f>BS_put(S,σ,rf,q,T,L78)</f>
        <v>1.4202951577784662</v>
      </c>
      <c r="R78">
        <f>L78*EXP(-rf*T)</f>
        <v>61.138068613556015</v>
      </c>
      <c r="S78">
        <f>in_val_put(S,σ,rf,q,T,L78)</f>
        <v>0</v>
      </c>
      <c r="W78">
        <v>6.3</v>
      </c>
      <c r="X78">
        <f>BS_call(S,σ,rf,q,W78,X)</f>
        <v>43.129159362373329</v>
      </c>
      <c r="Y78">
        <f>S</f>
        <v>100</v>
      </c>
      <c r="Z78">
        <f>in_val_call(S,σ,rf,q,W78,X)</f>
        <v>0</v>
      </c>
      <c r="AC78">
        <f>BS_put(S,σ,rf,q,W78,X)</f>
        <v>25.907810031846694</v>
      </c>
      <c r="AD78">
        <f>X*EXP(-rf*W78)</f>
        <v>82.778650669473365</v>
      </c>
      <c r="AE78">
        <f>in_val_put(S,σ,rf,q,W78,X)</f>
        <v>0</v>
      </c>
      <c r="AJ78">
        <v>6.3</v>
      </c>
      <c r="AK78">
        <f>BS_call(S,AJ78,rf,q,T,X)</f>
        <v>99.839161885308044</v>
      </c>
      <c r="AL78">
        <f>in_val_call(S,AJ78,rf,q,T,X)</f>
        <v>0</v>
      </c>
      <c r="AM78">
        <f>S</f>
        <v>100</v>
      </c>
      <c r="AP78">
        <f>BS_put(S,AJ78,rf,q,T,X)</f>
        <v>96.883715240158878</v>
      </c>
      <c r="AQ78">
        <f>in_val_put(S,AJ78,rf,q,T,X)</f>
        <v>0</v>
      </c>
      <c r="AR78">
        <f>X*EXP(-rf*T)</f>
        <v>97.044553354850819</v>
      </c>
      <c r="AX78">
        <v>0.63</v>
      </c>
      <c r="AY78">
        <f>BS_call(S,σ,AX78,q,T,X)</f>
        <v>47.3331293964156</v>
      </c>
      <c r="AZ78">
        <f>S</f>
        <v>100</v>
      </c>
      <c r="BA78">
        <f>floor_call(S,σ,AX78,q,T,X)</f>
        <v>46.740819899310281</v>
      </c>
      <c r="BD78">
        <f>BS_put(S,σ,AX78,q,T,X)</f>
        <v>0.59230949710531222</v>
      </c>
      <c r="BE78">
        <f>in_val_put(S,σ,AX78,q,T,X)</f>
        <v>0</v>
      </c>
      <c r="BF78">
        <f>X*EXP(-AX78*T)</f>
        <v>53.259180100689719</v>
      </c>
    </row>
    <row r="79" spans="1:58" ht="25.5" x14ac:dyDescent="0.25">
      <c r="A79" s="1">
        <v>64</v>
      </c>
      <c r="B79" s="1">
        <f>BS_call(A79,σ,rf,q,T,X)</f>
        <v>2.1376947805978972</v>
      </c>
      <c r="C79">
        <f t="shared" si="0"/>
        <v>64</v>
      </c>
      <c r="D79">
        <f>in_val_call(A79,σ,rf,q,T,X)</f>
        <v>0</v>
      </c>
      <c r="G79">
        <f>BS_put(A79,σ,rf,q,T,X)</f>
        <v>35.182248135448717</v>
      </c>
      <c r="H79">
        <f>X*EXP(-rf*T)</f>
        <v>97.044553354850819</v>
      </c>
      <c r="I79">
        <f>in_val_put(A79,σ,rf,q,T,X)</f>
        <v>36</v>
      </c>
      <c r="L79">
        <v>64</v>
      </c>
      <c r="M79">
        <f>BS_call(S,σ,rf,q,T,L79)</f>
        <v>39.451152200026293</v>
      </c>
      <c r="N79">
        <f>S</f>
        <v>100</v>
      </c>
      <c r="O79">
        <f>in_val_call(S,σ,rf,q,T,L79)</f>
        <v>36</v>
      </c>
      <c r="Q79" s="3">
        <f>BS_put(S,σ,rf,q,T,L79)</f>
        <v>1.5596663471308192</v>
      </c>
      <c r="R79">
        <f>L79*EXP(-rf*T)</f>
        <v>62.108514147104522</v>
      </c>
      <c r="S79">
        <f>in_val_put(S,σ,rf,q,T,L79)</f>
        <v>0</v>
      </c>
      <c r="W79">
        <v>6.4</v>
      </c>
      <c r="X79">
        <f>BS_call(S,σ,rf,q,W79,X)</f>
        <v>43.466650372216932</v>
      </c>
      <c r="Y79">
        <f>S</f>
        <v>100</v>
      </c>
      <c r="Z79">
        <f>in_val_call(S,σ,rf,q,W79,X)</f>
        <v>0</v>
      </c>
      <c r="AC79">
        <f>BS_put(S,σ,rf,q,W79,X)</f>
        <v>25.99733722138517</v>
      </c>
      <c r="AD79">
        <f>X*EXP(-rf*W79)</f>
        <v>82.530686849168234</v>
      </c>
      <c r="AE79">
        <f>in_val_put(S,σ,rf,q,W79,X)</f>
        <v>0</v>
      </c>
      <c r="AJ79">
        <v>6.4</v>
      </c>
      <c r="AK79">
        <f>BS_call(S,AJ79,rf,q,T,X)</f>
        <v>99.864619725759411</v>
      </c>
      <c r="AL79">
        <f>in_val_call(S,AJ79,rf,q,T,X)</f>
        <v>0</v>
      </c>
      <c r="AM79">
        <f>S</f>
        <v>100</v>
      </c>
      <c r="AP79">
        <f>BS_put(S,AJ79,rf,q,T,X)</f>
        <v>96.90917308061023</v>
      </c>
      <c r="AQ79">
        <f>in_val_put(S,AJ79,rf,q,T,X)</f>
        <v>0</v>
      </c>
      <c r="AR79">
        <f>X*EXP(-rf*T)</f>
        <v>97.044553354850819</v>
      </c>
      <c r="AX79">
        <v>0.64</v>
      </c>
      <c r="AY79">
        <f>BS_call(S,σ,AX79,q,T,X)</f>
        <v>47.824533405443972</v>
      </c>
      <c r="AZ79">
        <f>S</f>
        <v>100</v>
      </c>
      <c r="BA79">
        <f>floor_call(S,σ,AX79,q,T,X)</f>
        <v>47.270757595695144</v>
      </c>
      <c r="BD79">
        <f>BS_put(S,σ,AX79,q,T,X)</f>
        <v>0.55377580974882568</v>
      </c>
      <c r="BE79">
        <f>in_val_put(S,σ,AX79,q,T,X)</f>
        <v>0</v>
      </c>
      <c r="BF79">
        <f>X*EXP(-AX79*T)</f>
        <v>52.729242404304856</v>
      </c>
    </row>
    <row r="80" spans="1:58" ht="25.5" x14ac:dyDescent="0.25">
      <c r="A80" s="1">
        <v>65</v>
      </c>
      <c r="B80" s="1">
        <f>BS_call(A80,σ,rf,q,T,X)</f>
        <v>2.3304199677930182</v>
      </c>
      <c r="C80">
        <f t="shared" si="0"/>
        <v>65</v>
      </c>
      <c r="D80">
        <f>in_val_call(A80,σ,rf,q,T,X)</f>
        <v>0</v>
      </c>
      <c r="G80">
        <f>BS_put(A80,σ,rf,q,T,X)</f>
        <v>34.374973322643825</v>
      </c>
      <c r="H80">
        <f>X*EXP(-rf*T)</f>
        <v>97.044553354850819</v>
      </c>
      <c r="I80">
        <f>in_val_put(A80,σ,rf,q,T,X)</f>
        <v>35</v>
      </c>
      <c r="L80">
        <v>65</v>
      </c>
      <c r="M80">
        <f>BS_call(S,σ,rf,q,T,L80)</f>
        <v>38.629184216805243</v>
      </c>
      <c r="N80">
        <f>S</f>
        <v>100</v>
      </c>
      <c r="O80">
        <f>in_val_call(S,σ,rf,q,T,L80)</f>
        <v>35</v>
      </c>
      <c r="Q80" s="3">
        <f>BS_put(S,σ,rf,q,T,L80)</f>
        <v>1.7081438974582603</v>
      </c>
      <c r="R80">
        <f>L80*EXP(-rf*T)</f>
        <v>63.078959680653028</v>
      </c>
      <c r="S80">
        <f>in_val_put(S,σ,rf,q,T,L80)</f>
        <v>0</v>
      </c>
      <c r="W80">
        <v>6.5</v>
      </c>
      <c r="X80">
        <f>BS_call(S,σ,rf,q,W80,X)</f>
        <v>43.800883287067407</v>
      </c>
      <c r="Y80">
        <f>S</f>
        <v>100</v>
      </c>
      <c r="Z80">
        <f>in_val_call(S,σ,rf,q,W80,X)</f>
        <v>0</v>
      </c>
      <c r="AC80">
        <f>BS_put(S,σ,rf,q,W80,X)</f>
        <v>26.08434909266925</v>
      </c>
      <c r="AD80">
        <f>X*EXP(-rf*W80)</f>
        <v>82.283465805601836</v>
      </c>
      <c r="AE80">
        <f>in_val_put(S,σ,rf,q,W80,X)</f>
        <v>0</v>
      </c>
      <c r="AJ80">
        <v>6.5</v>
      </c>
      <c r="AK80">
        <f>BS_call(S,AJ80,rf,q,T,X)</f>
        <v>99.886314196601845</v>
      </c>
      <c r="AL80">
        <f>in_val_call(S,AJ80,rf,q,T,X)</f>
        <v>0</v>
      </c>
      <c r="AM80">
        <f>S</f>
        <v>100</v>
      </c>
      <c r="AP80">
        <f>BS_put(S,AJ80,rf,q,T,X)</f>
        <v>96.930867551452664</v>
      </c>
      <c r="AQ80">
        <f>in_val_put(S,AJ80,rf,q,T,X)</f>
        <v>0</v>
      </c>
      <c r="AR80">
        <f>X*EXP(-rf*T)</f>
        <v>97.044553354850819</v>
      </c>
      <c r="AX80">
        <v>0.65</v>
      </c>
      <c r="AY80">
        <f>BS_call(S,σ,AX80,q,T,X)</f>
        <v>48.312895492656594</v>
      </c>
      <c r="AZ80">
        <f>S</f>
        <v>100</v>
      </c>
      <c r="BA80">
        <f>floor_call(S,σ,AX80,q,T,X)</f>
        <v>47.795422323898393</v>
      </c>
      <c r="BD80">
        <f>BS_put(S,σ,AX80,q,T,X)</f>
        <v>0.51747316875819482</v>
      </c>
      <c r="BE80">
        <f>in_val_put(S,σ,AX80,q,T,X)</f>
        <v>0</v>
      </c>
      <c r="BF80">
        <f>X*EXP(-AX80*T)</f>
        <v>52.204577676101607</v>
      </c>
    </row>
    <row r="81" spans="1:58" ht="25.5" x14ac:dyDescent="0.25">
      <c r="A81" s="1">
        <v>66</v>
      </c>
      <c r="B81" s="1">
        <f>BS_call(A81,σ,rf,q,T,X)</f>
        <v>2.5342664815736047</v>
      </c>
      <c r="C81">
        <f t="shared" ref="C81:C115" si="1">A81</f>
        <v>66</v>
      </c>
      <c r="D81">
        <f>in_val_call(A81,σ,rf,q,T,X)</f>
        <v>0</v>
      </c>
      <c r="G81">
        <f>BS_put(A81,σ,rf,q,T,X)</f>
        <v>33.578819836424422</v>
      </c>
      <c r="H81">
        <f>X*EXP(-rf*T)</f>
        <v>97.044553354850819</v>
      </c>
      <c r="I81">
        <f>in_val_put(A81,σ,rf,q,T,X)</f>
        <v>34</v>
      </c>
      <c r="L81">
        <v>66</v>
      </c>
      <c r="M81">
        <f>BS_call(S,σ,rf,q,T,L81)</f>
        <v>37.816559680737832</v>
      </c>
      <c r="N81">
        <f>S</f>
        <v>100</v>
      </c>
      <c r="O81">
        <f>in_val_call(S,σ,rf,q,T,L81)</f>
        <v>34</v>
      </c>
      <c r="Q81" s="3">
        <f>BS_put(S,σ,rf,q,T,L81)</f>
        <v>1.8659648949393794</v>
      </c>
      <c r="R81">
        <f>L81*EXP(-rf*T)</f>
        <v>64.049405214201542</v>
      </c>
      <c r="S81">
        <f>in_val_put(S,σ,rf,q,T,L81)</f>
        <v>0</v>
      </c>
      <c r="W81">
        <v>6.6</v>
      </c>
      <c r="X81">
        <f>BS_call(S,σ,rf,q,W81,X)</f>
        <v>44.131921882284701</v>
      </c>
      <c r="Y81">
        <f>S</f>
        <v>100</v>
      </c>
      <c r="Z81">
        <f>in_val_call(S,σ,rf,q,W81,X)</f>
        <v>0</v>
      </c>
      <c r="AC81">
        <f>BS_put(S,σ,rf,q,W81,X)</f>
        <v>26.168907196067803</v>
      </c>
      <c r="AD81">
        <f>X*EXP(-rf*W81)</f>
        <v>82.036985313783106</v>
      </c>
      <c r="AE81">
        <f>in_val_put(S,σ,rf,q,W81,X)</f>
        <v>0</v>
      </c>
      <c r="AJ81">
        <v>6.6</v>
      </c>
      <c r="AK81">
        <f>BS_call(S,AJ81,rf,q,T,X)</f>
        <v>99.904755475911159</v>
      </c>
      <c r="AL81">
        <f>in_val_call(S,AJ81,rf,q,T,X)</f>
        <v>0</v>
      </c>
      <c r="AM81">
        <f>S</f>
        <v>100</v>
      </c>
      <c r="AP81">
        <f>BS_put(S,AJ81,rf,q,T,X)</f>
        <v>96.949308830761979</v>
      </c>
      <c r="AQ81">
        <f>in_val_put(S,AJ81,rf,q,T,X)</f>
        <v>0</v>
      </c>
      <c r="AR81">
        <f>X*EXP(-rf*T)</f>
        <v>97.044553354850819</v>
      </c>
      <c r="AX81">
        <v>0.66</v>
      </c>
      <c r="AY81">
        <f>BS_call(S,σ,AX81,q,T,X)</f>
        <v>48.798158512233712</v>
      </c>
      <c r="AZ81">
        <f>S</f>
        <v>100</v>
      </c>
      <c r="BA81">
        <f>floor_call(S,σ,AX81,q,T,X)</f>
        <v>48.314866550830082</v>
      </c>
      <c r="BD81">
        <f>BS_put(S,σ,AX81,q,T,X)</f>
        <v>0.48329196140363262</v>
      </c>
      <c r="BE81">
        <f>in_val_put(S,σ,AX81,q,T,X)</f>
        <v>0</v>
      </c>
      <c r="BF81">
        <f>X*EXP(-AX81*T)</f>
        <v>51.685133449169918</v>
      </c>
    </row>
    <row r="82" spans="1:58" ht="25.5" x14ac:dyDescent="0.25">
      <c r="A82" s="1">
        <v>67</v>
      </c>
      <c r="B82" s="1">
        <f>BS_call(A82,σ,rf,q,T,X)</f>
        <v>2.7494312815971558</v>
      </c>
      <c r="C82">
        <f t="shared" si="1"/>
        <v>67</v>
      </c>
      <c r="D82">
        <f>in_val_call(A82,σ,rf,q,T,X)</f>
        <v>0</v>
      </c>
      <c r="G82">
        <f>BS_put(A82,σ,rf,q,T,X)</f>
        <v>32.793984636447973</v>
      </c>
      <c r="H82">
        <f>X*EXP(-rf*T)</f>
        <v>97.044553354850819</v>
      </c>
      <c r="I82">
        <f>in_val_put(A82,σ,rf,q,T,X)</f>
        <v>33</v>
      </c>
      <c r="L82">
        <v>67</v>
      </c>
      <c r="M82">
        <f>BS_call(S,σ,rf,q,T,L82)</f>
        <v>37.013502935317263</v>
      </c>
      <c r="N82">
        <f>S</f>
        <v>100</v>
      </c>
      <c r="O82">
        <f>in_val_call(S,σ,rf,q,T,L82)</f>
        <v>33</v>
      </c>
      <c r="Q82" s="3">
        <f>BS_put(S,σ,rf,q,T,L82)</f>
        <v>2.0333536830673058</v>
      </c>
      <c r="R82">
        <f>L82*EXP(-rf*T)</f>
        <v>65.019850747750041</v>
      </c>
      <c r="S82">
        <f>in_val_put(S,σ,rf,q,T,L82)</f>
        <v>0</v>
      </c>
      <c r="W82">
        <v>6.7</v>
      </c>
      <c r="X82">
        <f>BS_call(S,σ,rf,q,W82,X)</f>
        <v>44.459827697704434</v>
      </c>
      <c r="Y82">
        <f>S</f>
        <v>100</v>
      </c>
      <c r="Z82">
        <f>in_val_call(S,σ,rf,q,W82,X)</f>
        <v>0</v>
      </c>
      <c r="AC82">
        <f>BS_put(S,σ,rf,q,W82,X)</f>
        <v>26.251070853090379</v>
      </c>
      <c r="AD82">
        <f>X*EXP(-rf*W82)</f>
        <v>81.791243155385942</v>
      </c>
      <c r="AE82">
        <f>in_val_put(S,σ,rf,q,W82,X)</f>
        <v>0</v>
      </c>
      <c r="AJ82">
        <v>6.7</v>
      </c>
      <c r="AK82">
        <f>BS_call(S,AJ82,rf,q,T,X)</f>
        <v>99.920392262647738</v>
      </c>
      <c r="AL82">
        <f>in_val_call(S,AJ82,rf,q,T,X)</f>
        <v>0</v>
      </c>
      <c r="AM82">
        <f>S</f>
        <v>100</v>
      </c>
      <c r="AP82">
        <f>BS_put(S,AJ82,rf,q,T,X)</f>
        <v>96.964945617498557</v>
      </c>
      <c r="AQ82">
        <f>in_val_put(S,AJ82,rf,q,T,X)</f>
        <v>0</v>
      </c>
      <c r="AR82">
        <f>X*EXP(-rf*T)</f>
        <v>97.044553354850819</v>
      </c>
      <c r="AX82">
        <v>0.67</v>
      </c>
      <c r="AY82">
        <f>BS_call(S,σ,AX82,q,T,X)</f>
        <v>49.280268892877473</v>
      </c>
      <c r="AZ82">
        <f>S</f>
        <v>100</v>
      </c>
      <c r="BA82">
        <f>floor_call(S,σ,AX82,q,T,X)</f>
        <v>48.829142221345755</v>
      </c>
      <c r="BD82">
        <f>BS_put(S,σ,AX82,q,T,X)</f>
        <v>0.45112667153172437</v>
      </c>
      <c r="BE82">
        <f>in_val_put(S,σ,AX82,q,T,X)</f>
        <v>0</v>
      </c>
      <c r="BF82">
        <f>X*EXP(-AX82*T)</f>
        <v>51.170857778654245</v>
      </c>
    </row>
    <row r="83" spans="1:58" ht="25.5" x14ac:dyDescent="0.25">
      <c r="A83" s="1">
        <v>68</v>
      </c>
      <c r="B83" s="1">
        <f>BS_call(A83,σ,rf,q,T,X)</f>
        <v>2.976094108260062</v>
      </c>
      <c r="C83">
        <f t="shared" si="1"/>
        <v>68</v>
      </c>
      <c r="D83">
        <f>in_val_call(A83,σ,rf,q,T,X)</f>
        <v>0</v>
      </c>
      <c r="G83">
        <f>BS_put(A83,σ,rf,q,T,X)</f>
        <v>32.020647463110883</v>
      </c>
      <c r="H83">
        <f>X*EXP(-rf*T)</f>
        <v>97.044553354850819</v>
      </c>
      <c r="I83">
        <f>in_val_put(A83,σ,rf,q,T,X)</f>
        <v>32</v>
      </c>
      <c r="L83">
        <v>68</v>
      </c>
      <c r="M83">
        <f>BS_call(S,σ,rf,q,T,L83)</f>
        <v>36.22022519088101</v>
      </c>
      <c r="N83">
        <f>S</f>
        <v>100</v>
      </c>
      <c r="O83">
        <f>in_val_call(S,σ,rf,q,T,L83)</f>
        <v>32</v>
      </c>
      <c r="Q83" s="3">
        <f>BS_put(S,σ,rf,q,T,L83)</f>
        <v>2.2105214721795736</v>
      </c>
      <c r="R83">
        <f>L83*EXP(-rf*T)</f>
        <v>65.990296281298555</v>
      </c>
      <c r="S83">
        <f>in_val_put(S,σ,rf,q,T,L83)</f>
        <v>0</v>
      </c>
      <c r="W83">
        <v>6.8</v>
      </c>
      <c r="X83">
        <f>BS_call(S,σ,rf,q,W83,X)</f>
        <v>44.7846601508584</v>
      </c>
      <c r="Y83">
        <f>S</f>
        <v>100</v>
      </c>
      <c r="Z83">
        <f>in_val_call(S,σ,rf,q,W83,X)</f>
        <v>0</v>
      </c>
      <c r="AC83">
        <f>BS_put(S,σ,rf,q,W83,X)</f>
        <v>26.330897269587673</v>
      </c>
      <c r="AD83">
        <f>X*EXP(-rf*W83)</f>
        <v>81.546237118729266</v>
      </c>
      <c r="AE83">
        <f>in_val_put(S,σ,rf,q,W83,X)</f>
        <v>0</v>
      </c>
      <c r="AJ83">
        <v>6.8</v>
      </c>
      <c r="AK83">
        <f>BS_call(S,AJ83,rf,q,T,X)</f>
        <v>99.933617956458576</v>
      </c>
      <c r="AL83">
        <f>in_val_call(S,AJ83,rf,q,T,X)</f>
        <v>0</v>
      </c>
      <c r="AM83">
        <f>S</f>
        <v>100</v>
      </c>
      <c r="AP83">
        <f>BS_put(S,AJ83,rf,q,T,X)</f>
        <v>96.978171311309424</v>
      </c>
      <c r="AQ83">
        <f>in_val_put(S,AJ83,rf,q,T,X)</f>
        <v>0</v>
      </c>
      <c r="AR83">
        <f>X*EXP(-rf*T)</f>
        <v>97.044553354850819</v>
      </c>
      <c r="AX83">
        <v>0.68</v>
      </c>
      <c r="AY83">
        <f>BS_call(S,σ,AX83,q,T,X)</f>
        <v>49.759176569102877</v>
      </c>
      <c r="AZ83">
        <f>S</f>
        <v>100</v>
      </c>
      <c r="BA83">
        <f>floor_call(S,σ,AX83,q,T,X)</f>
        <v>49.338300763441048</v>
      </c>
      <c r="BD83">
        <f>BS_put(S,σ,AX83,q,T,X)</f>
        <v>0.42087580566182758</v>
      </c>
      <c r="BE83">
        <f>in_val_put(S,σ,AX83,q,T,X)</f>
        <v>0</v>
      </c>
      <c r="BF83">
        <f>X*EXP(-AX83*T)</f>
        <v>50.661699236558952</v>
      </c>
    </row>
    <row r="84" spans="1:58" ht="25.5" x14ac:dyDescent="0.25">
      <c r="A84" s="1">
        <v>69</v>
      </c>
      <c r="B84" s="1">
        <f>BS_call(A84,σ,rf,q,T,X)</f>
        <v>3.2144174423883936</v>
      </c>
      <c r="C84">
        <f t="shared" si="1"/>
        <v>69</v>
      </c>
      <c r="D84">
        <f>in_val_call(A84,σ,rf,q,T,X)</f>
        <v>0</v>
      </c>
      <c r="G84">
        <f>BS_put(A84,σ,rf,q,T,X)</f>
        <v>31.258970797239215</v>
      </c>
      <c r="H84">
        <f>X*EXP(-rf*T)</f>
        <v>97.044553354850819</v>
      </c>
      <c r="I84">
        <f>in_val_put(A84,σ,rf,q,T,X)</f>
        <v>31</v>
      </c>
      <c r="L84">
        <v>69</v>
      </c>
      <c r="M84">
        <f>BS_call(S,σ,rf,q,T,L84)</f>
        <v>35.436924211540095</v>
      </c>
      <c r="N84">
        <f>S</f>
        <v>100</v>
      </c>
      <c r="O84">
        <f>in_val_call(S,σ,rf,q,T,L84)</f>
        <v>31</v>
      </c>
      <c r="Q84" s="3">
        <f>BS_put(S,σ,rf,q,T,L84)</f>
        <v>2.3976660263871565</v>
      </c>
      <c r="R84">
        <f>L84*EXP(-rf*T)</f>
        <v>66.960741814847069</v>
      </c>
      <c r="S84">
        <f>in_val_put(S,σ,rf,q,T,L84)</f>
        <v>0</v>
      </c>
      <c r="W84">
        <v>6.9</v>
      </c>
      <c r="X84">
        <f>BS_call(S,σ,rf,q,W84,X)</f>
        <v>45.106476642825868</v>
      </c>
      <c r="Y84">
        <f>S</f>
        <v>100</v>
      </c>
      <c r="Z84">
        <f>in_val_call(S,σ,rf,q,W84,X)</f>
        <v>0</v>
      </c>
      <c r="AC84">
        <f>BS_put(S,σ,rf,q,W84,X)</f>
        <v>26.408441641582954</v>
      </c>
      <c r="AD84">
        <f>X*EXP(-rf*W84)</f>
        <v>81.3019649987571</v>
      </c>
      <c r="AE84">
        <f>in_val_put(S,σ,rf,q,W84,X)</f>
        <v>0</v>
      </c>
      <c r="AJ84">
        <v>6.9</v>
      </c>
      <c r="AK84">
        <f>BS_call(S,AJ84,rf,q,T,X)</f>
        <v>99.944776407162706</v>
      </c>
      <c r="AL84">
        <f>in_val_call(S,AJ84,rf,q,T,X)</f>
        <v>0</v>
      </c>
      <c r="AM84">
        <f>S</f>
        <v>100</v>
      </c>
      <c r="AP84">
        <f>BS_put(S,AJ84,rf,q,T,X)</f>
        <v>96.989329762013526</v>
      </c>
      <c r="AQ84">
        <f>in_val_put(S,AJ84,rf,q,T,X)</f>
        <v>0</v>
      </c>
      <c r="AR84">
        <f>X*EXP(-rf*T)</f>
        <v>97.044553354850819</v>
      </c>
      <c r="AX84">
        <v>0.69</v>
      </c>
      <c r="AY84">
        <f>BS_call(S,σ,AX84,q,T,X)</f>
        <v>50.234834908950347</v>
      </c>
      <c r="AZ84">
        <f>S</f>
        <v>100</v>
      </c>
      <c r="BA84">
        <f>floor_call(S,σ,AX84,q,T,X)</f>
        <v>49.842393093394442</v>
      </c>
      <c r="BD84">
        <f>BS_put(S,σ,AX84,q,T,X)</f>
        <v>0.39244181555591551</v>
      </c>
      <c r="BE84">
        <f>in_val_put(S,σ,AX84,q,T,X)</f>
        <v>0</v>
      </c>
      <c r="BF84">
        <f>X*EXP(-AX84*T)</f>
        <v>50.157606906605558</v>
      </c>
    </row>
    <row r="85" spans="1:58" ht="25.5" x14ac:dyDescent="0.25">
      <c r="A85" s="1">
        <v>70</v>
      </c>
      <c r="B85" s="1">
        <f>BS_call(A85,σ,rf,q,T,X)</f>
        <v>3.464546546435777</v>
      </c>
      <c r="C85">
        <f t="shared" si="1"/>
        <v>70</v>
      </c>
      <c r="D85">
        <f>in_val_call(A85,σ,rf,q,T,X)</f>
        <v>0</v>
      </c>
      <c r="G85">
        <f>BS_put(A85,σ,rf,q,T,X)</f>
        <v>30.509099901286596</v>
      </c>
      <c r="H85">
        <f>X*EXP(-rf*T)</f>
        <v>97.044553354850819</v>
      </c>
      <c r="I85">
        <f>in_val_put(A85,σ,rf,q,T,X)</f>
        <v>30</v>
      </c>
      <c r="L85">
        <v>70</v>
      </c>
      <c r="M85">
        <f>BS_call(S,σ,rf,q,T,L85)</f>
        <v>34.663784076410479</v>
      </c>
      <c r="N85">
        <f>S</f>
        <v>100</v>
      </c>
      <c r="O85">
        <f>in_val_call(S,σ,rf,q,T,L85)</f>
        <v>30</v>
      </c>
      <c r="Q85" s="3">
        <f>BS_put(S,σ,rf,q,T,L85)</f>
        <v>2.5949714248060491</v>
      </c>
      <c r="R85">
        <f>L85*EXP(-rf*T)</f>
        <v>67.931187348395568</v>
      </c>
      <c r="S85">
        <f>in_val_put(S,σ,rf,q,T,L85)</f>
        <v>0</v>
      </c>
      <c r="W85">
        <v>7</v>
      </c>
      <c r="X85">
        <f>BS_call(S,σ,rf,q,W85,X)</f>
        <v>45.425332657296231</v>
      </c>
      <c r="Y85">
        <f>S</f>
        <v>100</v>
      </c>
      <c r="Z85">
        <f>in_val_call(S,σ,rf,q,W85,X)</f>
        <v>0</v>
      </c>
      <c r="AC85">
        <f>BS_put(S,σ,rf,q,W85,X)</f>
        <v>26.483757254314941</v>
      </c>
      <c r="AD85">
        <f>X*EXP(-rf*W85)</f>
        <v>81.058424597018714</v>
      </c>
      <c r="AE85">
        <f>in_val_put(S,σ,rf,q,W85,X)</f>
        <v>0</v>
      </c>
      <c r="AJ85">
        <v>7</v>
      </c>
      <c r="AK85">
        <f>BS_call(S,AJ85,rf,q,T,X)</f>
        <v>99.954167233698755</v>
      </c>
      <c r="AL85">
        <f>in_val_call(S,AJ85,rf,q,T,X)</f>
        <v>0</v>
      </c>
      <c r="AM85">
        <f>S</f>
        <v>100</v>
      </c>
      <c r="AP85">
        <f>BS_put(S,AJ85,rf,q,T,X)</f>
        <v>96.99872058854956</v>
      </c>
      <c r="AQ85">
        <f>in_val_put(S,AJ85,rf,q,T,X)</f>
        <v>0</v>
      </c>
      <c r="AR85">
        <f>X*EXP(-rf*T)</f>
        <v>97.044553354850819</v>
      </c>
      <c r="AX85">
        <v>0.7</v>
      </c>
      <c r="AY85">
        <f>BS_call(S,σ,AX85,q,T,X)</f>
        <v>50.707200638461309</v>
      </c>
      <c r="AZ85">
        <f>S</f>
        <v>100</v>
      </c>
      <c r="BA85">
        <f>floor_call(S,σ,AX85,q,T,X)</f>
        <v>50.341469620859044</v>
      </c>
      <c r="BD85">
        <f>BS_put(S,σ,AX85,q,T,X)</f>
        <v>0.36573101760226434</v>
      </c>
      <c r="BE85">
        <f>in_val_put(S,σ,AX85,q,T,X)</f>
        <v>0</v>
      </c>
      <c r="BF85">
        <f>X*EXP(-AX85*T)</f>
        <v>49.658530379140956</v>
      </c>
    </row>
    <row r="86" spans="1:58" ht="25.5" x14ac:dyDescent="0.25">
      <c r="A86" s="1">
        <v>71</v>
      </c>
      <c r="B86" s="1">
        <f>BS_call(A86,σ,rf,q,T,X)</f>
        <v>3.7266095810531592</v>
      </c>
      <c r="C86">
        <f t="shared" si="1"/>
        <v>71</v>
      </c>
      <c r="D86">
        <f>in_val_call(A86,σ,rf,q,T,X)</f>
        <v>0</v>
      </c>
      <c r="G86">
        <f>BS_put(A86,σ,rf,q,T,X)</f>
        <v>29.771162935903973</v>
      </c>
      <c r="H86">
        <f>X*EXP(-rf*T)</f>
        <v>97.044553354850819</v>
      </c>
      <c r="I86">
        <f>in_val_put(A86,σ,rf,q,T,X)</f>
        <v>29</v>
      </c>
      <c r="L86">
        <v>71</v>
      </c>
      <c r="M86">
        <f>BS_call(S,σ,rf,q,T,L86)</f>
        <v>33.900975011708859</v>
      </c>
      <c r="N86">
        <f>S</f>
        <v>100</v>
      </c>
      <c r="O86">
        <f>in_val_call(S,σ,rf,q,T,L86)</f>
        <v>29</v>
      </c>
      <c r="Q86" s="3">
        <f>BS_put(S,σ,rf,q,T,L86)</f>
        <v>2.8026078936529437</v>
      </c>
      <c r="R86">
        <f>L86*EXP(-rf*T)</f>
        <v>68.901632881944082</v>
      </c>
      <c r="S86">
        <f>in_val_put(S,σ,rf,q,T,L86)</f>
        <v>0</v>
      </c>
      <c r="W86">
        <v>7.1</v>
      </c>
      <c r="X86">
        <f>BS_call(S,σ,rf,q,W86,X)</f>
        <v>45.741281853370822</v>
      </c>
      <c r="Y86">
        <f>S</f>
        <v>100</v>
      </c>
      <c r="Z86">
        <f>in_val_call(S,σ,rf,q,W86,X)</f>
        <v>0</v>
      </c>
      <c r="AC86">
        <f>BS_put(S,σ,rf,q,W86,X)</f>
        <v>26.556895575019663</v>
      </c>
      <c r="AD86">
        <f>X*EXP(-rf*W86)</f>
        <v>80.815613721648845</v>
      </c>
      <c r="AE86">
        <f>in_val_put(S,σ,rf,q,W86,X)</f>
        <v>0</v>
      </c>
      <c r="AJ86">
        <v>7.1</v>
      </c>
      <c r="AK86">
        <f>BS_call(S,AJ86,rf,q,T,X)</f>
        <v>99.962050718277979</v>
      </c>
      <c r="AL86">
        <f>in_val_call(S,AJ86,rf,q,T,X)</f>
        <v>0</v>
      </c>
      <c r="AM86">
        <f>S</f>
        <v>100</v>
      </c>
      <c r="AP86">
        <f>BS_put(S,AJ86,rf,q,T,X)</f>
        <v>97.006604073128798</v>
      </c>
      <c r="AQ86">
        <f>in_val_put(S,AJ86,rf,q,T,X)</f>
        <v>0</v>
      </c>
      <c r="AR86">
        <f>X*EXP(-rf*T)</f>
        <v>97.044553354850819</v>
      </c>
      <c r="AX86">
        <v>0.71</v>
      </c>
      <c r="AY86">
        <f>BS_call(S,σ,AX86,q,T,X)</f>
        <v>51.176233763251673</v>
      </c>
      <c r="AZ86">
        <f>S</f>
        <v>100</v>
      </c>
      <c r="BA86">
        <f>floor_call(S,σ,AX86,q,T,X)</f>
        <v>50.835580253903487</v>
      </c>
      <c r="BD86">
        <f>BS_put(S,σ,AX86,q,T,X)</f>
        <v>0.34065350934818373</v>
      </c>
      <c r="BE86">
        <f>in_val_put(S,σ,AX86,q,T,X)</f>
        <v>0</v>
      </c>
      <c r="BF86">
        <f>X*EXP(-AX86*T)</f>
        <v>49.164419746096513</v>
      </c>
    </row>
    <row r="87" spans="1:58" ht="25.5" x14ac:dyDescent="0.25">
      <c r="A87" s="1">
        <v>72</v>
      </c>
      <c r="B87" s="1">
        <f>BS_call(A87,σ,rf,q,T,X)</f>
        <v>4.0007177908442415</v>
      </c>
      <c r="C87">
        <f t="shared" si="1"/>
        <v>72</v>
      </c>
      <c r="D87">
        <f>in_val_call(A87,σ,rf,q,T,X)</f>
        <v>0</v>
      </c>
      <c r="G87">
        <f>BS_put(A87,σ,rf,q,T,X)</f>
        <v>29.045271145695061</v>
      </c>
      <c r="H87">
        <f>X*EXP(-rf*T)</f>
        <v>97.044553354850819</v>
      </c>
      <c r="I87">
        <f>in_val_put(A87,σ,rf,q,T,X)</f>
        <v>28</v>
      </c>
      <c r="L87">
        <v>72</v>
      </c>
      <c r="M87">
        <f>BS_call(S,σ,rf,q,T,L87)</f>
        <v>33.148653290004525</v>
      </c>
      <c r="N87">
        <f>S</f>
        <v>100</v>
      </c>
      <c r="O87">
        <f>in_val_call(S,σ,rf,q,T,L87)</f>
        <v>28</v>
      </c>
      <c r="Q87" s="3">
        <f>BS_put(S,σ,rf,q,T,L87)</f>
        <v>3.020731705497095</v>
      </c>
      <c r="R87">
        <f>L87*EXP(-rf*T)</f>
        <v>69.872078415492581</v>
      </c>
      <c r="S87">
        <f>in_val_put(S,σ,rf,q,T,L87)</f>
        <v>0</v>
      </c>
      <c r="W87">
        <v>7.2</v>
      </c>
      <c r="X87">
        <f>BS_call(S,σ,rf,q,W87,X)</f>
        <v>46.054376152582918</v>
      </c>
      <c r="Y87">
        <f>S</f>
        <v>100</v>
      </c>
      <c r="Z87">
        <f>in_val_call(S,σ,rf,q,W87,X)</f>
        <v>0</v>
      </c>
      <c r="AC87">
        <f>BS_put(S,σ,rf,q,W87,X)</f>
        <v>26.627906339930881</v>
      </c>
      <c r="AD87">
        <f>X*EXP(-rf*W87)</f>
        <v>80.57353018734797</v>
      </c>
      <c r="AE87">
        <f>in_val_put(S,σ,rf,q,W87,X)</f>
        <v>0</v>
      </c>
      <c r="AJ87">
        <v>7.2</v>
      </c>
      <c r="AK87">
        <f>BS_call(S,AJ87,rf,q,T,X)</f>
        <v>99.968652286432047</v>
      </c>
      <c r="AL87">
        <f>in_val_call(S,AJ87,rf,q,T,X)</f>
        <v>0</v>
      </c>
      <c r="AM87">
        <f>S</f>
        <v>100</v>
      </c>
      <c r="AP87">
        <f>BS_put(S,AJ87,rf,q,T,X)</f>
        <v>97.013205641282852</v>
      </c>
      <c r="AQ87">
        <f>in_val_put(S,AJ87,rf,q,T,X)</f>
        <v>0</v>
      </c>
      <c r="AR87">
        <f>X*EXP(-rf*T)</f>
        <v>97.044553354850819</v>
      </c>
      <c r="AX87">
        <v>0.72</v>
      </c>
      <c r="AY87">
        <f>BS_call(S,σ,AX87,q,T,X)</f>
        <v>51.641897487513305</v>
      </c>
      <c r="AZ87">
        <f>S</f>
        <v>100</v>
      </c>
      <c r="BA87">
        <f>floor_call(S,σ,AX87,q,T,X)</f>
        <v>51.324774404002831</v>
      </c>
      <c r="BD87">
        <f>BS_put(S,σ,AX87,q,T,X)</f>
        <v>0.31712308351047991</v>
      </c>
      <c r="BE87">
        <f>in_val_put(S,σ,AX87,q,T,X)</f>
        <v>0</v>
      </c>
      <c r="BF87">
        <f>X*EXP(-AX87*T)</f>
        <v>48.675225595997169</v>
      </c>
    </row>
    <row r="88" spans="1:58" ht="25.5" x14ac:dyDescent="0.25">
      <c r="A88" s="1">
        <v>73</v>
      </c>
      <c r="B88" s="1">
        <f>BS_call(A88,σ,rf,q,T,X)</f>
        <v>4.2869657531386842</v>
      </c>
      <c r="C88">
        <f t="shared" si="1"/>
        <v>73</v>
      </c>
      <c r="D88">
        <f>in_val_call(A88,σ,rf,q,T,X)</f>
        <v>0</v>
      </c>
      <c r="G88">
        <f>BS_put(A88,σ,rf,q,T,X)</f>
        <v>28.3315191079895</v>
      </c>
      <c r="H88">
        <f>X*EXP(-rf*T)</f>
        <v>97.044553354850819</v>
      </c>
      <c r="I88">
        <f>in_val_put(A88,σ,rf,q,T,X)</f>
        <v>27</v>
      </c>
      <c r="L88">
        <v>73</v>
      </c>
      <c r="M88">
        <f>BS_call(S,σ,rf,q,T,L88)</f>
        <v>32.406961192715215</v>
      </c>
      <c r="N88">
        <f>S</f>
        <v>100</v>
      </c>
      <c r="O88">
        <f>in_val_call(S,σ,rf,q,T,L88)</f>
        <v>27</v>
      </c>
      <c r="Q88" s="3">
        <f>BS_put(S,σ,rf,q,T,L88)</f>
        <v>3.2494851417563151</v>
      </c>
      <c r="R88">
        <f>L88*EXP(-rf*T)</f>
        <v>70.842523949041095</v>
      </c>
      <c r="S88">
        <f>in_val_put(S,σ,rf,q,T,L88)</f>
        <v>0</v>
      </c>
      <c r="W88">
        <v>7.3</v>
      </c>
      <c r="X88">
        <f>BS_call(S,σ,rf,q,W88,X)</f>
        <v>46.36466582057281</v>
      </c>
      <c r="Y88">
        <f>S</f>
        <v>100</v>
      </c>
      <c r="Z88">
        <f>in_val_call(S,σ,rf,q,W88,X)</f>
        <v>0</v>
      </c>
      <c r="AC88">
        <f>BS_put(S,σ,rf,q,W88,X)</f>
        <v>26.696837635935474</v>
      </c>
      <c r="AD88">
        <f>X*EXP(-rf*W88)</f>
        <v>80.332171815362656</v>
      </c>
      <c r="AE88">
        <f>in_val_put(S,σ,rf,q,W88,X)</f>
        <v>0</v>
      </c>
      <c r="AJ88">
        <v>7.3</v>
      </c>
      <c r="AK88">
        <f>BS_call(S,AJ88,rf,q,T,X)</f>
        <v>99.974166587643765</v>
      </c>
      <c r="AL88">
        <f>in_val_call(S,AJ88,rf,q,T,X)</f>
        <v>0</v>
      </c>
      <c r="AM88">
        <f>S</f>
        <v>100</v>
      </c>
      <c r="AP88">
        <f>BS_put(S,AJ88,rf,q,T,X)</f>
        <v>97.018719942494599</v>
      </c>
      <c r="AQ88">
        <f>in_val_put(S,AJ88,rf,q,T,X)</f>
        <v>0</v>
      </c>
      <c r="AR88">
        <f>X*EXP(-rf*T)</f>
        <v>97.044553354850819</v>
      </c>
      <c r="AX88">
        <v>0.73</v>
      </c>
      <c r="AY88">
        <f>BS_call(S,σ,AX88,q,T,X)</f>
        <v>52.104158130764901</v>
      </c>
      <c r="AZ88">
        <f>S</f>
        <v>100</v>
      </c>
      <c r="BA88">
        <f>floor_call(S,σ,AX88,q,T,X)</f>
        <v>51.809100990979758</v>
      </c>
      <c r="BD88">
        <f>BS_put(S,σ,AX88,q,T,X)</f>
        <v>0.2950571397851447</v>
      </c>
      <c r="BE88">
        <f>in_val_put(S,σ,AX88,q,T,X)</f>
        <v>0</v>
      </c>
      <c r="BF88">
        <f>X*EXP(-AX88*T)</f>
        <v>48.190899009020242</v>
      </c>
    </row>
    <row r="89" spans="1:58" ht="25.5" x14ac:dyDescent="0.25">
      <c r="A89" s="1">
        <v>74</v>
      </c>
      <c r="B89" s="1">
        <f>BS_call(A89,σ,rf,q,T,X)</f>
        <v>4.5854316836925335</v>
      </c>
      <c r="C89">
        <f t="shared" si="1"/>
        <v>74</v>
      </c>
      <c r="D89">
        <f>in_val_call(A89,σ,rf,q,T,X)</f>
        <v>0</v>
      </c>
      <c r="G89">
        <f>BS_put(A89,σ,rf,q,T,X)</f>
        <v>27.629985038543353</v>
      </c>
      <c r="H89">
        <f>X*EXP(-rf*T)</f>
        <v>97.044553354850819</v>
      </c>
      <c r="I89">
        <f>in_val_put(A89,σ,rf,q,T,X)</f>
        <v>26</v>
      </c>
      <c r="L89">
        <v>74</v>
      </c>
      <c r="M89">
        <f>BS_call(S,σ,rf,q,T,L89)</f>
        <v>31.676027031792238</v>
      </c>
      <c r="N89">
        <f>S</f>
        <v>100</v>
      </c>
      <c r="O89">
        <f>in_val_call(S,σ,rf,q,T,L89)</f>
        <v>26</v>
      </c>
      <c r="Q89" s="3">
        <f>BS_put(S,σ,rf,q,T,L89)</f>
        <v>3.4889965143818422</v>
      </c>
      <c r="R89">
        <f>L89*EXP(-rf*T)</f>
        <v>71.812969482589608</v>
      </c>
      <c r="S89">
        <f>in_val_put(S,σ,rf,q,T,L89)</f>
        <v>0</v>
      </c>
      <c r="W89">
        <v>7.4</v>
      </c>
      <c r="X89">
        <f>BS_call(S,σ,rf,q,W89,X)</f>
        <v>46.672199543816127</v>
      </c>
      <c r="Y89">
        <f>S</f>
        <v>100</v>
      </c>
      <c r="Z89">
        <f>in_val_call(S,σ,rf,q,W89,X)</f>
        <v>0</v>
      </c>
      <c r="AC89">
        <f>BS_put(S,σ,rf,q,W89,X)</f>
        <v>26.763735977282042</v>
      </c>
      <c r="AD89">
        <f>X*EXP(-rf*W89)</f>
        <v>80.091536433465919</v>
      </c>
      <c r="AE89">
        <f>in_val_put(S,σ,rf,q,W89,X)</f>
        <v>0</v>
      </c>
      <c r="AJ89">
        <v>7.4</v>
      </c>
      <c r="AK89">
        <f>BS_call(S,AJ89,rf,q,T,X)</f>
        <v>99.978761194374968</v>
      </c>
      <c r="AL89">
        <f>in_val_call(S,AJ89,rf,q,T,X)</f>
        <v>0</v>
      </c>
      <c r="AM89">
        <f>S</f>
        <v>100</v>
      </c>
      <c r="AP89">
        <f>BS_put(S,AJ89,rf,q,T,X)</f>
        <v>97.023314549225802</v>
      </c>
      <c r="AQ89">
        <f>in_val_put(S,AJ89,rf,q,T,X)</f>
        <v>0</v>
      </c>
      <c r="AR89">
        <f>X*EXP(-rf*T)</f>
        <v>97.044553354850819</v>
      </c>
      <c r="AX89">
        <v>0.74</v>
      </c>
      <c r="AY89">
        <f>BS_call(S,σ,AX89,q,T,X)</f>
        <v>52.562985042665964</v>
      </c>
      <c r="AZ89">
        <f>S</f>
        <v>100</v>
      </c>
      <c r="BA89">
        <f>floor_call(S,σ,AX89,q,T,X)</f>
        <v>52.288608447896564</v>
      </c>
      <c r="BD89">
        <f>BS_put(S,σ,AX89,q,T,X)</f>
        <v>0.27437659476940013</v>
      </c>
      <c r="BE89">
        <f>in_val_put(S,σ,AX89,q,T,X)</f>
        <v>0</v>
      </c>
      <c r="BF89">
        <f>X*EXP(-AX89*T)</f>
        <v>47.711391552103436</v>
      </c>
    </row>
    <row r="90" spans="1:58" ht="25.5" x14ac:dyDescent="0.25">
      <c r="A90" s="1">
        <v>75</v>
      </c>
      <c r="B90" s="1">
        <f>BS_call(A90,σ,rf,q,T,X)</f>
        <v>4.8961777933541804</v>
      </c>
      <c r="C90">
        <f t="shared" si="1"/>
        <v>75</v>
      </c>
      <c r="D90">
        <f>in_val_call(A90,σ,rf,q,T,X)</f>
        <v>0</v>
      </c>
      <c r="G90">
        <f>BS_put(A90,σ,rf,q,T,X)</f>
        <v>26.940731148204996</v>
      </c>
      <c r="H90">
        <f>X*EXP(-rf*T)</f>
        <v>97.044553354850819</v>
      </c>
      <c r="I90">
        <f>in_val_put(A90,σ,rf,q,T,X)</f>
        <v>25</v>
      </c>
      <c r="L90">
        <v>75</v>
      </c>
      <c r="M90">
        <f>BS_call(S,σ,rf,q,T,L90)</f>
        <v>30.955965226448498</v>
      </c>
      <c r="N90">
        <f>S</f>
        <v>100</v>
      </c>
      <c r="O90">
        <f>in_val_call(S,σ,rf,q,T,L90)</f>
        <v>25</v>
      </c>
      <c r="Q90" s="3">
        <f>BS_put(S,σ,rf,q,T,L90)</f>
        <v>3.7393802425866109</v>
      </c>
      <c r="R90">
        <f>L90*EXP(-rf*T)</f>
        <v>72.783415016138107</v>
      </c>
      <c r="S90">
        <f>in_val_put(S,σ,rf,q,T,L90)</f>
        <v>0</v>
      </c>
      <c r="W90">
        <v>7.5</v>
      </c>
      <c r="X90">
        <f>BS_call(S,σ,rf,q,W90,X)</f>
        <v>46.977024501768341</v>
      </c>
      <c r="Y90">
        <f>S</f>
        <v>100</v>
      </c>
      <c r="Z90">
        <f>in_val_call(S,σ,rf,q,W90,X)</f>
        <v>0</v>
      </c>
      <c r="AC90">
        <f>BS_put(S,σ,rf,q,W90,X)</f>
        <v>26.828646377706047</v>
      </c>
      <c r="AD90">
        <f>X*EXP(-rf*W90)</f>
        <v>79.85162187593771</v>
      </c>
      <c r="AE90">
        <f>in_val_put(S,σ,rf,q,W90,X)</f>
        <v>0</v>
      </c>
      <c r="AJ90">
        <v>7.5</v>
      </c>
      <c r="AK90">
        <f>BS_call(S,AJ90,rf,q,T,X)</f>
        <v>99.982579939642349</v>
      </c>
      <c r="AL90">
        <f>in_val_call(S,AJ90,rf,q,T,X)</f>
        <v>0</v>
      </c>
      <c r="AM90">
        <f>S</f>
        <v>100</v>
      </c>
      <c r="AP90">
        <f>BS_put(S,AJ90,rf,q,T,X)</f>
        <v>97.027133294493183</v>
      </c>
      <c r="AQ90">
        <f>in_val_put(S,AJ90,rf,q,T,X)</f>
        <v>0</v>
      </c>
      <c r="AR90">
        <f>X*EXP(-rf*T)</f>
        <v>97.044553354850819</v>
      </c>
      <c r="AX90">
        <v>0.75</v>
      </c>
      <c r="AY90">
        <f>BS_call(S,σ,AX90,q,T,X)</f>
        <v>53.018350516198808</v>
      </c>
      <c r="AZ90">
        <f>S</f>
        <v>100</v>
      </c>
      <c r="BA90">
        <f>floor_call(S,σ,AX90,q,T,X)</f>
        <v>52.763344725898534</v>
      </c>
      <c r="BD90">
        <f>BS_put(S,σ,AX90,q,T,X)</f>
        <v>0.25500579030027337</v>
      </c>
      <c r="BE90">
        <f>in_val_put(S,σ,AX90,q,T,X)</f>
        <v>0</v>
      </c>
      <c r="BF90">
        <f>X*EXP(-AX90*T)</f>
        <v>47.236655274101466</v>
      </c>
    </row>
    <row r="91" spans="1:58" ht="25.5" x14ac:dyDescent="0.25">
      <c r="A91" s="1">
        <v>76</v>
      </c>
      <c r="B91" s="1">
        <f>BS_call(A91,σ,rf,q,T,X)</f>
        <v>5.2192506899046514</v>
      </c>
      <c r="C91">
        <f t="shared" si="1"/>
        <v>76</v>
      </c>
      <c r="D91">
        <f>in_val_call(A91,σ,rf,q,T,X)</f>
        <v>0</v>
      </c>
      <c r="G91">
        <f>BS_put(A91,σ,rf,q,T,X)</f>
        <v>26.263804044755467</v>
      </c>
      <c r="H91">
        <f>X*EXP(-rf*T)</f>
        <v>97.044553354850819</v>
      </c>
      <c r="I91">
        <f>in_val_put(A91,σ,rf,q,T,X)</f>
        <v>24</v>
      </c>
      <c r="L91">
        <v>76</v>
      </c>
      <c r="M91">
        <f>BS_call(S,σ,rf,q,T,L91)</f>
        <v>30.246876430743804</v>
      </c>
      <c r="N91">
        <f>S</f>
        <v>100</v>
      </c>
      <c r="O91">
        <f>in_val_call(S,σ,rf,q,T,L91)</f>
        <v>24</v>
      </c>
      <c r="Q91" s="3">
        <f>BS_put(S,σ,rf,q,T,L91)</f>
        <v>4.0007369804304247</v>
      </c>
      <c r="R91">
        <f>L91*EXP(-rf*T)</f>
        <v>73.753860549686621</v>
      </c>
      <c r="S91">
        <f>in_val_put(S,σ,rf,q,T,L91)</f>
        <v>0</v>
      </c>
      <c r="W91">
        <v>7.6</v>
      </c>
      <c r="X91">
        <f>BS_call(S,σ,rf,q,W91,X)</f>
        <v>47.279186434758081</v>
      </c>
      <c r="Y91">
        <f>S</f>
        <v>100</v>
      </c>
      <c r="Z91">
        <f>in_val_call(S,σ,rf,q,W91,X)</f>
        <v>0</v>
      </c>
      <c r="AC91">
        <f>BS_put(S,σ,rf,q,W91,X)</f>
        <v>26.891612418303463</v>
      </c>
      <c r="AD91">
        <f>X*EXP(-rf*W91)</f>
        <v>79.612425983545378</v>
      </c>
      <c r="AE91">
        <f>in_val_put(S,σ,rf,q,W91,X)</f>
        <v>0</v>
      </c>
      <c r="AJ91">
        <v>7.6</v>
      </c>
      <c r="AK91">
        <f>BS_call(S,AJ91,rf,q,T,X)</f>
        <v>99.985745914925516</v>
      </c>
      <c r="AL91">
        <f>in_val_call(S,AJ91,rf,q,T,X)</f>
        <v>0</v>
      </c>
      <c r="AM91">
        <f>S</f>
        <v>100</v>
      </c>
      <c r="AP91">
        <f>BS_put(S,AJ91,rf,q,T,X)</f>
        <v>97.030299269776336</v>
      </c>
      <c r="AQ91">
        <f>in_val_put(S,AJ91,rf,q,T,X)</f>
        <v>0</v>
      </c>
      <c r="AR91">
        <f>X*EXP(-rf*T)</f>
        <v>97.044553354850819</v>
      </c>
      <c r="AX91">
        <v>0.76</v>
      </c>
      <c r="AY91">
        <f>BS_call(S,σ,AX91,q,T,X)</f>
        <v>53.470229699513183</v>
      </c>
      <c r="AZ91">
        <f>S</f>
        <v>100</v>
      </c>
      <c r="BA91">
        <f>floor_call(S,σ,AX91,q,T,X)</f>
        <v>53.233357299009079</v>
      </c>
      <c r="BD91">
        <f>BS_put(S,σ,AX91,q,T,X)</f>
        <v>0.23687240050410097</v>
      </c>
      <c r="BE91">
        <f>in_val_put(S,σ,AX91,q,T,X)</f>
        <v>0</v>
      </c>
      <c r="BF91">
        <f>X*EXP(-AX91*T)</f>
        <v>46.766642700990921</v>
      </c>
    </row>
    <row r="92" spans="1:58" ht="25.5" x14ac:dyDescent="0.25">
      <c r="A92" s="1">
        <v>77</v>
      </c>
      <c r="B92" s="1">
        <f>BS_call(A92,σ,rf,q,T,X)</f>
        <v>5.5546818194872536</v>
      </c>
      <c r="C92">
        <f t="shared" si="1"/>
        <v>77</v>
      </c>
      <c r="D92">
        <f>in_val_call(A92,σ,rf,q,T,X)</f>
        <v>0</v>
      </c>
      <c r="G92">
        <f>BS_put(A92,σ,rf,q,T,X)</f>
        <v>25.599235174338069</v>
      </c>
      <c r="H92">
        <f>X*EXP(-rf*T)</f>
        <v>97.044553354850819</v>
      </c>
      <c r="I92">
        <f>in_val_put(A92,σ,rf,q,T,X)</f>
        <v>23</v>
      </c>
      <c r="L92">
        <v>77</v>
      </c>
      <c r="M92">
        <f>BS_call(S,σ,rf,q,T,L92)</f>
        <v>29.548847707841759</v>
      </c>
      <c r="N92">
        <f>S</f>
        <v>100</v>
      </c>
      <c r="O92">
        <f>in_val_call(S,σ,rf,q,T,L92)</f>
        <v>23</v>
      </c>
      <c r="Q92" s="3">
        <f>BS_put(S,σ,rf,q,T,L92)</f>
        <v>4.27315379107689</v>
      </c>
      <c r="R92">
        <f>L92*EXP(-rf*T)</f>
        <v>74.724306083235135</v>
      </c>
      <c r="S92">
        <f>in_val_put(S,σ,rf,q,T,L92)</f>
        <v>0</v>
      </c>
      <c r="W92">
        <v>7.7</v>
      </c>
      <c r="X92">
        <f>BS_call(S,σ,rf,q,W92,X)</f>
        <v>47.578729707933206</v>
      </c>
      <c r="Y92">
        <f>S</f>
        <v>100</v>
      </c>
      <c r="Z92">
        <f>in_val_call(S,σ,rf,q,W92,X)</f>
        <v>0</v>
      </c>
      <c r="AC92">
        <f>BS_put(S,σ,rf,q,W92,X)</f>
        <v>26.952676311457473</v>
      </c>
      <c r="AD92">
        <f>X*EXP(-rf*W92)</f>
        <v>79.373946603524274</v>
      </c>
      <c r="AE92">
        <f>in_val_put(S,σ,rf,q,W92,X)</f>
        <v>0</v>
      </c>
      <c r="AJ92">
        <v>7.7</v>
      </c>
      <c r="AK92">
        <f>BS_call(S,AJ92,rf,q,T,X)</f>
        <v>99.988364151206397</v>
      </c>
      <c r="AL92">
        <f>in_val_call(S,AJ92,rf,q,T,X)</f>
        <v>0</v>
      </c>
      <c r="AM92">
        <f>S</f>
        <v>100</v>
      </c>
      <c r="AP92">
        <f>BS_put(S,AJ92,rf,q,T,X)</f>
        <v>97.032917506057217</v>
      </c>
      <c r="AQ92">
        <f>in_val_put(S,AJ92,rf,q,T,X)</f>
        <v>0</v>
      </c>
      <c r="AR92">
        <f>X*EXP(-rf*T)</f>
        <v>97.044553354850819</v>
      </c>
      <c r="AX92">
        <v>0.77</v>
      </c>
      <c r="AY92">
        <f>BS_call(S,σ,AX92,q,T,X)</f>
        <v>53.918600506718121</v>
      </c>
      <c r="AZ92">
        <f>S</f>
        <v>100</v>
      </c>
      <c r="BA92">
        <f>floor_call(S,σ,AX92,q,T,X)</f>
        <v>53.698693168877192</v>
      </c>
      <c r="BD92">
        <f>BS_put(S,σ,AX92,q,T,X)</f>
        <v>0.21990733784092797</v>
      </c>
      <c r="BE92">
        <f>in_val_put(S,σ,AX92,q,T,X)</f>
        <v>0</v>
      </c>
      <c r="BF92">
        <f>X*EXP(-AX92*T)</f>
        <v>46.301306831122808</v>
      </c>
    </row>
    <row r="93" spans="1:58" ht="25.5" x14ac:dyDescent="0.25">
      <c r="A93" s="1">
        <v>78</v>
      </c>
      <c r="B93" s="1">
        <f>BS_call(A93,σ,rf,q,T,X)</f>
        <v>5.9024879422757586</v>
      </c>
      <c r="C93">
        <f t="shared" si="1"/>
        <v>78</v>
      </c>
      <c r="D93">
        <f>in_val_call(A93,σ,rf,q,T,X)</f>
        <v>0</v>
      </c>
      <c r="G93">
        <f>BS_put(A93,σ,rf,q,T,X)</f>
        <v>24.947041297126582</v>
      </c>
      <c r="H93">
        <f>X*EXP(-rf*T)</f>
        <v>97.044553354850819</v>
      </c>
      <c r="I93">
        <f>in_val_put(A93,σ,rf,q,T,X)</f>
        <v>22</v>
      </c>
      <c r="L93">
        <v>78</v>
      </c>
      <c r="M93">
        <f>BS_call(S,σ,rf,q,T,L93)</f>
        <v>28.861952746791644</v>
      </c>
      <c r="N93">
        <f>S</f>
        <v>100</v>
      </c>
      <c r="O93">
        <f>in_val_call(S,σ,rf,q,T,L93)</f>
        <v>22</v>
      </c>
      <c r="Q93" s="3">
        <f>BS_put(S,σ,rf,q,T,L93)</f>
        <v>4.5567043635752711</v>
      </c>
      <c r="R93">
        <f>L93*EXP(-rf*T)</f>
        <v>75.694751616783634</v>
      </c>
      <c r="S93">
        <f>in_val_put(S,σ,rf,q,T,L93)</f>
        <v>0</v>
      </c>
      <c r="W93">
        <v>7.8</v>
      </c>
      <c r="X93">
        <f>BS_call(S,σ,rf,q,W93,X)</f>
        <v>47.875697371537953</v>
      </c>
      <c r="Y93">
        <f>S</f>
        <v>100</v>
      </c>
      <c r="Z93">
        <f>in_val_call(S,σ,rf,q,W93,X)</f>
        <v>0</v>
      </c>
      <c r="AC93">
        <f>BS_put(S,σ,rf,q,W93,X)</f>
        <v>27.01187896109634</v>
      </c>
      <c r="AD93">
        <f>X*EXP(-rf*W93)</f>
        <v>79.13618158955839</v>
      </c>
      <c r="AE93">
        <f>in_val_put(S,σ,rf,q,W93,X)</f>
        <v>0</v>
      </c>
      <c r="AJ93">
        <v>7.8</v>
      </c>
      <c r="AK93">
        <f>BS_call(S,AJ93,rf,q,T,X)</f>
        <v>99.99052400642104</v>
      </c>
      <c r="AL93">
        <f>in_val_call(S,AJ93,rf,q,T,X)</f>
        <v>0</v>
      </c>
      <c r="AM93">
        <f>S</f>
        <v>100</v>
      </c>
      <c r="AP93">
        <f>BS_put(S,AJ93,rf,q,T,X)</f>
        <v>97.03507736127186</v>
      </c>
      <c r="AQ93">
        <f>in_val_put(S,AJ93,rf,q,T,X)</f>
        <v>0</v>
      </c>
      <c r="AR93">
        <f>X*EXP(-rf*T)</f>
        <v>97.044553354850819</v>
      </c>
      <c r="AX93">
        <v>0.78</v>
      </c>
      <c r="AY93">
        <f>BS_call(S,σ,AX93,q,T,X)</f>
        <v>54.363443527894454</v>
      </c>
      <c r="AZ93">
        <f>S</f>
        <v>100</v>
      </c>
      <c r="BA93">
        <f>floor_call(S,σ,AX93,q,T,X)</f>
        <v>54.159398869477648</v>
      </c>
      <c r="BD93">
        <f>BS_put(S,σ,AX93,q,T,X)</f>
        <v>0.20404465841681363</v>
      </c>
      <c r="BE93">
        <f>in_val_put(S,σ,AX93,q,T,X)</f>
        <v>0</v>
      </c>
      <c r="BF93">
        <f>X*EXP(-AX93*T)</f>
        <v>45.840601130522352</v>
      </c>
    </row>
    <row r="94" spans="1:58" ht="25.5" x14ac:dyDescent="0.25">
      <c r="A94" s="1">
        <v>79</v>
      </c>
      <c r="B94" s="1">
        <f>BS_call(A94,σ,rf,q,T,X)</f>
        <v>6.2626716372856457</v>
      </c>
      <c r="C94">
        <f t="shared" si="1"/>
        <v>79</v>
      </c>
      <c r="D94">
        <f>in_val_call(A94,σ,rf,q,T,X)</f>
        <v>0</v>
      </c>
      <c r="G94">
        <f>BS_put(A94,σ,rf,q,T,X)</f>
        <v>24.307224992136462</v>
      </c>
      <c r="H94">
        <f>X*EXP(-rf*T)</f>
        <v>97.044553354850819</v>
      </c>
      <c r="I94">
        <f>in_val_put(A94,σ,rf,q,T,X)</f>
        <v>21</v>
      </c>
      <c r="L94">
        <v>79</v>
      </c>
      <c r="M94">
        <f>BS_call(S,σ,rf,q,T,L94)</f>
        <v>28.186252117759366</v>
      </c>
      <c r="N94">
        <f>S</f>
        <v>100</v>
      </c>
      <c r="O94">
        <f>in_val_call(S,σ,rf,q,T,L94)</f>
        <v>21</v>
      </c>
      <c r="Q94" s="3">
        <f>BS_put(S,σ,rf,q,T,L94)</f>
        <v>4.8514492680915176</v>
      </c>
      <c r="R94">
        <f>L94*EXP(-rf*T)</f>
        <v>76.665197150332148</v>
      </c>
      <c r="S94">
        <f>in_val_put(S,σ,rf,q,T,L94)</f>
        <v>0</v>
      </c>
      <c r="W94">
        <v>7.9</v>
      </c>
      <c r="X94">
        <f>BS_call(S,σ,rf,q,W94,X)</f>
        <v>48.170131217777111</v>
      </c>
      <c r="Y94">
        <f>S</f>
        <v>100</v>
      </c>
      <c r="Z94">
        <f>in_val_call(S,σ,rf,q,W94,X)</f>
        <v>0</v>
      </c>
      <c r="AC94">
        <f>BS_put(S,σ,rf,q,W94,X)</f>
        <v>27.069260019538088</v>
      </c>
      <c r="AD94">
        <f>X*EXP(-rf*W94)</f>
        <v>78.89912880176098</v>
      </c>
      <c r="AE94">
        <f>in_val_put(S,σ,rf,q,W94,X)</f>
        <v>0</v>
      </c>
      <c r="AJ94">
        <v>7.9</v>
      </c>
      <c r="AK94">
        <f>BS_call(S,AJ94,rf,q,T,X)</f>
        <v>99.992301282633932</v>
      </c>
      <c r="AL94">
        <f>in_val_call(S,AJ94,rf,q,T,X)</f>
        <v>0</v>
      </c>
      <c r="AM94">
        <f>S</f>
        <v>100</v>
      </c>
      <c r="AP94">
        <f>BS_put(S,AJ94,rf,q,T,X)</f>
        <v>97.036854637484751</v>
      </c>
      <c r="AQ94">
        <f>in_val_put(S,AJ94,rf,q,T,X)</f>
        <v>0</v>
      </c>
      <c r="AR94">
        <f>X*EXP(-rf*T)</f>
        <v>97.044553354850819</v>
      </c>
      <c r="AX94">
        <v>0.79</v>
      </c>
      <c r="AY94">
        <f>BS_call(S,σ,AX94,q,T,X)</f>
        <v>54.804741938589999</v>
      </c>
      <c r="AZ94">
        <f>S</f>
        <v>100</v>
      </c>
      <c r="BA94">
        <f>floor_call(S,σ,AX94,q,T,X)</f>
        <v>54.61552047176442</v>
      </c>
      <c r="BD94">
        <f>BS_put(S,σ,AX94,q,T,X)</f>
        <v>0.18922146682558494</v>
      </c>
      <c r="BE94">
        <f>in_val_put(S,σ,AX94,q,T,X)</f>
        <v>0</v>
      </c>
      <c r="BF94">
        <f>X*EXP(-AX94*T)</f>
        <v>45.38447952823558</v>
      </c>
    </row>
    <row r="95" spans="1:58" ht="25.5" x14ac:dyDescent="0.25">
      <c r="A95" s="1">
        <v>80</v>
      </c>
      <c r="B95" s="1">
        <f>BS_call(A95,σ,rf,q,T,X)</f>
        <v>6.635221831505806</v>
      </c>
      <c r="C95">
        <f t="shared" si="1"/>
        <v>80</v>
      </c>
      <c r="D95">
        <f>in_val_call(A95,σ,rf,q,T,X)</f>
        <v>0</v>
      </c>
      <c r="G95">
        <f>BS_put(A95,σ,rf,q,T,X)</f>
        <v>23.679775186356615</v>
      </c>
      <c r="H95">
        <f>X*EXP(-rf*T)</f>
        <v>97.044553354850819</v>
      </c>
      <c r="I95">
        <f>in_val_put(A95,σ,rf,q,T,X)</f>
        <v>20</v>
      </c>
      <c r="L95">
        <v>80</v>
      </c>
      <c r="M95">
        <f>BS_call(S,σ,rf,q,T,L95)</f>
        <v>27.521793561730384</v>
      </c>
      <c r="N95">
        <f>S</f>
        <v>100</v>
      </c>
      <c r="O95">
        <f>in_val_call(S,σ,rf,q,T,L95)</f>
        <v>20</v>
      </c>
      <c r="Q95" s="3">
        <f>BS_put(S,σ,rf,q,T,L95)</f>
        <v>5.1574362456110237</v>
      </c>
      <c r="R95">
        <f>L95*EXP(-rf*T)</f>
        <v>77.635642683880647</v>
      </c>
      <c r="S95">
        <f>in_val_put(S,σ,rf,q,T,L95)</f>
        <v>0</v>
      </c>
      <c r="W95">
        <v>8</v>
      </c>
      <c r="X95">
        <f>BS_call(S,σ,rf,q,W95,X)</f>
        <v>48.462071834501579</v>
      </c>
      <c r="Y95">
        <f>S</f>
        <v>100</v>
      </c>
      <c r="Z95">
        <f>in_val_call(S,σ,rf,q,W95,X)</f>
        <v>0</v>
      </c>
      <c r="AC95">
        <f>BS_put(S,σ,rf,q,W95,X)</f>
        <v>27.124857941156925</v>
      </c>
      <c r="AD95">
        <f>X*EXP(-rf*W95)</f>
        <v>78.662786106655346</v>
      </c>
      <c r="AE95">
        <f>in_val_put(S,σ,rf,q,W95,X)</f>
        <v>0</v>
      </c>
      <c r="AJ95">
        <v>8</v>
      </c>
      <c r="AK95">
        <f>BS_call(S,AJ95,rf,q,T,X)</f>
        <v>99.993760095899191</v>
      </c>
      <c r="AL95">
        <f>in_val_call(S,AJ95,rf,q,T,X)</f>
        <v>0</v>
      </c>
      <c r="AM95">
        <f>S</f>
        <v>100</v>
      </c>
      <c r="AP95">
        <f>BS_put(S,AJ95,rf,q,T,X)</f>
        <v>97.03831345075001</v>
      </c>
      <c r="AQ95">
        <f>in_val_put(S,AJ95,rf,q,T,X)</f>
        <v>0</v>
      </c>
      <c r="AR95">
        <f>X*EXP(-rf*T)</f>
        <v>97.044553354850819</v>
      </c>
      <c r="AX95">
        <v>0.8</v>
      </c>
      <c r="AY95">
        <f>BS_call(S,σ,AX95,q,T,X)</f>
        <v>55.242481409047556</v>
      </c>
      <c r="AZ95">
        <f>S</f>
        <v>100</v>
      </c>
      <c r="BA95">
        <f>floor_call(S,σ,AX95,q,T,X)</f>
        <v>55.067103588277845</v>
      </c>
      <c r="BD95">
        <f>BS_put(S,σ,AX95,q,T,X)</f>
        <v>0.17537782076971831</v>
      </c>
      <c r="BE95">
        <f>in_val_put(S,σ,AX95,q,T,X)</f>
        <v>0</v>
      </c>
      <c r="BF95">
        <f>X*EXP(-AX95*T)</f>
        <v>44.932896411722155</v>
      </c>
    </row>
    <row r="96" spans="1:58" ht="25.5" x14ac:dyDescent="0.25">
      <c r="A96" s="1">
        <v>81</v>
      </c>
      <c r="B96" s="1">
        <f>BS_call(A96,σ,rf,q,T,X)</f>
        <v>7.0201143488107185</v>
      </c>
      <c r="C96">
        <f t="shared" si="1"/>
        <v>81</v>
      </c>
      <c r="D96">
        <f>in_val_call(A96,σ,rf,q,T,X)</f>
        <v>0</v>
      </c>
      <c r="G96">
        <f>BS_put(A96,σ,rf,q,T,X)</f>
        <v>23.064667703661549</v>
      </c>
      <c r="H96">
        <f>X*EXP(-rf*T)</f>
        <v>97.044553354850819</v>
      </c>
      <c r="I96">
        <f>in_val_put(A96,σ,rf,q,T,X)</f>
        <v>19</v>
      </c>
      <c r="L96">
        <v>81</v>
      </c>
      <c r="M96">
        <f>BS_call(S,σ,rf,q,T,L96)</f>
        <v>26.868612310827352</v>
      </c>
      <c r="N96">
        <f>S</f>
        <v>100</v>
      </c>
      <c r="O96">
        <f>in_val_call(S,σ,rf,q,T,L96)</f>
        <v>19</v>
      </c>
      <c r="Q96" s="3">
        <f>BS_put(S,σ,rf,q,T,L96)</f>
        <v>5.4747005282565162</v>
      </c>
      <c r="R96">
        <f>L96*EXP(-rf*T)</f>
        <v>78.606088217429161</v>
      </c>
      <c r="S96">
        <f>in_val_put(S,σ,rf,q,T,L96)</f>
        <v>0</v>
      </c>
      <c r="W96">
        <v>8.1</v>
      </c>
      <c r="X96">
        <f>BS_call(S,σ,rf,q,W96,X)</f>
        <v>48.75155865593166</v>
      </c>
      <c r="Y96">
        <f>S</f>
        <v>100</v>
      </c>
      <c r="Z96">
        <f>in_val_call(S,σ,rf,q,W96,X)</f>
        <v>0</v>
      </c>
      <c r="AC96">
        <f>BS_put(S,σ,rf,q,W96,X)</f>
        <v>27.178710033087302</v>
      </c>
      <c r="AD96">
        <f>X*EXP(-rf*W96)</f>
        <v>78.427151377155653</v>
      </c>
      <c r="AE96">
        <f>in_val_put(S,σ,rf,q,W96,X)</f>
        <v>0</v>
      </c>
      <c r="AJ96">
        <v>8.1</v>
      </c>
      <c r="AK96">
        <f>BS_call(S,AJ96,rf,q,T,X)</f>
        <v>99.994954521121926</v>
      </c>
      <c r="AL96">
        <f>in_val_call(S,AJ96,rf,q,T,X)</f>
        <v>0</v>
      </c>
      <c r="AM96">
        <f>S</f>
        <v>100</v>
      </c>
      <c r="AP96">
        <f>BS_put(S,AJ96,rf,q,T,X)</f>
        <v>97.03950787597276</v>
      </c>
      <c r="AQ96">
        <f>in_val_put(S,AJ96,rf,q,T,X)</f>
        <v>0</v>
      </c>
      <c r="AR96">
        <f>X*EXP(-rf*T)</f>
        <v>97.044553354850819</v>
      </c>
      <c r="AX96">
        <v>0.81</v>
      </c>
      <c r="AY96">
        <f>BS_call(S,σ,AX96,q,T,X)</f>
        <v>55.676650013403687</v>
      </c>
      <c r="AZ96">
        <f>S</f>
        <v>100</v>
      </c>
      <c r="BA96">
        <f>floor_call(S,σ,AX96,q,T,X)</f>
        <v>55.514193377705887</v>
      </c>
      <c r="BD96">
        <f>BS_put(S,σ,AX96,q,T,X)</f>
        <v>0.16245663569780722</v>
      </c>
      <c r="BE96">
        <f>in_val_put(S,σ,AX96,q,T,X)</f>
        <v>0</v>
      </c>
      <c r="BF96">
        <f>X*EXP(-AX96*T)</f>
        <v>44.485806622294113</v>
      </c>
    </row>
    <row r="97" spans="1:58" ht="25.5" x14ac:dyDescent="0.25">
      <c r="A97" s="1">
        <v>82</v>
      </c>
      <c r="B97" s="1">
        <f>BS_call(A97,σ,rf,q,T,X)</f>
        <v>7.4173124744040067</v>
      </c>
      <c r="C97">
        <f t="shared" si="1"/>
        <v>82</v>
      </c>
      <c r="D97">
        <f>in_val_call(A97,σ,rf,q,T,X)</f>
        <v>0</v>
      </c>
      <c r="G97">
        <f>BS_put(A97,σ,rf,q,T,X)</f>
        <v>22.461865829254819</v>
      </c>
      <c r="H97">
        <f>X*EXP(-rf*T)</f>
        <v>97.044553354850819</v>
      </c>
      <c r="I97">
        <f>in_val_put(A97,σ,rf,q,T,X)</f>
        <v>18</v>
      </c>
      <c r="L97">
        <v>82</v>
      </c>
      <c r="M97">
        <f>BS_call(S,σ,rf,q,T,L97)</f>
        <v>26.226731435527476</v>
      </c>
      <c r="N97">
        <f>S</f>
        <v>100</v>
      </c>
      <c r="O97">
        <f>in_val_call(S,σ,rf,q,T,L97)</f>
        <v>18</v>
      </c>
      <c r="Q97" s="3">
        <f>BS_put(S,σ,rf,q,T,L97)</f>
        <v>5.8032651865051577</v>
      </c>
      <c r="R97">
        <f>L97*EXP(-rf*T)</f>
        <v>79.576533750977674</v>
      </c>
      <c r="S97">
        <f>in_val_put(S,σ,rf,q,T,L97)</f>
        <v>0</v>
      </c>
      <c r="W97">
        <v>8.1999999999999993</v>
      </c>
      <c r="X97">
        <f>BS_call(S,σ,rf,q,W97,X)</f>
        <v>49.038630010616089</v>
      </c>
      <c r="Y97">
        <f>S</f>
        <v>100</v>
      </c>
      <c r="Z97">
        <f>in_val_call(S,σ,rf,q,W97,X)</f>
        <v>0</v>
      </c>
      <c r="AC97">
        <f>BS_put(S,σ,rf,q,W97,X)</f>
        <v>27.230852503163817</v>
      </c>
      <c r="AD97">
        <f>X*EXP(-rf*W97)</f>
        <v>78.192222492547728</v>
      </c>
      <c r="AE97">
        <f>in_val_put(S,σ,rf,q,W97,X)</f>
        <v>0</v>
      </c>
      <c r="AJ97">
        <v>8.1999999999999993</v>
      </c>
      <c r="AK97">
        <f>BS_call(S,AJ97,rf,q,T,X)</f>
        <v>99.995930033343143</v>
      </c>
      <c r="AL97">
        <f>in_val_call(S,AJ97,rf,q,T,X)</f>
        <v>0</v>
      </c>
      <c r="AM97">
        <f>S</f>
        <v>100</v>
      </c>
      <c r="AP97">
        <f>BS_put(S,AJ97,rf,q,T,X)</f>
        <v>97.040483388193962</v>
      </c>
      <c r="AQ97">
        <f>in_val_put(S,AJ97,rf,q,T,X)</f>
        <v>0</v>
      </c>
      <c r="AR97">
        <f>X*EXP(-rf*T)</f>
        <v>97.044553354850819</v>
      </c>
      <c r="AX97">
        <v>0.82</v>
      </c>
      <c r="AY97">
        <f>BS_call(S,σ,AX97,q,T,X)</f>
        <v>56.107238139083663</v>
      </c>
      <c r="AZ97">
        <f>S</f>
        <v>100</v>
      </c>
      <c r="BA97">
        <f>floor_call(S,σ,AX97,q,T,X)</f>
        <v>55.956834549400071</v>
      </c>
      <c r="BD97">
        <f>BS_put(S,σ,AX97,q,T,X)</f>
        <v>0.15040358968360179</v>
      </c>
      <c r="BE97">
        <f>in_val_put(S,σ,AX97,q,T,X)</f>
        <v>0</v>
      </c>
      <c r="BF97">
        <f>X*EXP(-AX97*T)</f>
        <v>44.043165450599929</v>
      </c>
    </row>
    <row r="98" spans="1:58" ht="25.5" x14ac:dyDescent="0.25">
      <c r="A98" s="1">
        <v>83</v>
      </c>
      <c r="B98" s="1">
        <f>BS_call(A98,σ,rf,q,T,X)</f>
        <v>7.8267675308369604</v>
      </c>
      <c r="C98">
        <f t="shared" si="1"/>
        <v>83</v>
      </c>
      <c r="D98">
        <f>in_val_call(A98,σ,rf,q,T,X)</f>
        <v>0</v>
      </c>
      <c r="G98">
        <f>BS_put(A98,σ,rf,q,T,X)</f>
        <v>21.871320885687773</v>
      </c>
      <c r="H98">
        <f>X*EXP(-rf*T)</f>
        <v>97.044553354850819</v>
      </c>
      <c r="I98">
        <f>in_val_put(A98,σ,rf,q,T,X)</f>
        <v>17</v>
      </c>
      <c r="L98">
        <v>83</v>
      </c>
      <c r="M98">
        <f>BS_call(S,σ,rf,q,T,L98)</f>
        <v>25.596162215217923</v>
      </c>
      <c r="N98">
        <f>S</f>
        <v>100</v>
      </c>
      <c r="O98">
        <f>in_val_call(S,σ,rf,q,T,L98)</f>
        <v>17</v>
      </c>
      <c r="Q98" s="3">
        <f>BS_put(S,σ,rf,q,T,L98)</f>
        <v>6.1431414997440967</v>
      </c>
      <c r="R98">
        <f>L98*EXP(-rf*T)</f>
        <v>80.546979284526174</v>
      </c>
      <c r="S98">
        <f>in_val_put(S,σ,rf,q,T,L98)</f>
        <v>0</v>
      </c>
      <c r="W98">
        <v>8.3000000000000007</v>
      </c>
      <c r="X98">
        <f>BS_call(S,σ,rf,q,W98,X)</f>
        <v>49.323323166810582</v>
      </c>
      <c r="Y98">
        <f>S</f>
        <v>100</v>
      </c>
      <c r="Z98">
        <f>in_val_call(S,σ,rf,q,W98,X)</f>
        <v>0</v>
      </c>
      <c r="AC98">
        <f>BS_put(S,σ,rf,q,W98,X)</f>
        <v>27.281320505280608</v>
      </c>
      <c r="AD98">
        <f>X*EXP(-rf*W98)</f>
        <v>77.957997338470037</v>
      </c>
      <c r="AE98">
        <f>in_val_put(S,σ,rf,q,W98,X)</f>
        <v>0</v>
      </c>
      <c r="AJ98">
        <v>8.3000000000000007</v>
      </c>
      <c r="AK98">
        <f>BS_call(S,AJ98,rf,q,T,X)</f>
        <v>99.996724765800465</v>
      </c>
      <c r="AL98">
        <f>in_val_call(S,AJ98,rf,q,T,X)</f>
        <v>0</v>
      </c>
      <c r="AM98">
        <f>S</f>
        <v>100</v>
      </c>
      <c r="AP98">
        <f>BS_put(S,AJ98,rf,q,T,X)</f>
        <v>97.04127812065127</v>
      </c>
      <c r="AQ98">
        <f>in_val_put(S,AJ98,rf,q,T,X)</f>
        <v>0</v>
      </c>
      <c r="AR98">
        <f>X*EXP(-rf*T)</f>
        <v>97.044553354850819</v>
      </c>
      <c r="AX98">
        <v>0.83</v>
      </c>
      <c r="AY98">
        <f>BS_call(S,σ,AX98,q,T,X)</f>
        <v>56.534238396605431</v>
      </c>
      <c r="AZ98">
        <f>S</f>
        <v>100</v>
      </c>
      <c r="BA98">
        <f>floor_call(S,σ,AX98,q,T,X)</f>
        <v>56.395071367846441</v>
      </c>
      <c r="BD98">
        <f>BS_put(S,σ,AX98,q,T,X)</f>
        <v>0.13916702875898779</v>
      </c>
      <c r="BE98">
        <f>in_val_put(S,σ,AX98,q,T,X)</f>
        <v>0</v>
      </c>
      <c r="BF98">
        <f>X*EXP(-AX98*T)</f>
        <v>43.604928632153559</v>
      </c>
    </row>
    <row r="99" spans="1:58" ht="25.5" x14ac:dyDescent="0.25">
      <c r="A99" s="1">
        <v>84</v>
      </c>
      <c r="B99" s="1">
        <f>BS_call(A99,σ,rf,q,T,X)</f>
        <v>8.248419461939303</v>
      </c>
      <c r="C99">
        <f t="shared" si="1"/>
        <v>84</v>
      </c>
      <c r="D99">
        <f>in_val_call(A99,σ,rf,q,T,X)</f>
        <v>0</v>
      </c>
      <c r="G99">
        <f>BS_put(A99,σ,rf,q,T,X)</f>
        <v>21.292972816790119</v>
      </c>
      <c r="H99">
        <f>X*EXP(-rf*T)</f>
        <v>97.044553354850819</v>
      </c>
      <c r="I99">
        <f>in_val_put(A99,σ,rf,q,T,X)</f>
        <v>16</v>
      </c>
      <c r="L99">
        <v>84</v>
      </c>
      <c r="M99">
        <f>BS_call(S,σ,rf,q,T,L99)</f>
        <v>24.976904528696281</v>
      </c>
      <c r="N99">
        <f>S</f>
        <v>100</v>
      </c>
      <c r="O99">
        <f>in_val_call(S,σ,rf,q,T,L99)</f>
        <v>16</v>
      </c>
      <c r="Q99" s="3">
        <f>BS_put(S,σ,rf,q,T,L99)</f>
        <v>6.494329346770968</v>
      </c>
      <c r="R99">
        <f>L99*EXP(-rf*T)</f>
        <v>81.517424818074687</v>
      </c>
      <c r="S99">
        <f>in_val_put(S,σ,rf,q,T,L99)</f>
        <v>0</v>
      </c>
      <c r="W99">
        <v>8.4</v>
      </c>
      <c r="X99">
        <f>BS_call(S,σ,rf,q,W99,X)</f>
        <v>49.605674375444181</v>
      </c>
      <c r="Y99">
        <f>S</f>
        <v>100</v>
      </c>
      <c r="Z99">
        <f>in_val_call(S,σ,rf,q,W99,X)</f>
        <v>0</v>
      </c>
      <c r="AC99">
        <f>BS_put(S,σ,rf,q,W99,X)</f>
        <v>27.3301481823388</v>
      </c>
      <c r="AD99">
        <f>X*EXP(-rf*W99)</f>
        <v>77.724473806894608</v>
      </c>
      <c r="AE99">
        <f>in_val_put(S,σ,rf,q,W99,X)</f>
        <v>0</v>
      </c>
      <c r="AJ99">
        <v>8.4</v>
      </c>
      <c r="AK99">
        <f>BS_call(S,AJ99,rf,q,T,X)</f>
        <v>99.997370603916764</v>
      </c>
      <c r="AL99">
        <f>in_val_call(S,AJ99,rf,q,T,X)</f>
        <v>0</v>
      </c>
      <c r="AM99">
        <f>S</f>
        <v>100</v>
      </c>
      <c r="AP99">
        <f>BS_put(S,AJ99,rf,q,T,X)</f>
        <v>97.041923958767583</v>
      </c>
      <c r="AQ99">
        <f>in_val_put(S,AJ99,rf,q,T,X)</f>
        <v>0</v>
      </c>
      <c r="AR99">
        <f>X*EXP(-rf*T)</f>
        <v>97.044553354850819</v>
      </c>
      <c r="AX99">
        <v>0.84</v>
      </c>
      <c r="AY99">
        <f>BS_call(S,σ,AX99,q,T,X)</f>
        <v>56.957645529992448</v>
      </c>
      <c r="AZ99">
        <f>S</f>
        <v>100</v>
      </c>
      <c r="BA99">
        <f>floor_call(S,σ,AX99,q,T,X)</f>
        <v>56.82894765709203</v>
      </c>
      <c r="BD99">
        <f>BS_put(S,σ,AX99,q,T,X)</f>
        <v>0.128697872900424</v>
      </c>
      <c r="BE99">
        <f>in_val_put(S,σ,AX99,q,T,X)</f>
        <v>0</v>
      </c>
      <c r="BF99">
        <f>X*EXP(-AX99*T)</f>
        <v>43.17105234290797</v>
      </c>
    </row>
    <row r="100" spans="1:58" ht="25.5" x14ac:dyDescent="0.25">
      <c r="A100" s="1">
        <v>85</v>
      </c>
      <c r="B100" s="1">
        <f>BS_call(A100,σ,rf,q,T,X)</f>
        <v>8.6821974212884285</v>
      </c>
      <c r="C100">
        <f t="shared" si="1"/>
        <v>85</v>
      </c>
      <c r="D100">
        <f>in_val_call(A100,σ,rf,q,T,X)</f>
        <v>0</v>
      </c>
      <c r="G100">
        <f>BS_put(A100,σ,rf,q,T,X)</f>
        <v>20.726750776139248</v>
      </c>
      <c r="H100">
        <f>X*EXP(-rf*T)</f>
        <v>97.044553354850819</v>
      </c>
      <c r="I100">
        <f>in_val_put(A100,σ,rf,q,T,X)</f>
        <v>15</v>
      </c>
      <c r="L100">
        <v>85</v>
      </c>
      <c r="M100">
        <f>BS_call(S,σ,rf,q,T,L100)</f>
        <v>24.36894726139839</v>
      </c>
      <c r="N100">
        <f>S</f>
        <v>100</v>
      </c>
      <c r="O100">
        <f>in_val_call(S,σ,rf,q,T,L100)</f>
        <v>15</v>
      </c>
      <c r="Q100" s="3">
        <f>BS_put(S,σ,rf,q,T,L100)</f>
        <v>6.8568176130215654</v>
      </c>
      <c r="R100">
        <f>L100*EXP(-rf*T)</f>
        <v>82.487870351623187</v>
      </c>
      <c r="S100">
        <f>in_val_put(S,σ,rf,q,T,L100)</f>
        <v>0</v>
      </c>
      <c r="W100">
        <v>8.5</v>
      </c>
      <c r="X100">
        <f>BS_call(S,σ,rf,q,W100,X)</f>
        <v>49.885718910829809</v>
      </c>
      <c r="Y100">
        <f>S</f>
        <v>100</v>
      </c>
      <c r="Z100">
        <f>in_val_call(S,σ,rf,q,W100,X)</f>
        <v>0</v>
      </c>
      <c r="AC100">
        <f>BS_put(S,σ,rf,q,W100,X)</f>
        <v>27.377368706937904</v>
      </c>
      <c r="AD100">
        <f>X*EXP(-rf*W100)</f>
        <v>77.491649796108092</v>
      </c>
      <c r="AE100">
        <f>in_val_put(S,σ,rf,q,W100,X)</f>
        <v>0</v>
      </c>
      <c r="AJ100">
        <v>8.5</v>
      </c>
      <c r="AK100">
        <f>BS_call(S,AJ100,rf,q,T,X)</f>
        <v>99.997894133084003</v>
      </c>
      <c r="AL100">
        <f>in_val_call(S,AJ100,rf,q,T,X)</f>
        <v>0</v>
      </c>
      <c r="AM100">
        <f>S</f>
        <v>100</v>
      </c>
      <c r="AP100">
        <f>BS_put(S,AJ100,rf,q,T,X)</f>
        <v>97.042447487934822</v>
      </c>
      <c r="AQ100">
        <f>in_val_put(S,AJ100,rf,q,T,X)</f>
        <v>0</v>
      </c>
      <c r="AR100">
        <f>X*EXP(-rf*T)</f>
        <v>97.044553354850819</v>
      </c>
      <c r="AX100">
        <v>0.85</v>
      </c>
      <c r="AY100">
        <f>BS_call(S,σ,AX100,q,T,X)</f>
        <v>57.377456327982905</v>
      </c>
      <c r="AZ100">
        <f>S</f>
        <v>100</v>
      </c>
      <c r="BA100">
        <f>floor_call(S,σ,AX100,q,T,X)</f>
        <v>57.258506805127332</v>
      </c>
      <c r="BD100">
        <f>BS_put(S,σ,AX100,q,T,X)</f>
        <v>0.11894952285557203</v>
      </c>
      <c r="BE100">
        <f>in_val_put(S,σ,AX100,q,T,X)</f>
        <v>0</v>
      </c>
      <c r="BF100">
        <f>X*EXP(-AX100*T)</f>
        <v>42.741493194872668</v>
      </c>
    </row>
    <row r="101" spans="1:58" ht="25.5" x14ac:dyDescent="0.25">
      <c r="A101" s="1">
        <v>86</v>
      </c>
      <c r="B101" s="1">
        <f>BS_call(A101,σ,rf,q,T,X)</f>
        <v>9.1280203621286802</v>
      </c>
      <c r="C101">
        <f t="shared" si="1"/>
        <v>86</v>
      </c>
      <c r="D101">
        <f>in_val_call(A101,σ,rf,q,T,X)</f>
        <v>0</v>
      </c>
      <c r="G101">
        <f>BS_put(A101,σ,rf,q,T,X)</f>
        <v>20.1725737169795</v>
      </c>
      <c r="H101">
        <f>X*EXP(-rf*T)</f>
        <v>97.044553354850819</v>
      </c>
      <c r="I101">
        <f>in_val_put(A101,σ,rf,q,T,X)</f>
        <v>14</v>
      </c>
      <c r="L101">
        <v>86</v>
      </c>
      <c r="M101">
        <f>BS_call(S,σ,rf,q,T,L101)</f>
        <v>23.772268726317726</v>
      </c>
      <c r="N101">
        <f>S</f>
        <v>100</v>
      </c>
      <c r="O101">
        <f>in_val_call(S,σ,rf,q,T,L101)</f>
        <v>14</v>
      </c>
      <c r="Q101" s="3">
        <f>BS_put(S,σ,rf,q,T,L101)</f>
        <v>7.2305846114894337</v>
      </c>
      <c r="R101">
        <f>L101*EXP(-rf*T)</f>
        <v>83.4583158851717</v>
      </c>
      <c r="S101">
        <f>in_val_put(S,σ,rf,q,T,L101)</f>
        <v>0</v>
      </c>
      <c r="W101">
        <v>8.6</v>
      </c>
      <c r="X101">
        <f>BS_call(S,σ,rf,q,W101,X)</f>
        <v>50.163491109262665</v>
      </c>
      <c r="Y101">
        <f>S</f>
        <v>100</v>
      </c>
      <c r="Z101">
        <f>in_val_call(S,σ,rf,q,W101,X)</f>
        <v>0</v>
      </c>
      <c r="AC101">
        <f>BS_put(S,σ,rf,q,W101,X)</f>
        <v>27.42301431995547</v>
      </c>
      <c r="AD101">
        <f>X*EXP(-rf*W101)</f>
        <v>77.259523210692805</v>
      </c>
      <c r="AE101">
        <f>in_val_put(S,σ,rf,q,W101,X)</f>
        <v>0</v>
      </c>
      <c r="AJ101">
        <v>8.6</v>
      </c>
      <c r="AK101">
        <f>BS_call(S,AJ101,rf,q,T,X)</f>
        <v>99.998317456779958</v>
      </c>
      <c r="AL101">
        <f>in_val_call(S,AJ101,rf,q,T,X)</f>
        <v>0</v>
      </c>
      <c r="AM101">
        <f>S</f>
        <v>100</v>
      </c>
      <c r="AP101">
        <f>BS_put(S,AJ101,rf,q,T,X)</f>
        <v>97.042870811630777</v>
      </c>
      <c r="AQ101">
        <f>in_val_put(S,AJ101,rf,q,T,X)</f>
        <v>0</v>
      </c>
      <c r="AR101">
        <f>X*EXP(-rf*T)</f>
        <v>97.044553354850819</v>
      </c>
      <c r="AX101">
        <v>0.86</v>
      </c>
      <c r="AY101">
        <f>BS_call(S,σ,AX101,q,T,X)</f>
        <v>57.793669536209087</v>
      </c>
      <c r="AZ101">
        <f>S</f>
        <v>100</v>
      </c>
      <c r="BA101">
        <f>floor_call(S,σ,AX101,q,T,X)</f>
        <v>57.68379176822512</v>
      </c>
      <c r="BD101">
        <f>BS_put(S,σ,AX101,q,T,X)</f>
        <v>0.10987776798396431</v>
      </c>
      <c r="BE101">
        <f>in_val_put(S,σ,AX101,q,T,X)</f>
        <v>0</v>
      </c>
      <c r="BF101">
        <f>X*EXP(-AX101*T)</f>
        <v>42.31620823177488</v>
      </c>
    </row>
    <row r="102" spans="1:58" ht="25.5" x14ac:dyDescent="0.25">
      <c r="A102" s="1">
        <v>87</v>
      </c>
      <c r="B102" s="1">
        <f>BS_call(A102,σ,rf,q,T,X)</f>
        <v>9.5857976259284925</v>
      </c>
      <c r="C102">
        <f t="shared" si="1"/>
        <v>87</v>
      </c>
      <c r="D102">
        <f>in_val_call(A102,σ,rf,q,T,X)</f>
        <v>0</v>
      </c>
      <c r="G102">
        <f>BS_put(A102,σ,rf,q,T,X)</f>
        <v>19.630350980779319</v>
      </c>
      <c r="H102">
        <f>X*EXP(-rf*T)</f>
        <v>97.044553354850819</v>
      </c>
      <c r="I102">
        <f>in_val_put(A102,σ,rf,q,T,X)</f>
        <v>13</v>
      </c>
      <c r="L102">
        <v>87</v>
      </c>
      <c r="M102">
        <f>BS_call(S,σ,rf,q,T,L102)</f>
        <v>23.186837095766961</v>
      </c>
      <c r="N102">
        <f>S</f>
        <v>100</v>
      </c>
      <c r="O102">
        <f>in_val_call(S,σ,rf,q,T,L102)</f>
        <v>13</v>
      </c>
      <c r="Q102" s="3">
        <f>BS_put(S,σ,rf,q,T,L102)</f>
        <v>7.6155985144871785</v>
      </c>
      <c r="R102">
        <f>L102*EXP(-rf*T)</f>
        <v>84.428761418720214</v>
      </c>
      <c r="S102">
        <f>in_val_put(S,σ,rf,q,T,L102)</f>
        <v>0</v>
      </c>
      <c r="W102">
        <v>8.6999999999999993</v>
      </c>
      <c r="X102">
        <f>BS_call(S,σ,rf,q,W102,X)</f>
        <v>50.439024405640254</v>
      </c>
      <c r="Y102">
        <f>S</f>
        <v>100</v>
      </c>
      <c r="Z102">
        <f>in_val_call(S,σ,rf,q,W102,X)</f>
        <v>0</v>
      </c>
      <c r="AC102">
        <f>BS_put(S,σ,rf,q,W102,X)</f>
        <v>27.467116367148162</v>
      </c>
      <c r="AD102">
        <f>X*EXP(-rf*W102)</f>
        <v>77.028091961507911</v>
      </c>
      <c r="AE102">
        <f>in_val_put(S,σ,rf,q,W102,X)</f>
        <v>0</v>
      </c>
      <c r="AJ102">
        <v>8.6999999999999993</v>
      </c>
      <c r="AK102">
        <f>BS_call(S,AJ102,rf,q,T,X)</f>
        <v>99.998658900212149</v>
      </c>
      <c r="AL102">
        <f>in_val_call(S,AJ102,rf,q,T,X)</f>
        <v>0</v>
      </c>
      <c r="AM102">
        <f>S</f>
        <v>100</v>
      </c>
      <c r="AP102">
        <f>BS_put(S,AJ102,rf,q,T,X)</f>
        <v>97.043212255062969</v>
      </c>
      <c r="AQ102">
        <f>in_val_put(S,AJ102,rf,q,T,X)</f>
        <v>0</v>
      </c>
      <c r="AR102">
        <f>X*EXP(-rf*T)</f>
        <v>97.044553354850819</v>
      </c>
      <c r="AX102">
        <v>0.87</v>
      </c>
      <c r="AY102">
        <f>BS_call(S,σ,AX102,q,T,X)</f>
        <v>58.206285770508906</v>
      </c>
      <c r="AZ102">
        <f>S</f>
        <v>100</v>
      </c>
      <c r="BA102">
        <f>floor_call(S,σ,AX102,q,T,X)</f>
        <v>58.104845075236099</v>
      </c>
      <c r="BD102">
        <f>BS_put(S,σ,AX102,q,T,X)</f>
        <v>0.10144069527280863</v>
      </c>
      <c r="BE102">
        <f>in_val_put(S,σ,AX102,q,T,X)</f>
        <v>0</v>
      </c>
      <c r="BF102">
        <f>X*EXP(-AX102*T)</f>
        <v>41.895154924763901</v>
      </c>
    </row>
    <row r="103" spans="1:58" ht="25.5" x14ac:dyDescent="0.25">
      <c r="A103" s="1">
        <v>88</v>
      </c>
      <c r="B103" s="1">
        <f>BS_call(A103,σ,rf,q,T,X)</f>
        <v>10.05542952703118</v>
      </c>
      <c r="C103">
        <f t="shared" si="1"/>
        <v>88</v>
      </c>
      <c r="D103">
        <f>in_val_call(A103,σ,rf,q,T,X)</f>
        <v>0</v>
      </c>
      <c r="G103">
        <f>BS_put(A103,σ,rf,q,T,X)</f>
        <v>19.099982881881999</v>
      </c>
      <c r="H103">
        <f>X*EXP(-rf*T)</f>
        <v>97.044553354850819</v>
      </c>
      <c r="I103">
        <f>in_val_put(A103,σ,rf,q,T,X)</f>
        <v>12</v>
      </c>
      <c r="L103">
        <v>88</v>
      </c>
      <c r="M103">
        <f>BS_call(S,σ,rf,q,T,L103)</f>
        <v>22.612610841318151</v>
      </c>
      <c r="N103">
        <f>S</f>
        <v>100</v>
      </c>
      <c r="O103">
        <f>in_val_call(S,σ,rf,q,T,L103)</f>
        <v>12</v>
      </c>
      <c r="Q103" s="3">
        <f>BS_put(S,σ,rf,q,T,L103)</f>
        <v>8.0118177935868502</v>
      </c>
      <c r="R103">
        <f>L103*EXP(-rf*T)</f>
        <v>85.399206952268713</v>
      </c>
      <c r="S103">
        <f>in_val_put(S,σ,rf,q,T,L103)</f>
        <v>0</v>
      </c>
      <c r="W103">
        <v>8.8000000000000007</v>
      </c>
      <c r="X103">
        <f>BS_call(S,σ,rf,q,W103,X)</f>
        <v>50.712351368227154</v>
      </c>
      <c r="Y103">
        <f>S</f>
        <v>100</v>
      </c>
      <c r="Z103">
        <f>in_val_call(S,σ,rf,q,W103,X)</f>
        <v>0</v>
      </c>
      <c r="AC103">
        <f>BS_put(S,σ,rf,q,W103,X)</f>
        <v>27.509705333897756</v>
      </c>
      <c r="AD103">
        <f>X*EXP(-rf*W103)</f>
        <v>76.797353965670609</v>
      </c>
      <c r="AE103">
        <f>in_val_put(S,σ,rf,q,W103,X)</f>
        <v>0</v>
      </c>
      <c r="AJ103">
        <v>8.8000000000000007</v>
      </c>
      <c r="AK103">
        <f>BS_call(S,AJ103,rf,q,T,X)</f>
        <v>99.99893361335323</v>
      </c>
      <c r="AL103">
        <f>in_val_call(S,AJ103,rf,q,T,X)</f>
        <v>0</v>
      </c>
      <c r="AM103">
        <f>S</f>
        <v>100</v>
      </c>
      <c r="AP103">
        <f>BS_put(S,AJ103,rf,q,T,X)</f>
        <v>97.043486968204064</v>
      </c>
      <c r="AQ103">
        <f>in_val_put(S,AJ103,rf,q,T,X)</f>
        <v>0</v>
      </c>
      <c r="AR103">
        <f>X*EXP(-rf*T)</f>
        <v>97.044553354850819</v>
      </c>
      <c r="AX103">
        <v>0.88</v>
      </c>
      <c r="AY103">
        <f>BS_call(S,σ,AX103,q,T,X)</f>
        <v>58.615307431518197</v>
      </c>
      <c r="AZ103">
        <f>S</f>
        <v>100</v>
      </c>
      <c r="BA103">
        <f>floor_call(S,σ,AX103,q,T,X)</f>
        <v>58.521708831841863</v>
      </c>
      <c r="BD103">
        <f>BS_put(S,σ,AX103,q,T,X)</f>
        <v>9.3598599676333105E-2</v>
      </c>
      <c r="BE103">
        <f>in_val_put(S,σ,AX103,q,T,X)</f>
        <v>0</v>
      </c>
      <c r="BF103">
        <f>X*EXP(-AX103*T)</f>
        <v>41.478291168158137</v>
      </c>
    </row>
    <row r="104" spans="1:58" ht="25.5" x14ac:dyDescent="0.25">
      <c r="A104" s="1">
        <v>89</v>
      </c>
      <c r="B104" s="1">
        <f>BS_call(A104,σ,rf,q,T,X)</f>
        <v>10.536807931112698</v>
      </c>
      <c r="C104">
        <f t="shared" si="1"/>
        <v>89</v>
      </c>
      <c r="D104">
        <f>in_val_call(A104,σ,rf,q,T,X)</f>
        <v>0</v>
      </c>
      <c r="G104">
        <f>BS_put(A104,σ,rf,q,T,X)</f>
        <v>18.581361285963531</v>
      </c>
      <c r="H104">
        <f>X*EXP(-rf*T)</f>
        <v>97.044553354850819</v>
      </c>
      <c r="I104">
        <f>in_val_put(A104,σ,rf,q,T,X)</f>
        <v>11</v>
      </c>
      <c r="L104">
        <v>89</v>
      </c>
      <c r="M104">
        <f>BS_call(S,σ,rf,q,T,L104)</f>
        <v>22.049539179446292</v>
      </c>
      <c r="N104">
        <f>S</f>
        <v>100</v>
      </c>
      <c r="O104">
        <f>in_val_call(S,σ,rf,q,T,L104)</f>
        <v>11</v>
      </c>
      <c r="Q104" s="3">
        <f>BS_put(S,σ,rf,q,T,L104)</f>
        <v>8.4191916652635257</v>
      </c>
      <c r="R104">
        <f>L104*EXP(-rf*T)</f>
        <v>86.369652485817227</v>
      </c>
      <c r="S104">
        <f>in_val_put(S,σ,rf,q,T,L104)</f>
        <v>0</v>
      </c>
      <c r="W104">
        <v>8.9</v>
      </c>
      <c r="X104">
        <f>BS_call(S,σ,rf,q,W104,X)</f>
        <v>50.983503731679058</v>
      </c>
      <c r="Y104">
        <f>S</f>
        <v>100</v>
      </c>
      <c r="Z104">
        <f>in_val_call(S,σ,rf,q,W104,X)</f>
        <v>0</v>
      </c>
      <c r="AC104">
        <f>BS_put(S,σ,rf,q,W104,X)</f>
        <v>27.550810878216446</v>
      </c>
      <c r="AD104">
        <f>X*EXP(-rf*W104)</f>
        <v>76.567307146537388</v>
      </c>
      <c r="AE104">
        <f>in_val_put(S,σ,rf,q,W104,X)</f>
        <v>0</v>
      </c>
      <c r="AJ104">
        <v>8.9</v>
      </c>
      <c r="AK104">
        <f>BS_call(S,AJ104,rf,q,T,X)</f>
        <v>99.999154085937917</v>
      </c>
      <c r="AL104">
        <f>in_val_call(S,AJ104,rf,q,T,X)</f>
        <v>0</v>
      </c>
      <c r="AM104">
        <f>S</f>
        <v>100</v>
      </c>
      <c r="AP104">
        <f>BS_put(S,AJ104,rf,q,T,X)</f>
        <v>97.043707440788737</v>
      </c>
      <c r="AQ104">
        <f>in_val_put(S,AJ104,rf,q,T,X)</f>
        <v>0</v>
      </c>
      <c r="AR104">
        <f>X*EXP(-rf*T)</f>
        <v>97.044553354850819</v>
      </c>
      <c r="AX104">
        <v>0.89</v>
      </c>
      <c r="AY104">
        <f>BS_call(S,σ,AX104,q,T,X)</f>
        <v>59.020738620680028</v>
      </c>
      <c r="AZ104">
        <f>S</f>
        <v>100</v>
      </c>
      <c r="BA104">
        <f>floor_call(S,σ,AX104,q,T,X)</f>
        <v>58.934424724765449</v>
      </c>
      <c r="BD104">
        <f>BS_put(S,σ,AX104,q,T,X)</f>
        <v>8.6313895914583272E-2</v>
      </c>
      <c r="BE104">
        <f>in_val_put(S,σ,AX104,q,T,X)</f>
        <v>0</v>
      </c>
      <c r="BF104">
        <f>X*EXP(-AX104*T)</f>
        <v>41.065575275234551</v>
      </c>
    </row>
    <row r="105" spans="1:58" ht="25.5" x14ac:dyDescent="0.25">
      <c r="A105" s="1">
        <v>90</v>
      </c>
      <c r="B105" s="1">
        <f>BS_call(A105,σ,rf,q,T,X)</f>
        <v>11.029816825405717</v>
      </c>
      <c r="C105">
        <f t="shared" si="1"/>
        <v>90</v>
      </c>
      <c r="D105">
        <f>in_val_call(A105,σ,rf,q,T,X)</f>
        <v>0</v>
      </c>
      <c r="G105">
        <f>BS_put(A105,σ,rf,q,T,X)</f>
        <v>18.074370180256537</v>
      </c>
      <c r="H105">
        <f>X*EXP(-rf*T)</f>
        <v>97.044553354850819</v>
      </c>
      <c r="I105">
        <f>in_val_put(A105,σ,rf,q,T,X)</f>
        <v>10</v>
      </c>
      <c r="L105">
        <v>90</v>
      </c>
      <c r="M105">
        <f>BS_call(S,σ,rf,q,T,L105)</f>
        <v>21.497562520584978</v>
      </c>
      <c r="N105">
        <f>S</f>
        <v>100</v>
      </c>
      <c r="O105">
        <f>in_val_call(S,σ,rf,q,T,L105)</f>
        <v>10</v>
      </c>
      <c r="Q105" s="3">
        <f>BS_put(S,σ,rf,q,T,L105)</f>
        <v>8.8376605399507078</v>
      </c>
      <c r="R105">
        <f>L105*EXP(-rf*T)</f>
        <v>87.34009801936574</v>
      </c>
      <c r="S105">
        <f>in_val_put(S,σ,rf,q,T,L105)</f>
        <v>0</v>
      </c>
      <c r="W105">
        <v>9</v>
      </c>
      <c r="X105">
        <f>BS_call(S,σ,rf,q,W105,X)</f>
        <v>51.252512428432439</v>
      </c>
      <c r="Y105">
        <f>S</f>
        <v>100</v>
      </c>
      <c r="Z105">
        <f>in_val_call(S,σ,rf,q,W105,X)</f>
        <v>0</v>
      </c>
      <c r="AC105">
        <f>BS_put(S,σ,rf,q,W105,X)</f>
        <v>27.590461862117749</v>
      </c>
      <c r="AD105">
        <f>X*EXP(-rf*W105)</f>
        <v>76.33794943368531</v>
      </c>
      <c r="AE105">
        <f>in_val_put(S,σ,rf,q,W105,X)</f>
        <v>0</v>
      </c>
      <c r="AJ105">
        <v>9</v>
      </c>
      <c r="AK105">
        <f>BS_call(S,AJ105,rf,q,T,X)</f>
        <v>99.999330585746975</v>
      </c>
      <c r="AL105">
        <f>in_val_call(S,AJ105,rf,q,T,X)</f>
        <v>0</v>
      </c>
      <c r="AM105">
        <f>S</f>
        <v>100</v>
      </c>
      <c r="AP105">
        <f>BS_put(S,AJ105,rf,q,T,X)</f>
        <v>97.04388394059778</v>
      </c>
      <c r="AQ105">
        <f>in_val_put(S,AJ105,rf,q,T,X)</f>
        <v>0</v>
      </c>
      <c r="AR105">
        <f>X*EXP(-rf*T)</f>
        <v>97.044553354850819</v>
      </c>
      <c r="AX105">
        <v>0.9</v>
      </c>
      <c r="AY105">
        <f>BS_call(S,σ,AX105,q,T,X)</f>
        <v>59.422585057795366</v>
      </c>
      <c r="AZ105">
        <f>S</f>
        <v>100</v>
      </c>
      <c r="BA105">
        <f>floor_call(S,σ,AX105,q,T,X)</f>
        <v>59.343034025940092</v>
      </c>
      <c r="BD105">
        <f>BS_put(S,σ,AX105,q,T,X)</f>
        <v>7.9551031855272569E-2</v>
      </c>
      <c r="BE105">
        <f>in_val_put(S,σ,AX105,q,T,X)</f>
        <v>0</v>
      </c>
      <c r="BF105">
        <f>X*EXP(-AX105*T)</f>
        <v>40.656965974059908</v>
      </c>
    </row>
    <row r="106" spans="1:58" ht="25.5" x14ac:dyDescent="0.25">
      <c r="A106" s="1">
        <v>91</v>
      </c>
      <c r="B106" s="1">
        <f>BS_call(A106,σ,rf,q,T,X)</f>
        <v>11.534332878883021</v>
      </c>
      <c r="C106">
        <f t="shared" si="1"/>
        <v>91</v>
      </c>
      <c r="D106">
        <f>in_val_call(A106,σ,rf,q,T,X)</f>
        <v>0</v>
      </c>
      <c r="G106">
        <f>BS_put(A106,σ,rf,q,T,X)</f>
        <v>17.578886233733847</v>
      </c>
      <c r="H106">
        <f>X*EXP(-rf*T)</f>
        <v>97.044553354850819</v>
      </c>
      <c r="I106">
        <f>in_val_put(A106,σ,rf,q,T,X)</f>
        <v>9</v>
      </c>
      <c r="L106">
        <v>91</v>
      </c>
      <c r="M106">
        <f>BS_call(S,σ,rf,q,T,L106)</f>
        <v>20.956612919484456</v>
      </c>
      <c r="N106">
        <f>S</f>
        <v>100</v>
      </c>
      <c r="O106">
        <f>in_val_call(S,σ,rf,q,T,L106)</f>
        <v>9</v>
      </c>
      <c r="Q106" s="3">
        <f>BS_put(S,σ,rf,q,T,L106)</f>
        <v>9.2671564723986926</v>
      </c>
      <c r="R106">
        <f>L106*EXP(-rf*T)</f>
        <v>88.31054355291424</v>
      </c>
      <c r="S106">
        <f>in_val_put(S,σ,rf,q,T,L106)</f>
        <v>0</v>
      </c>
      <c r="W106">
        <v>9.1</v>
      </c>
      <c r="X106">
        <f>BS_call(S,σ,rf,q,W106,X)</f>
        <v>51.519407618557963</v>
      </c>
      <c r="Y106">
        <f>S</f>
        <v>100</v>
      </c>
      <c r="Z106">
        <f>in_val_call(S,σ,rf,q,W106,X)</f>
        <v>0</v>
      </c>
      <c r="AC106">
        <f>BS_put(S,σ,rf,q,W106,X)</f>
        <v>27.628686381451381</v>
      </c>
      <c r="AD106">
        <f>X*EXP(-rf*W106)</f>
        <v>76.109278762893425</v>
      </c>
      <c r="AE106">
        <f>in_val_put(S,σ,rf,q,W106,X)</f>
        <v>0</v>
      </c>
      <c r="AJ106">
        <v>9.1</v>
      </c>
      <c r="AK106">
        <f>BS_call(S,AJ106,rf,q,T,X)</f>
        <v>99.99947153032501</v>
      </c>
      <c r="AL106">
        <f>in_val_call(S,AJ106,rf,q,T,X)</f>
        <v>0</v>
      </c>
      <c r="AM106">
        <f>S</f>
        <v>100</v>
      </c>
      <c r="AP106">
        <f>BS_put(S,AJ106,rf,q,T,X)</f>
        <v>97.04402488517583</v>
      </c>
      <c r="AQ106">
        <f>in_val_put(S,AJ106,rf,q,T,X)</f>
        <v>0</v>
      </c>
      <c r="AR106">
        <f>X*EXP(-rf*T)</f>
        <v>97.044553354850819</v>
      </c>
      <c r="AX106">
        <v>0.91</v>
      </c>
      <c r="AY106">
        <f>BS_call(S,σ,AX106,q,T,X)</f>
        <v>59.820854000226653</v>
      </c>
      <c r="AZ106">
        <f>S</f>
        <v>100</v>
      </c>
      <c r="BA106">
        <f>floor_call(S,σ,AX106,q,T,X)</f>
        <v>59.747577596636404</v>
      </c>
      <c r="BD106">
        <f>BS_put(S,σ,AX106,q,T,X)</f>
        <v>7.3276403590254668E-2</v>
      </c>
      <c r="BE106">
        <f>in_val_put(S,σ,AX106,q,T,X)</f>
        <v>0</v>
      </c>
      <c r="BF106">
        <f>X*EXP(-AX106*T)</f>
        <v>40.252422403363596</v>
      </c>
    </row>
    <row r="107" spans="1:58" ht="25.5" x14ac:dyDescent="0.25">
      <c r="A107" s="1">
        <v>92</v>
      </c>
      <c r="B107" s="1">
        <f>BS_call(A107,σ,rf,q,T,X)</f>
        <v>12.050225990815051</v>
      </c>
      <c r="C107">
        <f t="shared" si="1"/>
        <v>92</v>
      </c>
      <c r="D107">
        <f>in_val_call(A107,σ,rf,q,T,X)</f>
        <v>0</v>
      </c>
      <c r="G107">
        <f>BS_put(A107,σ,rf,q,T,X)</f>
        <v>17.094779345665877</v>
      </c>
      <c r="H107">
        <f>X*EXP(-rf*T)</f>
        <v>97.044553354850819</v>
      </c>
      <c r="I107">
        <f>in_val_put(A107,σ,rf,q,T,X)</f>
        <v>8</v>
      </c>
      <c r="L107">
        <v>92</v>
      </c>
      <c r="M107">
        <f>BS_call(S,σ,rf,q,T,L107)</f>
        <v>20.42661452494049</v>
      </c>
      <c r="N107">
        <f>S</f>
        <v>100</v>
      </c>
      <c r="O107">
        <f>in_val_call(S,σ,rf,q,T,L107)</f>
        <v>8</v>
      </c>
      <c r="Q107" s="3">
        <f>BS_put(S,σ,rf,q,T,L107)</f>
        <v>9.7076036114032433</v>
      </c>
      <c r="R107">
        <f>L107*EXP(-rf*T)</f>
        <v>89.280989086462753</v>
      </c>
      <c r="S107">
        <f>in_val_put(S,σ,rf,q,T,L107)</f>
        <v>0</v>
      </c>
      <c r="W107">
        <v>9.1999999999999993</v>
      </c>
      <c r="X107">
        <f>BS_call(S,σ,rf,q,W107,X)</f>
        <v>51.784218718169591</v>
      </c>
      <c r="Y107">
        <f>S</f>
        <v>100</v>
      </c>
      <c r="Z107">
        <f>in_val_call(S,σ,rf,q,W107,X)</f>
        <v>0</v>
      </c>
      <c r="AC107">
        <f>BS_put(S,σ,rf,q,W107,X)</f>
        <v>27.665511794293746</v>
      </c>
      <c r="AD107">
        <f>X*EXP(-rf*W107)</f>
        <v>75.881293076124152</v>
      </c>
      <c r="AE107">
        <f>in_val_put(S,σ,rf,q,W107,X)</f>
        <v>0</v>
      </c>
      <c r="AJ107">
        <v>9.1999999999999993</v>
      </c>
      <c r="AK107">
        <f>BS_call(S,AJ107,rf,q,T,X)</f>
        <v>99.999583801171056</v>
      </c>
      <c r="AL107">
        <f>in_val_call(S,AJ107,rf,q,T,X)</f>
        <v>0</v>
      </c>
      <c r="AM107">
        <f>S</f>
        <v>100</v>
      </c>
      <c r="AP107">
        <f>BS_put(S,AJ107,rf,q,T,X)</f>
        <v>97.044137156021861</v>
      </c>
      <c r="AQ107">
        <f>in_val_put(S,AJ107,rf,q,T,X)</f>
        <v>0</v>
      </c>
      <c r="AR107">
        <f>X*EXP(-rf*T)</f>
        <v>97.044553354850819</v>
      </c>
      <c r="AX107">
        <v>0.92</v>
      </c>
      <c r="AY107">
        <f>BS_call(S,σ,AX107,q,T,X)</f>
        <v>60.21555416385501</v>
      </c>
      <c r="AZ107">
        <f>S</f>
        <v>100</v>
      </c>
      <c r="BA107">
        <f>floor_call(S,σ,AX107,q,T,X)</f>
        <v>60.148095891548586</v>
      </c>
      <c r="BD107">
        <f>BS_put(S,σ,AX107,q,T,X)</f>
        <v>6.7458272306425815E-2</v>
      </c>
      <c r="BE107">
        <f>in_val_put(S,σ,AX107,q,T,X)</f>
        <v>0</v>
      </c>
      <c r="BF107">
        <f>X*EXP(-AX107*T)</f>
        <v>39.851904108451414</v>
      </c>
    </row>
    <row r="108" spans="1:58" ht="25.5" x14ac:dyDescent="0.25">
      <c r="A108" s="1">
        <v>93</v>
      </c>
      <c r="B108" s="1">
        <f>BS_call(A108,σ,rf,q,T,X)</f>
        <v>12.577359826324347</v>
      </c>
      <c r="C108">
        <f t="shared" si="1"/>
        <v>93</v>
      </c>
      <c r="D108">
        <f>in_val_call(A108,σ,rf,q,T,X)</f>
        <v>0</v>
      </c>
      <c r="G108">
        <f>BS_put(A108,σ,rf,q,T,X)</f>
        <v>16.621913181175159</v>
      </c>
      <c r="H108">
        <f>X*EXP(-rf*T)</f>
        <v>97.044553354850819</v>
      </c>
      <c r="I108">
        <f>in_val_put(A108,σ,rf,q,T,X)</f>
        <v>7</v>
      </c>
      <c r="L108">
        <v>93</v>
      </c>
      <c r="M108">
        <f>BS_call(S,σ,rf,q,T,L108)</f>
        <v>19.907484027133357</v>
      </c>
      <c r="N108">
        <f>S</f>
        <v>100</v>
      </c>
      <c r="O108">
        <f>in_val_call(S,σ,rf,q,T,L108)</f>
        <v>7</v>
      </c>
      <c r="Q108" s="3">
        <f>BS_put(S,σ,rf,q,T,L108)</f>
        <v>10.158918647144603</v>
      </c>
      <c r="R108">
        <f>L108*EXP(-rf*T)</f>
        <v>90.251434620011253</v>
      </c>
      <c r="S108">
        <f>in_val_put(S,σ,rf,q,T,L108)</f>
        <v>0</v>
      </c>
      <c r="W108">
        <v>9.3000000000000007</v>
      </c>
      <c r="X108">
        <f>BS_call(S,σ,rf,q,W108,X)</f>
        <v>52.046974426474591</v>
      </c>
      <c r="Y108">
        <f>S</f>
        <v>100</v>
      </c>
      <c r="Z108">
        <f>in_val_call(S,σ,rf,q,W108,X)</f>
        <v>0</v>
      </c>
      <c r="AC108">
        <f>BS_put(S,σ,rf,q,W108,X)</f>
        <v>27.700964747979331</v>
      </c>
      <c r="AD108">
        <f>X*EXP(-rf*W108)</f>
        <v>75.653990321504736</v>
      </c>
      <c r="AE108">
        <f>in_val_put(S,σ,rf,q,W108,X)</f>
        <v>0</v>
      </c>
      <c r="AJ108">
        <v>9.3000000000000007</v>
      </c>
      <c r="AK108">
        <f>BS_call(S,AJ108,rf,q,T,X)</f>
        <v>99.99967300841142</v>
      </c>
      <c r="AL108">
        <f>in_val_call(S,AJ108,rf,q,T,X)</f>
        <v>0</v>
      </c>
      <c r="AM108">
        <f>S</f>
        <v>100</v>
      </c>
      <c r="AP108">
        <f>BS_put(S,AJ108,rf,q,T,X)</f>
        <v>97.044226363262226</v>
      </c>
      <c r="AQ108">
        <f>in_val_put(S,AJ108,rf,q,T,X)</f>
        <v>0</v>
      </c>
      <c r="AR108">
        <f>X*EXP(-rf*T)</f>
        <v>97.044553354850819</v>
      </c>
      <c r="AX108">
        <v>0.93</v>
      </c>
      <c r="AY108">
        <f>BS_call(S,σ,AX108,q,T,X)</f>
        <v>60.606695645879341</v>
      </c>
      <c r="AZ108">
        <f>S</f>
        <v>100</v>
      </c>
      <c r="BA108">
        <f>floor_call(S,σ,AX108,q,T,X)</f>
        <v>60.544628962839894</v>
      </c>
      <c r="BD108">
        <f>BS_put(S,σ,AX108,q,T,X)</f>
        <v>6.2066683039444626E-2</v>
      </c>
      <c r="BE108">
        <f>in_val_put(S,σ,AX108,q,T,X)</f>
        <v>0</v>
      </c>
      <c r="BF108">
        <f>X*EXP(-AX108*T)</f>
        <v>39.455371037160106</v>
      </c>
    </row>
    <row r="109" spans="1:58" ht="25.5" x14ac:dyDescent="0.25">
      <c r="A109" s="1">
        <v>94</v>
      </c>
      <c r="B109" s="1">
        <f>BS_call(A109,σ,rf,q,T,X)</f>
        <v>13.115592337755167</v>
      </c>
      <c r="C109">
        <f t="shared" si="1"/>
        <v>94</v>
      </c>
      <c r="D109">
        <f>in_val_call(A109,σ,rf,q,T,X)</f>
        <v>0</v>
      </c>
      <c r="G109">
        <f>BS_put(A109,σ,rf,q,T,X)</f>
        <v>16.16014569260598</v>
      </c>
      <c r="H109">
        <f>X*EXP(-rf*T)</f>
        <v>97.044553354850819</v>
      </c>
      <c r="I109">
        <f>in_val_put(A109,σ,rf,q,T,X)</f>
        <v>6</v>
      </c>
      <c r="L109">
        <v>94</v>
      </c>
      <c r="M109">
        <f>BS_call(S,σ,rf,q,T,L109)</f>
        <v>19.3991311009828</v>
      </c>
      <c r="N109">
        <f>S</f>
        <v>100</v>
      </c>
      <c r="O109">
        <f>in_val_call(S,σ,rf,q,T,L109)</f>
        <v>6</v>
      </c>
      <c r="Q109" s="3">
        <f>BS_put(S,σ,rf,q,T,L109)</f>
        <v>10.621011254542573</v>
      </c>
      <c r="R109">
        <f>L109*EXP(-rf*T)</f>
        <v>91.221880153559766</v>
      </c>
      <c r="S109">
        <f>in_val_put(S,σ,rf,q,T,L109)</f>
        <v>0</v>
      </c>
      <c r="W109">
        <v>9.4</v>
      </c>
      <c r="X109">
        <f>BS_call(S,σ,rf,q,W109,X)</f>
        <v>52.307702751543189</v>
      </c>
      <c r="Y109">
        <f>S</f>
        <v>100</v>
      </c>
      <c r="Z109">
        <f>in_val_call(S,σ,rf,q,W109,X)</f>
        <v>0</v>
      </c>
      <c r="AC109">
        <f>BS_put(S,σ,rf,q,W109,X)</f>
        <v>27.735071204852094</v>
      </c>
      <c r="AD109">
        <f>X*EXP(-rf*W109)</f>
        <v>75.427368453308901</v>
      </c>
      <c r="AE109">
        <f>in_val_put(S,σ,rf,q,W109,X)</f>
        <v>0</v>
      </c>
      <c r="AJ109">
        <v>9.4</v>
      </c>
      <c r="AK109">
        <f>BS_call(S,AJ109,rf,q,T,X)</f>
        <v>99.999743713016628</v>
      </c>
      <c r="AL109">
        <f>in_val_call(S,AJ109,rf,q,T,X)</f>
        <v>0</v>
      </c>
      <c r="AM109">
        <f>S</f>
        <v>100</v>
      </c>
      <c r="AP109">
        <f>BS_put(S,AJ109,rf,q,T,X)</f>
        <v>97.044297067867447</v>
      </c>
      <c r="AQ109">
        <f>in_val_put(S,AJ109,rf,q,T,X)</f>
        <v>0</v>
      </c>
      <c r="AR109">
        <f>X*EXP(-rf*T)</f>
        <v>97.044553354850819</v>
      </c>
      <c r="AX109">
        <v>0.94</v>
      </c>
      <c r="AY109">
        <f>BS_call(S,σ,AX109,q,T,X)</f>
        <v>60.99428984953547</v>
      </c>
      <c r="AZ109">
        <f>S</f>
        <v>100</v>
      </c>
      <c r="BA109">
        <f>floor_call(S,σ,AX109,q,T,X)</f>
        <v>60.937216464147888</v>
      </c>
      <c r="BD109">
        <f>BS_put(S,σ,AX109,q,T,X)</f>
        <v>5.7073385387579723E-2</v>
      </c>
      <c r="BE109">
        <f>in_val_put(S,σ,AX109,q,T,X)</f>
        <v>0</v>
      </c>
      <c r="BF109">
        <f>X*EXP(-AX109*T)</f>
        <v>39.062783535852112</v>
      </c>
    </row>
    <row r="110" spans="1:58" ht="25.5" x14ac:dyDescent="0.25">
      <c r="A110" s="1">
        <v>95</v>
      </c>
      <c r="B110" s="1">
        <f>BS_call(A110,σ,rf,q,T,X)</f>
        <v>13.664776270858965</v>
      </c>
      <c r="C110">
        <f t="shared" si="1"/>
        <v>95</v>
      </c>
      <c r="D110">
        <f>in_val_call(A110,σ,rf,q,T,X)</f>
        <v>0</v>
      </c>
      <c r="G110">
        <f>BS_put(A110,σ,rf,q,T,X)</f>
        <v>15.709329625709785</v>
      </c>
      <c r="H110">
        <f>X*EXP(-rf*T)</f>
        <v>97.044553354850819</v>
      </c>
      <c r="I110">
        <f>in_val_put(A110,σ,rf,q,T,X)</f>
        <v>5</v>
      </c>
      <c r="L110">
        <v>95</v>
      </c>
      <c r="M110">
        <f>BS_call(S,σ,rf,q,T,L110)</f>
        <v>18.901458844083798</v>
      </c>
      <c r="N110">
        <f>S</f>
        <v>100</v>
      </c>
      <c r="O110">
        <f>in_val_call(S,σ,rf,q,T,L110)</f>
        <v>5</v>
      </c>
      <c r="Q110" s="3">
        <f>BS_put(S,σ,rf,q,T,L110)</f>
        <v>11.093784531192085</v>
      </c>
      <c r="R110">
        <f>L110*EXP(-rf*T)</f>
        <v>92.19232568710828</v>
      </c>
      <c r="S110">
        <f>in_val_put(S,σ,rf,q,T,L110)</f>
        <v>0</v>
      </c>
      <c r="W110">
        <v>9.5</v>
      </c>
      <c r="X110">
        <f>BS_call(S,σ,rf,q,W110,X)</f>
        <v>52.566431034872643</v>
      </c>
      <c r="Y110">
        <f>S</f>
        <v>100</v>
      </c>
      <c r="Z110">
        <f>in_val_call(S,σ,rf,q,W110,X)</f>
        <v>0</v>
      </c>
      <c r="AC110">
        <f>BS_put(S,σ,rf,q,W110,X)</f>
        <v>27.767856466810919</v>
      </c>
      <c r="AD110">
        <f>X*EXP(-rf*W110)</f>
        <v>75.201425431938262</v>
      </c>
      <c r="AE110">
        <f>in_val_put(S,σ,rf,q,W110,X)</f>
        <v>0</v>
      </c>
      <c r="AJ110">
        <v>9.5</v>
      </c>
      <c r="AK110">
        <f>BS_call(S,AJ110,rf,q,T,X)</f>
        <v>99.999799612756448</v>
      </c>
      <c r="AL110">
        <f>in_val_call(S,AJ110,rf,q,T,X)</f>
        <v>0</v>
      </c>
      <c r="AM110">
        <f>S</f>
        <v>100</v>
      </c>
      <c r="AP110">
        <f>BS_put(S,AJ110,rf,q,T,X)</f>
        <v>97.044352967607267</v>
      </c>
      <c r="AQ110">
        <f>in_val_put(S,AJ110,rf,q,T,X)</f>
        <v>0</v>
      </c>
      <c r="AR110">
        <f>X*EXP(-rf*T)</f>
        <v>97.044553354850819</v>
      </c>
      <c r="AX110">
        <v>0.95</v>
      </c>
      <c r="AY110">
        <f>BS_call(S,σ,AX110,q,T,X)</f>
        <v>61.378349410802201</v>
      </c>
      <c r="AZ110">
        <f>S</f>
        <v>100</v>
      </c>
      <c r="BA110">
        <f>floor_call(S,σ,AX110,q,T,X)</f>
        <v>61.325897654549877</v>
      </c>
      <c r="BD110">
        <f>BS_put(S,σ,AX110,q,T,X)</f>
        <v>5.2451756252317738E-2</v>
      </c>
      <c r="BE110">
        <f>in_val_put(S,σ,AX110,q,T,X)</f>
        <v>0</v>
      </c>
      <c r="BF110">
        <f>X*EXP(-AX110*T)</f>
        <v>38.674102345450123</v>
      </c>
    </row>
    <row r="111" spans="1:58" ht="25.5" x14ac:dyDescent="0.25">
      <c r="A111" s="1">
        <v>96</v>
      </c>
      <c r="B111" s="1">
        <f>BS_call(A111,σ,rf,q,T,X)</f>
        <v>14.224759654965546</v>
      </c>
      <c r="C111">
        <f t="shared" si="1"/>
        <v>96</v>
      </c>
      <c r="D111">
        <f>in_val_call(A111,σ,rf,q,T,X)</f>
        <v>0</v>
      </c>
      <c r="G111">
        <f>BS_put(A111,σ,rf,q,T,X)</f>
        <v>15.269313009816358</v>
      </c>
      <c r="H111">
        <f>X*EXP(-rf*T)</f>
        <v>97.044553354850819</v>
      </c>
      <c r="I111">
        <f>in_val_put(A111,σ,rf,q,T,X)</f>
        <v>4</v>
      </c>
      <c r="L111">
        <v>96</v>
      </c>
      <c r="M111">
        <f>BS_call(S,σ,rf,q,T,L111)</f>
        <v>18.414364207939435</v>
      </c>
      <c r="N111">
        <f>S</f>
        <v>100</v>
      </c>
      <c r="O111">
        <f>in_val_call(S,σ,rf,q,T,L111)</f>
        <v>4</v>
      </c>
      <c r="Q111" s="3">
        <f>BS_put(S,σ,rf,q,T,L111)</f>
        <v>11.577135428596215</v>
      </c>
      <c r="R111">
        <f>L111*EXP(-rf*T)</f>
        <v>93.162771220656779</v>
      </c>
      <c r="S111">
        <f>in_val_put(S,σ,rf,q,T,L111)</f>
        <v>0</v>
      </c>
      <c r="W111">
        <v>9.6</v>
      </c>
      <c r="X111">
        <f>BS_call(S,σ,rf,q,W111,X)</f>
        <v>52.823185974813597</v>
      </c>
      <c r="Y111">
        <f>S</f>
        <v>100</v>
      </c>
      <c r="Z111">
        <f>in_val_call(S,σ,rf,q,W111,X)</f>
        <v>0</v>
      </c>
      <c r="AC111">
        <f>BS_put(S,σ,rf,q,W111,X)</f>
        <v>27.79934519871771</v>
      </c>
      <c r="AD111">
        <f>X*EXP(-rf*W111)</f>
        <v>74.976159223904119</v>
      </c>
      <c r="AE111">
        <f>in_val_put(S,σ,rf,q,W111,X)</f>
        <v>0</v>
      </c>
      <c r="AJ111">
        <v>9.6</v>
      </c>
      <c r="AK111">
        <f>BS_call(S,AJ111,rf,q,T,X)</f>
        <v>99.999843697301102</v>
      </c>
      <c r="AL111">
        <f>in_val_call(S,AJ111,rf,q,T,X)</f>
        <v>0</v>
      </c>
      <c r="AM111">
        <f>S</f>
        <v>100</v>
      </c>
      <c r="AP111">
        <f>BS_put(S,AJ111,rf,q,T,X)</f>
        <v>97.044397052151922</v>
      </c>
      <c r="AQ111">
        <f>in_val_put(S,AJ111,rf,q,T,X)</f>
        <v>0</v>
      </c>
      <c r="AR111">
        <f>X*EXP(-rf*T)</f>
        <v>97.044553354850819</v>
      </c>
      <c r="AX111">
        <v>0.96</v>
      </c>
      <c r="AY111">
        <f>BS_call(S,σ,AX111,q,T,X)</f>
        <v>61.758888127150882</v>
      </c>
      <c r="AZ111">
        <f>S</f>
        <v>100</v>
      </c>
      <c r="BA111">
        <f>floor_call(S,σ,AX111,q,T,X)</f>
        <v>61.710711402488791</v>
      </c>
      <c r="BD111">
        <f>BS_put(S,σ,AX111,q,T,X)</f>
        <v>4.8176724662089943E-2</v>
      </c>
      <c r="BE111">
        <f>in_val_put(S,σ,AX111,q,T,X)</f>
        <v>0</v>
      </c>
      <c r="BF111">
        <f>X*EXP(-AX111*T)</f>
        <v>38.289288597511209</v>
      </c>
    </row>
    <row r="112" spans="1:58" ht="25.5" x14ac:dyDescent="0.25">
      <c r="A112" s="1">
        <v>97</v>
      </c>
      <c r="B112" s="1">
        <f>BS_call(A112,σ,rf,q,T,X)</f>
        <v>14.795386276466516</v>
      </c>
      <c r="C112">
        <f t="shared" si="1"/>
        <v>97</v>
      </c>
      <c r="D112">
        <f>in_val_call(A112,σ,rf,q,T,X)</f>
        <v>0</v>
      </c>
      <c r="G112">
        <f>BS_put(A112,σ,rf,q,T,X)</f>
        <v>14.839939631317336</v>
      </c>
      <c r="H112">
        <f>X*EXP(-rf*T)</f>
        <v>97.044553354850819</v>
      </c>
      <c r="I112">
        <f>in_val_put(A112,σ,rf,q,T,X)</f>
        <v>3</v>
      </c>
      <c r="L112">
        <v>97</v>
      </c>
      <c r="M112">
        <f>BS_call(S,σ,rf,q,T,L112)</f>
        <v>17.937738421352577</v>
      </c>
      <c r="N112">
        <f>S</f>
        <v>100</v>
      </c>
      <c r="O112">
        <f>in_val_call(S,σ,rf,q,T,L112)</f>
        <v>3</v>
      </c>
      <c r="Q112" s="3">
        <f>BS_put(S,σ,rf,q,T,L112)</f>
        <v>12.070955175557877</v>
      </c>
      <c r="R112">
        <f>L112*EXP(-rf*T)</f>
        <v>94.133216754205293</v>
      </c>
      <c r="S112">
        <f>in_val_put(S,σ,rf,q,T,L112)</f>
        <v>0</v>
      </c>
      <c r="W112">
        <v>9.6999999999999993</v>
      </c>
      <c r="X112">
        <f>BS_call(S,σ,rf,q,W112,X)</f>
        <v>53.077993648923581</v>
      </c>
      <c r="Y112">
        <f>S</f>
        <v>100</v>
      </c>
      <c r="Z112">
        <f>in_val_call(S,σ,rf,q,W112,X)</f>
        <v>0</v>
      </c>
      <c r="AC112">
        <f>BS_put(S,σ,rf,q,W112,X)</f>
        <v>27.829561450732694</v>
      </c>
      <c r="AD112">
        <f>X*EXP(-rf*W112)</f>
        <v>74.751567801809102</v>
      </c>
      <c r="AE112">
        <f>in_val_put(S,σ,rf,q,W112,X)</f>
        <v>0</v>
      </c>
      <c r="AJ112">
        <v>9.6999999999999993</v>
      </c>
      <c r="AK112">
        <f>BS_call(S,AJ112,rf,q,T,X)</f>
        <v>99.999878377167832</v>
      </c>
      <c r="AL112">
        <f>in_val_call(S,AJ112,rf,q,T,X)</f>
        <v>0</v>
      </c>
      <c r="AM112">
        <f>S</f>
        <v>100</v>
      </c>
      <c r="AP112">
        <f>BS_put(S,AJ112,rf,q,T,X)</f>
        <v>97.044431732018651</v>
      </c>
      <c r="AQ112">
        <f>in_val_put(S,AJ112,rf,q,T,X)</f>
        <v>0</v>
      </c>
      <c r="AR112">
        <f>X*EXP(-rf*T)</f>
        <v>97.044553354850819</v>
      </c>
      <c r="AX112">
        <v>0.97</v>
      </c>
      <c r="AY112">
        <f>BS_call(S,σ,AX112,q,T,X)</f>
        <v>62.135920888385733</v>
      </c>
      <c r="AZ112">
        <f>S</f>
        <v>100</v>
      </c>
      <c r="BA112">
        <f>floor_call(S,σ,AX112,q,T,X)</f>
        <v>62.091696189660119</v>
      </c>
      <c r="BD112">
        <f>BS_put(S,σ,AX112,q,T,X)</f>
        <v>4.4224698725623179E-2</v>
      </c>
      <c r="BE112">
        <f>in_val_put(S,σ,AX112,q,T,X)</f>
        <v>0</v>
      </c>
      <c r="BF112">
        <f>X*EXP(-AX112*T)</f>
        <v>37.908303810339881</v>
      </c>
    </row>
    <row r="113" spans="1:58" ht="25.5" x14ac:dyDescent="0.25">
      <c r="A113" s="1">
        <v>98</v>
      </c>
      <c r="B113" s="1">
        <f>BS_call(A113,σ,rf,q,T,X)</f>
        <v>15.376496135082093</v>
      </c>
      <c r="C113">
        <f t="shared" si="1"/>
        <v>98</v>
      </c>
      <c r="D113">
        <f>in_val_call(A113,σ,rf,q,T,X)</f>
        <v>0</v>
      </c>
      <c r="G113">
        <f>BS_put(A113,σ,rf,q,T,X)</f>
        <v>14.421049489932912</v>
      </c>
      <c r="H113">
        <f>X*EXP(-rf*T)</f>
        <v>97.044553354850819</v>
      </c>
      <c r="I113">
        <f>in_val_put(A113,σ,rf,q,T,X)</f>
        <v>2</v>
      </c>
      <c r="L113">
        <v>98</v>
      </c>
      <c r="M113">
        <f>BS_call(S,σ,rf,q,T,L113)</f>
        <v>17.471467404974284</v>
      </c>
      <c r="N113">
        <f>S</f>
        <v>100</v>
      </c>
      <c r="O113">
        <f>in_val_call(S,σ,rf,q,T,L113)</f>
        <v>2</v>
      </c>
      <c r="Q113" s="3">
        <f>BS_put(S,σ,rf,q,T,L113)</f>
        <v>12.575129692728083</v>
      </c>
      <c r="R113">
        <f>L113*EXP(-rf*T)</f>
        <v>95.103662287753792</v>
      </c>
      <c r="S113">
        <f>in_val_put(S,σ,rf,q,T,L113)</f>
        <v>0</v>
      </c>
      <c r="W113">
        <v>9.8000000000000007</v>
      </c>
      <c r="X113">
        <f>BS_call(S,σ,rf,q,W113,X)</f>
        <v>53.330879535307716</v>
      </c>
      <c r="Y113">
        <f>S</f>
        <v>100</v>
      </c>
      <c r="Z113">
        <f>in_val_call(S,σ,rf,q,W113,X)</f>
        <v>0</v>
      </c>
      <c r="AC113">
        <f>BS_put(S,σ,rf,q,W113,X)</f>
        <v>27.858528679636578</v>
      </c>
      <c r="AD113">
        <f>X*EXP(-rf*W113)</f>
        <v>74.527649144328862</v>
      </c>
      <c r="AE113">
        <f>in_val_put(S,σ,rf,q,W113,X)</f>
        <v>0</v>
      </c>
      <c r="AJ113">
        <v>9.8000000000000007</v>
      </c>
      <c r="AK113">
        <f>BS_call(S,AJ113,rf,q,T,X)</f>
        <v>99.999905590578052</v>
      </c>
      <c r="AL113">
        <f>in_val_call(S,AJ113,rf,q,T,X)</f>
        <v>0</v>
      </c>
      <c r="AM113">
        <f>S</f>
        <v>100</v>
      </c>
      <c r="AP113">
        <f>BS_put(S,AJ113,rf,q,T,X)</f>
        <v>97.044458945428886</v>
      </c>
      <c r="AQ113">
        <f>in_val_put(S,AJ113,rf,q,T,X)</f>
        <v>0</v>
      </c>
      <c r="AR113">
        <f>X*EXP(-rf*T)</f>
        <v>97.044553354850819</v>
      </c>
      <c r="AX113">
        <v>0.98</v>
      </c>
      <c r="AY113">
        <f>BS_call(S,σ,AX113,q,T,X)</f>
        <v>62.509463609612069</v>
      </c>
      <c r="AZ113">
        <f>S</f>
        <v>100</v>
      </c>
      <c r="BA113">
        <f>floor_call(S,σ,AX113,q,T,X)</f>
        <v>62.468890114860045</v>
      </c>
      <c r="BD113">
        <f>BS_put(S,σ,AX113,q,T,X)</f>
        <v>4.0573494752024264E-2</v>
      </c>
      <c r="BE113">
        <f>in_val_put(S,σ,AX113,q,T,X)</f>
        <v>0</v>
      </c>
      <c r="BF113">
        <f>X*EXP(-AX113*T)</f>
        <v>37.531109885139955</v>
      </c>
    </row>
    <row r="114" spans="1:58" ht="25.5" x14ac:dyDescent="0.25">
      <c r="A114" s="1">
        <v>99</v>
      </c>
      <c r="B114" s="1">
        <f>BS_call(A114,σ,rf,q,T,X)</f>
        <v>15.967925882514386</v>
      </c>
      <c r="C114">
        <f t="shared" si="1"/>
        <v>99</v>
      </c>
      <c r="D114">
        <f>in_val_call(A114,σ,rf,q,T,X)</f>
        <v>0</v>
      </c>
      <c r="G114">
        <f>BS_put(A114,σ,rf,q,T,X)</f>
        <v>14.012479237365206</v>
      </c>
      <c r="H114">
        <f>X*EXP(-rf*T)</f>
        <v>97.044553354850819</v>
      </c>
      <c r="I114">
        <f>in_val_put(A114,σ,rf,q,T,X)</f>
        <v>1</v>
      </c>
      <c r="L114">
        <v>99</v>
      </c>
      <c r="M114">
        <f>BS_call(S,σ,rf,q,T,L114)</f>
        <v>17.015432176135597</v>
      </c>
      <c r="N114">
        <f>S</f>
        <v>100</v>
      </c>
      <c r="O114">
        <f>in_val_call(S,σ,rf,q,T,L114)</f>
        <v>1</v>
      </c>
      <c r="Q114" s="3">
        <f>BS_put(S,σ,rf,q,T,L114)</f>
        <v>13.08953999743791</v>
      </c>
      <c r="R114">
        <f>L114*EXP(-rf*T)</f>
        <v>96.074107821302306</v>
      </c>
      <c r="S114">
        <f>in_val_put(S,σ,rf,q,T,L114)</f>
        <v>0</v>
      </c>
      <c r="W114">
        <v>9.9</v>
      </c>
      <c r="X114">
        <f>BS_call(S,σ,rf,q,W114,X)</f>
        <v>53.581868533001938</v>
      </c>
      <c r="Y114">
        <f>S</f>
        <v>100</v>
      </c>
      <c r="Z114">
        <f>in_val_call(S,σ,rf,q,W114,X)</f>
        <v>0</v>
      </c>
      <c r="AC114">
        <f>BS_put(S,σ,rf,q,W114,X)</f>
        <v>27.88626976919592</v>
      </c>
      <c r="AD114">
        <f>X*EXP(-rf*W114)</f>
        <v>74.304401236193982</v>
      </c>
      <c r="AE114">
        <f>in_val_put(S,σ,rf,q,W114,X)</f>
        <v>0</v>
      </c>
      <c r="AJ114">
        <v>9.9</v>
      </c>
      <c r="AK114">
        <f>BS_call(S,AJ114,rf,q,T,X)</f>
        <v>99.999926891725821</v>
      </c>
      <c r="AL114">
        <f>in_val_call(S,AJ114,rf,q,T,X)</f>
        <v>0</v>
      </c>
      <c r="AM114">
        <f>S</f>
        <v>100</v>
      </c>
      <c r="AP114">
        <f>BS_put(S,AJ114,rf,q,T,X)</f>
        <v>97.044480246576654</v>
      </c>
      <c r="AQ114">
        <f>in_val_put(S,AJ114,rf,q,T,X)</f>
        <v>0</v>
      </c>
      <c r="AR114">
        <f>X*EXP(-rf*T)</f>
        <v>97.044553354850819</v>
      </c>
      <c r="AX114">
        <v>0.99</v>
      </c>
      <c r="AY114">
        <f>BS_call(S,σ,AX114,q,T,X)</f>
        <v>62.879533166361199</v>
      </c>
      <c r="AZ114">
        <f>S</f>
        <v>100</v>
      </c>
      <c r="BA114">
        <f>floor_call(S,σ,AX114,q,T,X)</f>
        <v>62.842330897795428</v>
      </c>
      <c r="BD114">
        <f>BS_put(S,σ,AX114,q,T,X)</f>
        <v>3.7202268565768026E-2</v>
      </c>
      <c r="BE114">
        <f>in_val_put(S,σ,AX114,q,T,X)</f>
        <v>0</v>
      </c>
      <c r="BF114">
        <f>X*EXP(-AX114*T)</f>
        <v>37.157669102204572</v>
      </c>
    </row>
    <row r="115" spans="1:58" ht="25.5" x14ac:dyDescent="0.25">
      <c r="A115" s="1">
        <v>100</v>
      </c>
      <c r="B115" s="1">
        <f>BS_call(A115,σ,rf,q,T,X)</f>
        <v>16.569509243211563</v>
      </c>
      <c r="C115">
        <f t="shared" si="1"/>
        <v>100</v>
      </c>
      <c r="D115">
        <f>in_val_call(A115,σ,rf,q,T,X)</f>
        <v>0</v>
      </c>
      <c r="G115">
        <f>BS_put(A115,σ,rf,q,T,X)</f>
        <v>13.614062598062382</v>
      </c>
      <c r="H115">
        <f>X*EXP(-rf*T)</f>
        <v>97.044553354850819</v>
      </c>
      <c r="I115">
        <f>in_val_put(A115,σ,rf,q,T,X)</f>
        <v>0</v>
      </c>
      <c r="L115">
        <v>100</v>
      </c>
      <c r="M115">
        <f>BS_call(S,σ,rf,q,T,L115)</f>
        <v>16.569509243211563</v>
      </c>
      <c r="N115">
        <f>S</f>
        <v>100</v>
      </c>
      <c r="O115">
        <f>in_val_call(S,σ,rf,q,T,L115)</f>
        <v>0</v>
      </c>
      <c r="Q115" s="3">
        <f>BS_put(S,σ,rf,q,T,L115)</f>
        <v>13.614062598062382</v>
      </c>
      <c r="R115">
        <f>L115*EXP(-rf*T)</f>
        <v>97.044553354850819</v>
      </c>
      <c r="S115">
        <f>in_val_put(S,σ,rf,q,T,L115)</f>
        <v>0</v>
      </c>
      <c r="W115">
        <v>10</v>
      </c>
      <c r="X115">
        <f>BS_call(S,σ,rf,q,W115,X)</f>
        <v>53.830984981452033</v>
      </c>
      <c r="Y115">
        <f>S</f>
        <v>100</v>
      </c>
      <c r="Z115">
        <f>in_val_call(S,σ,rf,q,W115,X)</f>
        <v>0</v>
      </c>
      <c r="AC115">
        <f>BS_put(S,σ,rf,q,W115,X)</f>
        <v>27.912807049623815</v>
      </c>
      <c r="AD115">
        <f>X*EXP(-rf*W115)</f>
        <v>74.081822068171789</v>
      </c>
      <c r="AE115">
        <f>in_val_put(S,σ,rf,q,W115,X)</f>
        <v>0</v>
      </c>
      <c r="AJ115">
        <v>10</v>
      </c>
      <c r="AK115">
        <f>BS_call(S,AJ115,rf,q,T,X)</f>
        <v>99.999943523459805</v>
      </c>
      <c r="AL115">
        <f>in_val_call(S,AJ115,rf,q,T,X)</f>
        <v>0</v>
      </c>
      <c r="AM115">
        <f>S</f>
        <v>100</v>
      </c>
      <c r="AP115">
        <f>BS_put(S,AJ115,rf,q,T,X)</f>
        <v>97.044496878310625</v>
      </c>
      <c r="AQ115">
        <f>in_val_put(S,AJ115,rf,q,T,X)</f>
        <v>0</v>
      </c>
      <c r="AR115">
        <f>X*EXP(-rf*T)</f>
        <v>97.044553354850819</v>
      </c>
      <c r="AX115">
        <v>1</v>
      </c>
      <c r="AY115">
        <f>BS_call(S,σ,AX115,q,T,X)</f>
        <v>63.24614733189204</v>
      </c>
      <c r="AZ115">
        <f>S</f>
        <v>100</v>
      </c>
      <c r="BA115">
        <f>floor_call(S,σ,AX115,q,T,X)</f>
        <v>63.212055882855765</v>
      </c>
      <c r="BD115">
        <f>BS_put(S,σ,AX115,q,T,X)</f>
        <v>3.409144903628103E-2</v>
      </c>
      <c r="BE115">
        <f>in_val_put(S,σ,AX115,q,T,X)</f>
        <v>0</v>
      </c>
      <c r="BF115">
        <f>X*EXP(-AX115*T)</f>
        <v>36.787944117144235</v>
      </c>
    </row>
  </sheetData>
  <mergeCells count="1">
    <mergeCell ref="E1:J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公式应用示例</vt:lpstr>
      <vt:lpstr>Sheet1</vt:lpstr>
      <vt:lpstr>q</vt:lpstr>
      <vt:lpstr>rf</vt:lpstr>
      <vt:lpstr>S</vt:lpstr>
      <vt:lpstr>T</vt:lpstr>
      <vt:lpstr>X</vt:lpstr>
      <vt:lpstr>σ</vt:lpstr>
    </vt:vector>
  </TitlesOfParts>
  <Company>liu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wkf</cp:lastModifiedBy>
  <dcterms:created xsi:type="dcterms:W3CDTF">2011-06-15T02:36:38Z</dcterms:created>
  <dcterms:modified xsi:type="dcterms:W3CDTF">2022-12-08T06:06:44Z</dcterms:modified>
</cp:coreProperties>
</file>