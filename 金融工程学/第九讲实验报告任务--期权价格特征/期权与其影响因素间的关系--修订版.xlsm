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bsidian_git\5course\金融工程学\第九讲实验报告任务--期权价格特征\"/>
    </mc:Choice>
  </mc:AlternateContent>
  <xr:revisionPtr revIDLastSave="0" documentId="13_ncr:1_{9965895F-00A7-4663-B831-8042C06D23DD}" xr6:coauthVersionLast="47" xr6:coauthVersionMax="47" xr10:uidLastSave="{00000000-0000-0000-0000-000000000000}"/>
  <bookViews>
    <workbookView xWindow="-10512" yWindow="3420" windowWidth="19440" windowHeight="12120" activeTab="6" xr2:uid="{00000000-000D-0000-FFFF-FFFF00000000}"/>
  </bookViews>
  <sheets>
    <sheet name="公式应用示例" sheetId="1" r:id="rId1"/>
    <sheet name="资产价格" sheetId="2" r:id="rId2"/>
    <sheet name="资产波动率" sheetId="3" r:id="rId3"/>
    <sheet name="无风险利率" sheetId="4" r:id="rId4"/>
    <sheet name="红利率" sheetId="5" r:id="rId5"/>
    <sheet name="到期期限" sheetId="6" r:id="rId6"/>
    <sheet name="执行价格" sheetId="7" r:id="rId7"/>
  </sheets>
  <functionGroups builtInGroupCount="19"/>
  <definedNames>
    <definedName name="q">公式应用示例!$B$4</definedName>
    <definedName name="rf">公式应用示例!$B$3</definedName>
    <definedName name="S">公式应用示例!$B$1</definedName>
    <definedName name="T">公式应用示例!$B$5</definedName>
    <definedName name="X">公式应用示例!$B$6</definedName>
    <definedName name="σ">公式应用示例!$B$2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7" i="6" l="1"/>
  <c r="B135" i="6"/>
  <c r="B143" i="6"/>
  <c r="B151" i="6"/>
  <c r="B159" i="6"/>
  <c r="B167" i="6"/>
  <c r="B175" i="6"/>
  <c r="B183" i="6"/>
  <c r="B191" i="6"/>
  <c r="B199" i="6"/>
  <c r="B207" i="6"/>
  <c r="B215" i="6"/>
  <c r="B223" i="6"/>
  <c r="B231" i="6"/>
  <c r="B239" i="6"/>
  <c r="B247" i="6"/>
  <c r="B255" i="6"/>
  <c r="B263" i="6"/>
  <c r="B271" i="6"/>
  <c r="B279" i="6"/>
  <c r="B287" i="6"/>
  <c r="B295" i="6"/>
  <c r="B303" i="6"/>
  <c r="B311" i="6"/>
  <c r="B319" i="6"/>
  <c r="B327" i="6"/>
  <c r="B335" i="6"/>
  <c r="B343" i="6"/>
  <c r="B351" i="6"/>
  <c r="B359" i="6"/>
  <c r="B367" i="6"/>
  <c r="B375" i="6"/>
  <c r="B383" i="6"/>
  <c r="C135" i="6"/>
  <c r="C143" i="6"/>
  <c r="C151" i="6"/>
  <c r="C159" i="6"/>
  <c r="C167" i="6"/>
  <c r="C175" i="6"/>
  <c r="C183" i="6"/>
  <c r="C191" i="6"/>
  <c r="C199" i="6"/>
  <c r="C207" i="6"/>
  <c r="C215" i="6"/>
  <c r="C223" i="6"/>
  <c r="C231" i="6"/>
  <c r="C239" i="6"/>
  <c r="C247" i="6"/>
  <c r="C255" i="6"/>
  <c r="C263" i="6"/>
  <c r="C279" i="6"/>
  <c r="C287" i="6"/>
  <c r="C295" i="6"/>
  <c r="C311" i="6"/>
  <c r="C351" i="6"/>
  <c r="C367" i="6"/>
  <c r="C383" i="6"/>
  <c r="B144" i="6"/>
  <c r="B377" i="6"/>
  <c r="C221" i="6"/>
  <c r="C309" i="6"/>
  <c r="C365" i="6"/>
  <c r="B190" i="6"/>
  <c r="B222" i="6"/>
  <c r="B262" i="6"/>
  <c r="B310" i="6"/>
  <c r="B366" i="6"/>
  <c r="C182" i="6"/>
  <c r="C214" i="6"/>
  <c r="C270" i="6"/>
  <c r="C350" i="6"/>
  <c r="C127" i="6"/>
  <c r="C271" i="6"/>
  <c r="C303" i="6"/>
  <c r="C319" i="6"/>
  <c r="C327" i="6"/>
  <c r="C335" i="6"/>
  <c r="C343" i="6"/>
  <c r="C359" i="6"/>
  <c r="C375" i="6"/>
  <c r="B136" i="6"/>
  <c r="B152" i="6"/>
  <c r="B160" i="6"/>
  <c r="B168" i="6"/>
  <c r="B176" i="6"/>
  <c r="B184" i="6"/>
  <c r="B192" i="6"/>
  <c r="B200" i="6"/>
  <c r="B208" i="6"/>
  <c r="B216" i="6"/>
  <c r="B224" i="6"/>
  <c r="B232" i="6"/>
  <c r="B240" i="6"/>
  <c r="B248" i="6"/>
  <c r="B256" i="6"/>
  <c r="B264" i="6"/>
  <c r="B272" i="6"/>
  <c r="B280" i="6"/>
  <c r="B288" i="6"/>
  <c r="B296" i="6"/>
  <c r="B304" i="6"/>
  <c r="B312" i="6"/>
  <c r="B320" i="6"/>
  <c r="B328" i="6"/>
  <c r="B336" i="6"/>
  <c r="B344" i="6"/>
  <c r="B352" i="6"/>
  <c r="B360" i="6"/>
  <c r="B368" i="6"/>
  <c r="B376" i="6"/>
  <c r="B384" i="6"/>
  <c r="C136" i="6"/>
  <c r="C144" i="6"/>
  <c r="C152" i="6"/>
  <c r="C160" i="6"/>
  <c r="C168" i="6"/>
  <c r="C176" i="6"/>
  <c r="C184" i="6"/>
  <c r="C192" i="6"/>
  <c r="C200" i="6"/>
  <c r="C208" i="6"/>
  <c r="C216" i="6"/>
  <c r="C224" i="6"/>
  <c r="C232" i="6"/>
  <c r="C240" i="6"/>
  <c r="C248" i="6"/>
  <c r="C256" i="6"/>
  <c r="C264" i="6"/>
  <c r="C272" i="6"/>
  <c r="C280" i="6"/>
  <c r="C288" i="6"/>
  <c r="C296" i="6"/>
  <c r="C304" i="6"/>
  <c r="C312" i="6"/>
  <c r="C320" i="6"/>
  <c r="C328" i="6"/>
  <c r="C336" i="6"/>
  <c r="C344" i="6"/>
  <c r="C352" i="6"/>
  <c r="C360" i="6"/>
  <c r="C368" i="6"/>
  <c r="C376" i="6"/>
  <c r="C384" i="6"/>
  <c r="B137" i="6"/>
  <c r="B145" i="6"/>
  <c r="B153" i="6"/>
  <c r="B161" i="6"/>
  <c r="B169" i="6"/>
  <c r="B177" i="6"/>
  <c r="B185" i="6"/>
  <c r="B193" i="6"/>
  <c r="B201" i="6"/>
  <c r="B217" i="6"/>
  <c r="B225" i="6"/>
  <c r="B233" i="6"/>
  <c r="B241" i="6"/>
  <c r="B249" i="6"/>
  <c r="B257" i="6"/>
  <c r="B265" i="6"/>
  <c r="B281" i="6"/>
  <c r="B289" i="6"/>
  <c r="B297" i="6"/>
  <c r="B305" i="6"/>
  <c r="B321" i="6"/>
  <c r="B337" i="6"/>
  <c r="B345" i="6"/>
  <c r="B361" i="6"/>
  <c r="B369" i="6"/>
  <c r="B385" i="6"/>
  <c r="C245" i="6"/>
  <c r="C333" i="6"/>
  <c r="B142" i="6"/>
  <c r="B214" i="6"/>
  <c r="B286" i="6"/>
  <c r="B342" i="6"/>
  <c r="C142" i="6"/>
  <c r="C206" i="6"/>
  <c r="C262" i="6"/>
  <c r="C334" i="6"/>
  <c r="C374" i="6"/>
  <c r="B128" i="6"/>
  <c r="C128" i="6"/>
  <c r="B209" i="6"/>
  <c r="B273" i="6"/>
  <c r="B313" i="6"/>
  <c r="B353" i="6"/>
  <c r="C253" i="6"/>
  <c r="B238" i="6"/>
  <c r="B382" i="6"/>
  <c r="C246" i="6"/>
  <c r="B129" i="6"/>
  <c r="B329" i="6"/>
  <c r="B150" i="6"/>
  <c r="C286" i="6"/>
  <c r="C129" i="6"/>
  <c r="C137" i="6"/>
  <c r="C145" i="6"/>
  <c r="C153" i="6"/>
  <c r="C161" i="6"/>
  <c r="C169" i="6"/>
  <c r="C177" i="6"/>
  <c r="C185" i="6"/>
  <c r="C193" i="6"/>
  <c r="C201" i="6"/>
  <c r="C209" i="6"/>
  <c r="C217" i="6"/>
  <c r="C225" i="6"/>
  <c r="C233" i="6"/>
  <c r="C241" i="6"/>
  <c r="C249" i="6"/>
  <c r="C257" i="6"/>
  <c r="C265" i="6"/>
  <c r="C273" i="6"/>
  <c r="C281" i="6"/>
  <c r="C289" i="6"/>
  <c r="C297" i="6"/>
  <c r="C305" i="6"/>
  <c r="C313" i="6"/>
  <c r="C321" i="6"/>
  <c r="C329" i="6"/>
  <c r="C337" i="6"/>
  <c r="C345" i="6"/>
  <c r="C353" i="6"/>
  <c r="C361" i="6"/>
  <c r="C369" i="6"/>
  <c r="C377" i="6"/>
  <c r="C385" i="6"/>
  <c r="B138" i="6"/>
  <c r="B146" i="6"/>
  <c r="B154" i="6"/>
  <c r="B162" i="6"/>
  <c r="B170" i="6"/>
  <c r="B178" i="6"/>
  <c r="B186" i="6"/>
  <c r="B194" i="6"/>
  <c r="B202" i="6"/>
  <c r="B210" i="6"/>
  <c r="B218" i="6"/>
  <c r="B226" i="6"/>
  <c r="B234" i="6"/>
  <c r="B242" i="6"/>
  <c r="B250" i="6"/>
  <c r="B258" i="6"/>
  <c r="B266" i="6"/>
  <c r="B274" i="6"/>
  <c r="B282" i="6"/>
  <c r="B290" i="6"/>
  <c r="B298" i="6"/>
  <c r="B306" i="6"/>
  <c r="B314" i="6"/>
  <c r="B322" i="6"/>
  <c r="B330" i="6"/>
  <c r="B338" i="6"/>
  <c r="B346" i="6"/>
  <c r="B354" i="6"/>
  <c r="B362" i="6"/>
  <c r="B370" i="6"/>
  <c r="B378" i="6"/>
  <c r="C146" i="6"/>
  <c r="C162" i="6"/>
  <c r="C178" i="6"/>
  <c r="C194" i="6"/>
  <c r="C210" i="6"/>
  <c r="C226" i="6"/>
  <c r="C242" i="6"/>
  <c r="C258" i="6"/>
  <c r="C282" i="6"/>
  <c r="C298" i="6"/>
  <c r="C322" i="6"/>
  <c r="C338" i="6"/>
  <c r="C362" i="6"/>
  <c r="C378" i="6"/>
  <c r="B324" i="6"/>
  <c r="B356" i="6"/>
  <c r="B380" i="6"/>
  <c r="C164" i="6"/>
  <c r="C188" i="6"/>
  <c r="C204" i="6"/>
  <c r="C236" i="6"/>
  <c r="C260" i="6"/>
  <c r="C292" i="6"/>
  <c r="C316" i="6"/>
  <c r="C348" i="6"/>
  <c r="C372" i="6"/>
  <c r="C157" i="6"/>
  <c r="C213" i="6"/>
  <c r="C269" i="6"/>
  <c r="C301" i="6"/>
  <c r="C349" i="6"/>
  <c r="B158" i="6"/>
  <c r="B206" i="6"/>
  <c r="B270" i="6"/>
  <c r="B334" i="6"/>
  <c r="C150" i="6"/>
  <c r="C198" i="6"/>
  <c r="C254" i="6"/>
  <c r="C326" i="6"/>
  <c r="C382" i="6"/>
  <c r="B130" i="6"/>
  <c r="B386" i="6"/>
  <c r="C186" i="6"/>
  <c r="C218" i="6"/>
  <c r="C250" i="6"/>
  <c r="C274" i="6"/>
  <c r="C290" i="6"/>
  <c r="C306" i="6"/>
  <c r="C330" i="6"/>
  <c r="C346" i="6"/>
  <c r="C370" i="6"/>
  <c r="C386" i="6"/>
  <c r="B348" i="6"/>
  <c r="B372" i="6"/>
  <c r="C140" i="6"/>
  <c r="C172" i="6"/>
  <c r="C196" i="6"/>
  <c r="C228" i="6"/>
  <c r="C252" i="6"/>
  <c r="C284" i="6"/>
  <c r="C308" i="6"/>
  <c r="C340" i="6"/>
  <c r="C364" i="6"/>
  <c r="C149" i="6"/>
  <c r="C189" i="6"/>
  <c r="C237" i="6"/>
  <c r="C285" i="6"/>
  <c r="C341" i="6"/>
  <c r="C381" i="6"/>
  <c r="B174" i="6"/>
  <c r="B254" i="6"/>
  <c r="B302" i="6"/>
  <c r="B358" i="6"/>
  <c r="C158" i="6"/>
  <c r="C238" i="6"/>
  <c r="C302" i="6"/>
  <c r="C358" i="6"/>
  <c r="C130" i="6"/>
  <c r="C138" i="6"/>
  <c r="C154" i="6"/>
  <c r="C170" i="6"/>
  <c r="C202" i="6"/>
  <c r="C234" i="6"/>
  <c r="C266" i="6"/>
  <c r="C314" i="6"/>
  <c r="C354" i="6"/>
  <c r="B332" i="6"/>
  <c r="C156" i="6"/>
  <c r="C220" i="6"/>
  <c r="C268" i="6"/>
  <c r="C324" i="6"/>
  <c r="C380" i="6"/>
  <c r="C173" i="6"/>
  <c r="C293" i="6"/>
  <c r="B198" i="6"/>
  <c r="B318" i="6"/>
  <c r="C190" i="6"/>
  <c r="C318" i="6"/>
  <c r="B131" i="6"/>
  <c r="B139" i="6"/>
  <c r="B147" i="6"/>
  <c r="B155" i="6"/>
  <c r="B163" i="6"/>
  <c r="B171" i="6"/>
  <c r="B179" i="6"/>
  <c r="B187" i="6"/>
  <c r="B195" i="6"/>
  <c r="B203" i="6"/>
  <c r="B211" i="6"/>
  <c r="B219" i="6"/>
  <c r="B227" i="6"/>
  <c r="B235" i="6"/>
  <c r="B243" i="6"/>
  <c r="B251" i="6"/>
  <c r="B259" i="6"/>
  <c r="B267" i="6"/>
  <c r="B275" i="6"/>
  <c r="B283" i="6"/>
  <c r="B291" i="6"/>
  <c r="B299" i="6"/>
  <c r="B307" i="6"/>
  <c r="B315" i="6"/>
  <c r="B323" i="6"/>
  <c r="B331" i="6"/>
  <c r="B339" i="6"/>
  <c r="B347" i="6"/>
  <c r="B355" i="6"/>
  <c r="B363" i="6"/>
  <c r="B371" i="6"/>
  <c r="B379" i="6"/>
  <c r="C139" i="6"/>
  <c r="C147" i="6"/>
  <c r="C155" i="6"/>
  <c r="C163" i="6"/>
  <c r="C171" i="6"/>
  <c r="C179" i="6"/>
  <c r="C187" i="6"/>
  <c r="C195" i="6"/>
  <c r="C203" i="6"/>
  <c r="C211" i="6"/>
  <c r="C219" i="6"/>
  <c r="C227" i="6"/>
  <c r="C235" i="6"/>
  <c r="C243" i="6"/>
  <c r="C251" i="6"/>
  <c r="C259" i="6"/>
  <c r="C267" i="6"/>
  <c r="C275" i="6"/>
  <c r="C283" i="6"/>
  <c r="C291" i="6"/>
  <c r="C299" i="6"/>
  <c r="C307" i="6"/>
  <c r="C315" i="6"/>
  <c r="C323" i="6"/>
  <c r="C331" i="6"/>
  <c r="C339" i="6"/>
  <c r="C347" i="6"/>
  <c r="C355" i="6"/>
  <c r="C363" i="6"/>
  <c r="C371" i="6"/>
  <c r="C379" i="6"/>
  <c r="B140" i="6"/>
  <c r="B148" i="6"/>
  <c r="B156" i="6"/>
  <c r="B164" i="6"/>
  <c r="B172" i="6"/>
  <c r="B180" i="6"/>
  <c r="B188" i="6"/>
  <c r="B196" i="6"/>
  <c r="B204" i="6"/>
  <c r="B212" i="6"/>
  <c r="B220" i="6"/>
  <c r="B228" i="6"/>
  <c r="B236" i="6"/>
  <c r="B244" i="6"/>
  <c r="B252" i="6"/>
  <c r="B260" i="6"/>
  <c r="B268" i="6"/>
  <c r="B276" i="6"/>
  <c r="B284" i="6"/>
  <c r="B292" i="6"/>
  <c r="B300" i="6"/>
  <c r="B308" i="6"/>
  <c r="B316" i="6"/>
  <c r="B340" i="6"/>
  <c r="B364" i="6"/>
  <c r="C148" i="6"/>
  <c r="C180" i="6"/>
  <c r="C212" i="6"/>
  <c r="C244" i="6"/>
  <c r="C276" i="6"/>
  <c r="C300" i="6"/>
  <c r="C332" i="6"/>
  <c r="C356" i="6"/>
  <c r="C141" i="6"/>
  <c r="C205" i="6"/>
  <c r="C261" i="6"/>
  <c r="C317" i="6"/>
  <c r="C357" i="6"/>
  <c r="B166" i="6"/>
  <c r="B230" i="6"/>
  <c r="B278" i="6"/>
  <c r="B326" i="6"/>
  <c r="B374" i="6"/>
  <c r="C174" i="6"/>
  <c r="C222" i="6"/>
  <c r="C278" i="6"/>
  <c r="C342" i="6"/>
  <c r="C131" i="6"/>
  <c r="B132" i="6"/>
  <c r="C132" i="6"/>
  <c r="C294" i="6"/>
  <c r="B133" i="6"/>
  <c r="B141" i="6"/>
  <c r="B149" i="6"/>
  <c r="B157" i="6"/>
  <c r="B165" i="6"/>
  <c r="B173" i="6"/>
  <c r="B181" i="6"/>
  <c r="B189" i="6"/>
  <c r="B197" i="6"/>
  <c r="B205" i="6"/>
  <c r="B213" i="6"/>
  <c r="B221" i="6"/>
  <c r="B229" i="6"/>
  <c r="B237" i="6"/>
  <c r="B245" i="6"/>
  <c r="B253" i="6"/>
  <c r="B261" i="6"/>
  <c r="B269" i="6"/>
  <c r="B277" i="6"/>
  <c r="B285" i="6"/>
  <c r="B293" i="6"/>
  <c r="B301" i="6"/>
  <c r="B309" i="6"/>
  <c r="B317" i="6"/>
  <c r="B325" i="6"/>
  <c r="B333" i="6"/>
  <c r="B341" i="6"/>
  <c r="B349" i="6"/>
  <c r="B357" i="6"/>
  <c r="B365" i="6"/>
  <c r="B373" i="6"/>
  <c r="B381" i="6"/>
  <c r="C133" i="6"/>
  <c r="C165" i="6"/>
  <c r="C181" i="6"/>
  <c r="C197" i="6"/>
  <c r="C229" i="6"/>
  <c r="C277" i="6"/>
  <c r="C325" i="6"/>
  <c r="C373" i="6"/>
  <c r="B182" i="6"/>
  <c r="B246" i="6"/>
  <c r="B294" i="6"/>
  <c r="B350" i="6"/>
  <c r="C166" i="6"/>
  <c r="C230" i="6"/>
  <c r="C310" i="6"/>
  <c r="C366" i="6"/>
  <c r="B134" i="6"/>
  <c r="C134" i="6"/>
  <c r="B17" i="6"/>
  <c r="C17" i="6"/>
  <c r="B5" i="7"/>
  <c r="A17" i="6"/>
  <c r="B5" i="6"/>
  <c r="B5" i="5"/>
  <c r="B5" i="4"/>
  <c r="B5" i="3"/>
  <c r="B5" i="2"/>
  <c r="B116" i="7"/>
  <c r="C116" i="7"/>
  <c r="B117" i="7"/>
  <c r="C117" i="7"/>
  <c r="B116" i="6"/>
  <c r="B124" i="6"/>
  <c r="C124" i="6"/>
  <c r="B125" i="6"/>
  <c r="C125" i="6"/>
  <c r="B126" i="6"/>
  <c r="C116" i="6"/>
  <c r="B117" i="6"/>
  <c r="C117" i="6"/>
  <c r="B118" i="6"/>
  <c r="C118" i="6"/>
  <c r="B119" i="6"/>
  <c r="C119" i="6"/>
  <c r="B123" i="6"/>
  <c r="C123" i="6"/>
  <c r="C126" i="6"/>
  <c r="B120" i="6"/>
  <c r="C120" i="6"/>
  <c r="B121" i="6"/>
  <c r="C121" i="6"/>
  <c r="B122" i="6"/>
  <c r="C122" i="6"/>
  <c r="C117" i="2"/>
  <c r="B117" i="2"/>
  <c r="B78" i="7"/>
  <c r="B18" i="7"/>
  <c r="B22" i="7"/>
  <c r="B26" i="7"/>
  <c r="B30" i="7"/>
  <c r="B34" i="7"/>
  <c r="B38" i="7"/>
  <c r="B42" i="7"/>
  <c r="B46" i="7"/>
  <c r="B110" i="7"/>
  <c r="C74" i="7"/>
  <c r="C39" i="7"/>
  <c r="B72" i="7"/>
  <c r="B29" i="7"/>
  <c r="C85" i="7"/>
  <c r="B63" i="7"/>
  <c r="C99" i="7"/>
  <c r="C67" i="7"/>
  <c r="B112" i="7"/>
  <c r="B89" i="7"/>
  <c r="B11" i="7"/>
  <c r="B62" i="6"/>
  <c r="C85" i="6"/>
  <c r="C74" i="6"/>
  <c r="C63" i="6"/>
  <c r="B39" i="6"/>
  <c r="B103" i="6"/>
  <c r="C45" i="6"/>
  <c r="B52" i="6"/>
  <c r="B25" i="6"/>
  <c r="C20" i="6"/>
  <c r="C84" i="6"/>
  <c r="B85" i="6"/>
  <c r="B9" i="6"/>
  <c r="B78" i="5"/>
  <c r="C50" i="5"/>
  <c r="C18" i="5"/>
  <c r="B23" i="5"/>
  <c r="B87" i="5"/>
  <c r="C109" i="5"/>
  <c r="C79" i="5"/>
  <c r="B116" i="5"/>
  <c r="B24" i="5"/>
  <c r="B41" i="5"/>
  <c r="B105" i="5"/>
  <c r="C73" i="5"/>
  <c r="B22" i="4"/>
  <c r="B86" i="4"/>
  <c r="C50" i="4"/>
  <c r="C114" i="4"/>
  <c r="B59" i="4"/>
  <c r="C73" i="4"/>
  <c r="C75" i="4"/>
  <c r="B20" i="4"/>
  <c r="B84" i="4"/>
  <c r="C32" i="4"/>
  <c r="C96" i="4"/>
  <c r="B61" i="4"/>
  <c r="C53" i="4"/>
  <c r="B42" i="3"/>
  <c r="B19" i="3"/>
  <c r="B76" i="3"/>
  <c r="B49" i="3"/>
  <c r="B65" i="3"/>
  <c r="B89" i="3"/>
  <c r="B17" i="3"/>
  <c r="C62" i="3"/>
  <c r="C93" i="3"/>
  <c r="C67" i="3"/>
  <c r="C25" i="3"/>
  <c r="C64" i="3"/>
  <c r="C61" i="3"/>
  <c r="B38" i="2"/>
  <c r="B102" i="2"/>
  <c r="C108" i="2"/>
  <c r="C78" i="2"/>
  <c r="B116" i="2"/>
  <c r="B55" i="2"/>
  <c r="B24" i="2"/>
  <c r="C27" i="2"/>
  <c r="C91" i="2"/>
  <c r="C64" i="2"/>
  <c r="B81" i="2"/>
  <c r="C53" i="2"/>
  <c r="C21" i="2"/>
  <c r="C59" i="7"/>
  <c r="C26" i="6"/>
  <c r="B68" i="6"/>
  <c r="B30" i="5"/>
  <c r="B39" i="5"/>
  <c r="B40" i="5"/>
  <c r="B102" i="4"/>
  <c r="C91" i="4"/>
  <c r="C21" i="4"/>
  <c r="B30" i="3"/>
  <c r="C83" i="3"/>
  <c r="C30" i="2"/>
  <c r="C107" i="2"/>
  <c r="C111" i="7"/>
  <c r="B24" i="6"/>
  <c r="C60" i="5"/>
  <c r="C47" i="4"/>
  <c r="B70" i="3"/>
  <c r="B100" i="2"/>
  <c r="C89" i="2"/>
  <c r="C33" i="7"/>
  <c r="B63" i="5"/>
  <c r="B50" i="7"/>
  <c r="B114" i="7"/>
  <c r="C78" i="7"/>
  <c r="C43" i="7"/>
  <c r="B80" i="7"/>
  <c r="B37" i="7"/>
  <c r="C93" i="7"/>
  <c r="B67" i="7"/>
  <c r="B96" i="7"/>
  <c r="C79" i="7"/>
  <c r="C24" i="7"/>
  <c r="B109" i="7"/>
  <c r="B10" i="7"/>
  <c r="B66" i="6"/>
  <c r="C113" i="6"/>
  <c r="C78" i="6"/>
  <c r="C71" i="6"/>
  <c r="B43" i="6"/>
  <c r="B107" i="6"/>
  <c r="C61" i="6"/>
  <c r="B56" i="6"/>
  <c r="B33" i="6"/>
  <c r="C24" i="6"/>
  <c r="C88" i="6"/>
  <c r="B93" i="6"/>
  <c r="B18" i="5"/>
  <c r="B82" i="5"/>
  <c r="C54" i="5"/>
  <c r="C46" i="5"/>
  <c r="B27" i="5"/>
  <c r="B91" i="5"/>
  <c r="C19" i="5"/>
  <c r="C83" i="5"/>
  <c r="C20" i="5"/>
  <c r="B28" i="5"/>
  <c r="B45" i="5"/>
  <c r="B109" i="5"/>
  <c r="C77" i="5"/>
  <c r="B26" i="4"/>
  <c r="B90" i="4"/>
  <c r="C54" i="4"/>
  <c r="C116" i="4"/>
  <c r="B63" i="4"/>
  <c r="C101" i="4"/>
  <c r="C79" i="4"/>
  <c r="B24" i="4"/>
  <c r="B88" i="4"/>
  <c r="C36" i="4"/>
  <c r="C100" i="4"/>
  <c r="B65" i="4"/>
  <c r="C69" i="4"/>
  <c r="B50" i="3"/>
  <c r="B27" i="3"/>
  <c r="B92" i="3"/>
  <c r="B81" i="3"/>
  <c r="B97" i="3"/>
  <c r="B24" i="3"/>
  <c r="C41" i="3"/>
  <c r="C66" i="3"/>
  <c r="C29" i="3"/>
  <c r="C71" i="3"/>
  <c r="C45" i="3"/>
  <c r="C68" i="3"/>
  <c r="C77" i="3"/>
  <c r="B42" i="2"/>
  <c r="B106" i="2"/>
  <c r="C18" i="2"/>
  <c r="C82" i="2"/>
  <c r="C24" i="2"/>
  <c r="B59" i="2"/>
  <c r="B48" i="2"/>
  <c r="C31" i="2"/>
  <c r="C95" i="2"/>
  <c r="B21" i="2"/>
  <c r="B85" i="2"/>
  <c r="C57" i="2"/>
  <c r="C17" i="2"/>
  <c r="C26" i="7"/>
  <c r="B69" i="7"/>
  <c r="C69" i="7"/>
  <c r="B79" i="7"/>
  <c r="C72" i="7"/>
  <c r="C115" i="7"/>
  <c r="C45" i="7"/>
  <c r="B78" i="6"/>
  <c r="C95" i="6"/>
  <c r="B55" i="6"/>
  <c r="C111" i="6"/>
  <c r="C36" i="6"/>
  <c r="C21" i="6"/>
  <c r="C70" i="5"/>
  <c r="B103" i="5"/>
  <c r="C32" i="5"/>
  <c r="C25" i="5"/>
  <c r="C66" i="4"/>
  <c r="C27" i="4"/>
  <c r="B100" i="4"/>
  <c r="B77" i="4"/>
  <c r="B51" i="3"/>
  <c r="B48" i="3"/>
  <c r="C78" i="3"/>
  <c r="C80" i="3"/>
  <c r="B54" i="2"/>
  <c r="C88" i="2"/>
  <c r="B71" i="2"/>
  <c r="B33" i="2"/>
  <c r="C69" i="2"/>
  <c r="C85" i="2"/>
  <c r="C110" i="7"/>
  <c r="B52" i="7"/>
  <c r="C110" i="6"/>
  <c r="B97" i="6"/>
  <c r="B50" i="5"/>
  <c r="C51" i="5"/>
  <c r="B13" i="5"/>
  <c r="B33" i="4"/>
  <c r="B79" i="3"/>
  <c r="C103" i="3"/>
  <c r="B27" i="2"/>
  <c r="C25" i="2"/>
  <c r="C50" i="7"/>
  <c r="C97" i="7"/>
  <c r="C105" i="6"/>
  <c r="B37" i="6"/>
  <c r="C72" i="5"/>
  <c r="B64" i="5"/>
  <c r="B54" i="7"/>
  <c r="C18" i="7"/>
  <c r="C82" i="7"/>
  <c r="C47" i="7"/>
  <c r="B88" i="7"/>
  <c r="B49" i="7"/>
  <c r="C101" i="7"/>
  <c r="B71" i="7"/>
  <c r="C28" i="7"/>
  <c r="C95" i="7"/>
  <c r="C36" i="7"/>
  <c r="C25" i="7"/>
  <c r="B9" i="7"/>
  <c r="B70" i="6"/>
  <c r="C18" i="6"/>
  <c r="C82" i="6"/>
  <c r="C79" i="6"/>
  <c r="B47" i="6"/>
  <c r="B111" i="6"/>
  <c r="C73" i="6"/>
  <c r="B60" i="6"/>
  <c r="B41" i="6"/>
  <c r="C28" i="6"/>
  <c r="C92" i="6"/>
  <c r="B101" i="6"/>
  <c r="B22" i="5"/>
  <c r="B86" i="5"/>
  <c r="C58" i="5"/>
  <c r="C62" i="5"/>
  <c r="B31" i="5"/>
  <c r="B95" i="5"/>
  <c r="C23" i="5"/>
  <c r="C87" i="5"/>
  <c r="C24" i="5"/>
  <c r="B32" i="5"/>
  <c r="B49" i="5"/>
  <c r="B113" i="5"/>
  <c r="C81" i="5"/>
  <c r="B30" i="4"/>
  <c r="B94" i="4"/>
  <c r="C58" i="4"/>
  <c r="C29" i="4"/>
  <c r="B67" i="4"/>
  <c r="C19" i="4"/>
  <c r="C83" i="4"/>
  <c r="B28" i="4"/>
  <c r="B92" i="4"/>
  <c r="C40" i="4"/>
  <c r="C112" i="4"/>
  <c r="B69" i="4"/>
  <c r="C85" i="4"/>
  <c r="B58" i="3"/>
  <c r="B35" i="3"/>
  <c r="B116" i="3"/>
  <c r="B105" i="3"/>
  <c r="B23" i="3"/>
  <c r="B32" i="3"/>
  <c r="C53" i="3"/>
  <c r="C70" i="3"/>
  <c r="C69" i="3"/>
  <c r="C75" i="3"/>
  <c r="C57" i="3"/>
  <c r="C72" i="3"/>
  <c r="C89" i="3"/>
  <c r="B46" i="2"/>
  <c r="B110" i="2"/>
  <c r="C22" i="2"/>
  <c r="C86" i="2"/>
  <c r="C56" i="2"/>
  <c r="B63" i="2"/>
  <c r="B64" i="2"/>
  <c r="C35" i="2"/>
  <c r="C99" i="2"/>
  <c r="B25" i="2"/>
  <c r="B89" i="2"/>
  <c r="C61" i="2"/>
  <c r="B17" i="2"/>
  <c r="C90" i="7"/>
  <c r="C52" i="7"/>
  <c r="C90" i="6"/>
  <c r="B57" i="6"/>
  <c r="B94" i="5"/>
  <c r="C31" i="5"/>
  <c r="C89" i="5"/>
  <c r="B75" i="4"/>
  <c r="C81" i="4"/>
  <c r="B21" i="3"/>
  <c r="C19" i="3"/>
  <c r="B28" i="2"/>
  <c r="B96" i="2"/>
  <c r="B12" i="2"/>
  <c r="B35" i="7"/>
  <c r="B76" i="5"/>
  <c r="C104" i="4"/>
  <c r="C39" i="3"/>
  <c r="C68" i="2"/>
  <c r="B20" i="7"/>
  <c r="B105" i="6"/>
  <c r="B58" i="7"/>
  <c r="C22" i="7"/>
  <c r="C86" i="7"/>
  <c r="C51" i="7"/>
  <c r="B100" i="7"/>
  <c r="B61" i="7"/>
  <c r="C109" i="7"/>
  <c r="B75" i="7"/>
  <c r="C56" i="7"/>
  <c r="C107" i="7"/>
  <c r="C44" i="7"/>
  <c r="C37" i="7"/>
  <c r="B8" i="7"/>
  <c r="B74" i="6"/>
  <c r="C22" i="6"/>
  <c r="C86" i="6"/>
  <c r="C87" i="6"/>
  <c r="B51" i="6"/>
  <c r="B115" i="6"/>
  <c r="C97" i="6"/>
  <c r="B64" i="6"/>
  <c r="B49" i="6"/>
  <c r="C32" i="6"/>
  <c r="C96" i="6"/>
  <c r="B109" i="6"/>
  <c r="B26" i="5"/>
  <c r="B90" i="5"/>
  <c r="C66" i="5"/>
  <c r="C74" i="5"/>
  <c r="B35" i="5"/>
  <c r="B99" i="5"/>
  <c r="C27" i="5"/>
  <c r="C91" i="5"/>
  <c r="C28" i="5"/>
  <c r="B36" i="5"/>
  <c r="B53" i="5"/>
  <c r="C21" i="5"/>
  <c r="C85" i="5"/>
  <c r="B34" i="4"/>
  <c r="B98" i="4"/>
  <c r="C62" i="4"/>
  <c r="C57" i="4"/>
  <c r="B71" i="4"/>
  <c r="C23" i="4"/>
  <c r="C87" i="4"/>
  <c r="B32" i="4"/>
  <c r="B96" i="4"/>
  <c r="C44" i="4"/>
  <c r="C49" i="4"/>
  <c r="B73" i="4"/>
  <c r="C105" i="4"/>
  <c r="B66" i="3"/>
  <c r="B43" i="3"/>
  <c r="B100" i="3"/>
  <c r="B22" i="3"/>
  <c r="B31" i="3"/>
  <c r="B40" i="3"/>
  <c r="C85" i="3"/>
  <c r="C74" i="3"/>
  <c r="C97" i="3"/>
  <c r="C79" i="3"/>
  <c r="C81" i="3"/>
  <c r="C76" i="3"/>
  <c r="C109" i="3"/>
  <c r="B50" i="2"/>
  <c r="B114" i="2"/>
  <c r="C26" i="2"/>
  <c r="C90" i="2"/>
  <c r="C76" i="2"/>
  <c r="B67" i="2"/>
  <c r="B80" i="2"/>
  <c r="C39" i="2"/>
  <c r="C103" i="2"/>
  <c r="B29" i="2"/>
  <c r="B93" i="2"/>
  <c r="C65" i="2"/>
  <c r="B13" i="2"/>
  <c r="B108" i="7"/>
  <c r="B13" i="7"/>
  <c r="C23" i="6"/>
  <c r="C100" i="6"/>
  <c r="C82" i="5"/>
  <c r="C95" i="5"/>
  <c r="B57" i="5"/>
  <c r="B38" i="4"/>
  <c r="C77" i="4"/>
  <c r="B36" i="4"/>
  <c r="C48" i="4"/>
  <c r="B74" i="3"/>
  <c r="B39" i="3"/>
  <c r="C113" i="3"/>
  <c r="C101" i="3"/>
  <c r="C17" i="3"/>
  <c r="C94" i="2"/>
  <c r="C43" i="2"/>
  <c r="B97" i="2"/>
  <c r="B8" i="2"/>
  <c r="C21" i="7"/>
  <c r="C89" i="6"/>
  <c r="B114" i="5"/>
  <c r="C115" i="5"/>
  <c r="C22" i="4"/>
  <c r="B56" i="4"/>
  <c r="B114" i="3"/>
  <c r="C34" i="3"/>
  <c r="C100" i="3"/>
  <c r="C50" i="2"/>
  <c r="C63" i="2"/>
  <c r="B86" i="7"/>
  <c r="B85" i="7"/>
  <c r="B102" i="6"/>
  <c r="C67" i="6"/>
  <c r="B54" i="5"/>
  <c r="C55" i="5"/>
  <c r="B12" i="5"/>
  <c r="B62" i="7"/>
  <c r="B66" i="7"/>
  <c r="C30" i="7"/>
  <c r="C94" i="7"/>
  <c r="C71" i="7"/>
  <c r="C20" i="7"/>
  <c r="B81" i="7"/>
  <c r="B19" i="7"/>
  <c r="B83" i="7"/>
  <c r="C84" i="7"/>
  <c r="B24" i="7"/>
  <c r="C64" i="7"/>
  <c r="C49" i="7"/>
  <c r="B18" i="6"/>
  <c r="B82" i="6"/>
  <c r="C30" i="6"/>
  <c r="C94" i="6"/>
  <c r="C103" i="6"/>
  <c r="B59" i="6"/>
  <c r="C31" i="6"/>
  <c r="C53" i="6"/>
  <c r="B72" i="6"/>
  <c r="B65" i="6"/>
  <c r="C40" i="6"/>
  <c r="C104" i="6"/>
  <c r="C49" i="6"/>
  <c r="B34" i="5"/>
  <c r="B98" i="5"/>
  <c r="C78" i="5"/>
  <c r="C90" i="5"/>
  <c r="B43" i="5"/>
  <c r="B107" i="5"/>
  <c r="C35" i="5"/>
  <c r="C99" i="5"/>
  <c r="C36" i="5"/>
  <c r="B44" i="5"/>
  <c r="B61" i="5"/>
  <c r="C29" i="5"/>
  <c r="C105" i="5"/>
  <c r="B42" i="4"/>
  <c r="B106" i="4"/>
  <c r="C70" i="4"/>
  <c r="C97" i="4"/>
  <c r="B79" i="4"/>
  <c r="C31" i="4"/>
  <c r="C95" i="4"/>
  <c r="B40" i="4"/>
  <c r="B104" i="4"/>
  <c r="C52" i="4"/>
  <c r="C109" i="4"/>
  <c r="B81" i="4"/>
  <c r="C17" i="4"/>
  <c r="B82" i="3"/>
  <c r="B59" i="3"/>
  <c r="B29" i="3"/>
  <c r="B38" i="3"/>
  <c r="B47" i="3"/>
  <c r="B56" i="3"/>
  <c r="C18" i="3"/>
  <c r="C82" i="3"/>
  <c r="C23" i="3"/>
  <c r="C87" i="3"/>
  <c r="C20" i="3"/>
  <c r="C84" i="3"/>
  <c r="B13" i="3"/>
  <c r="B58" i="2"/>
  <c r="B40" i="2"/>
  <c r="C34" i="2"/>
  <c r="C98" i="2"/>
  <c r="C100" i="2"/>
  <c r="B75" i="2"/>
  <c r="B112" i="2"/>
  <c r="C47" i="2"/>
  <c r="C111" i="2"/>
  <c r="B37" i="2"/>
  <c r="B101" i="2"/>
  <c r="C73" i="2"/>
  <c r="B11" i="2"/>
  <c r="C103" i="7"/>
  <c r="B45" i="7"/>
  <c r="C81" i="7"/>
  <c r="C42" i="6"/>
  <c r="B71" i="6"/>
  <c r="B84" i="6"/>
  <c r="B21" i="6"/>
  <c r="B110" i="5"/>
  <c r="B55" i="5"/>
  <c r="C111" i="5"/>
  <c r="B73" i="5"/>
  <c r="B54" i="4"/>
  <c r="B27" i="4"/>
  <c r="C43" i="4"/>
  <c r="B116" i="4"/>
  <c r="B93" i="4"/>
  <c r="B83" i="3"/>
  <c r="B71" i="3"/>
  <c r="C94" i="3"/>
  <c r="C32" i="3"/>
  <c r="B70" i="2"/>
  <c r="C46" i="2"/>
  <c r="B87" i="2"/>
  <c r="C59" i="2"/>
  <c r="B113" i="2"/>
  <c r="C60" i="7"/>
  <c r="B34" i="6"/>
  <c r="C59" i="6"/>
  <c r="C56" i="6"/>
  <c r="C110" i="5"/>
  <c r="B77" i="5"/>
  <c r="C86" i="4"/>
  <c r="C111" i="4"/>
  <c r="B11" i="4"/>
  <c r="B9" i="3"/>
  <c r="C68" i="7"/>
  <c r="B33" i="7"/>
  <c r="C114" i="6"/>
  <c r="B28" i="6"/>
  <c r="B84" i="5"/>
  <c r="C49" i="5"/>
  <c r="B70" i="7"/>
  <c r="C34" i="7"/>
  <c r="C98" i="7"/>
  <c r="C83" i="7"/>
  <c r="C32" i="7"/>
  <c r="B93" i="7"/>
  <c r="B23" i="7"/>
  <c r="B87" i="7"/>
  <c r="C96" i="7"/>
  <c r="B28" i="7"/>
  <c r="C76" i="7"/>
  <c r="C57" i="7"/>
  <c r="B22" i="6"/>
  <c r="B86" i="6"/>
  <c r="C34" i="6"/>
  <c r="C98" i="6"/>
  <c r="C115" i="6"/>
  <c r="B63" i="6"/>
  <c r="C35" i="6"/>
  <c r="C81" i="6"/>
  <c r="B76" i="6"/>
  <c r="B73" i="6"/>
  <c r="C44" i="6"/>
  <c r="C108" i="6"/>
  <c r="C69" i="6"/>
  <c r="B38" i="5"/>
  <c r="B102" i="5"/>
  <c r="C86" i="5"/>
  <c r="C98" i="5"/>
  <c r="B47" i="5"/>
  <c r="B111" i="5"/>
  <c r="C39" i="5"/>
  <c r="C103" i="5"/>
  <c r="C40" i="5"/>
  <c r="B48" i="5"/>
  <c r="B65" i="5"/>
  <c r="C33" i="5"/>
  <c r="C113" i="5"/>
  <c r="B46" i="4"/>
  <c r="B110" i="4"/>
  <c r="C74" i="4"/>
  <c r="B19" i="4"/>
  <c r="B83" i="4"/>
  <c r="C35" i="4"/>
  <c r="C99" i="4"/>
  <c r="B44" i="4"/>
  <c r="B108" i="4"/>
  <c r="C56" i="4"/>
  <c r="B21" i="4"/>
  <c r="B85" i="4"/>
  <c r="B17" i="4"/>
  <c r="B90" i="3"/>
  <c r="B67" i="3"/>
  <c r="B37" i="3"/>
  <c r="B46" i="3"/>
  <c r="B55" i="3"/>
  <c r="B64" i="3"/>
  <c r="C22" i="3"/>
  <c r="C86" i="3"/>
  <c r="C27" i="3"/>
  <c r="C91" i="3"/>
  <c r="C24" i="3"/>
  <c r="C88" i="3"/>
  <c r="B12" i="3"/>
  <c r="B62" i="2"/>
  <c r="B56" i="2"/>
  <c r="C38" i="2"/>
  <c r="C102" i="2"/>
  <c r="C112" i="2"/>
  <c r="B79" i="2"/>
  <c r="C28" i="2"/>
  <c r="C51" i="2"/>
  <c r="C115" i="2"/>
  <c r="B41" i="2"/>
  <c r="B105" i="2"/>
  <c r="C77" i="2"/>
  <c r="B10" i="2"/>
  <c r="C106" i="7"/>
  <c r="B31" i="7"/>
  <c r="C104" i="7"/>
  <c r="B94" i="6"/>
  <c r="C106" i="6"/>
  <c r="C51" i="6"/>
  <c r="B89" i="6"/>
  <c r="C37" i="6"/>
  <c r="C102" i="5"/>
  <c r="B68" i="5"/>
  <c r="C56" i="5"/>
  <c r="C41" i="5"/>
  <c r="C18" i="4"/>
  <c r="B91" i="4"/>
  <c r="B52" i="4"/>
  <c r="C64" i="4"/>
  <c r="B12" i="4"/>
  <c r="B62" i="3"/>
  <c r="C35" i="3"/>
  <c r="B10" i="3"/>
  <c r="B23" i="2"/>
  <c r="B44" i="2"/>
  <c r="B82" i="7"/>
  <c r="B73" i="7"/>
  <c r="C89" i="7"/>
  <c r="C46" i="6"/>
  <c r="B88" i="6"/>
  <c r="C52" i="5"/>
  <c r="B60" i="5"/>
  <c r="B58" i="4"/>
  <c r="B95" i="4"/>
  <c r="B97" i="4"/>
  <c r="B61" i="3"/>
  <c r="C98" i="3"/>
  <c r="B74" i="2"/>
  <c r="B91" i="2"/>
  <c r="B60" i="2"/>
  <c r="B13" i="1"/>
  <c r="B39" i="7"/>
  <c r="C50" i="6"/>
  <c r="B92" i="6"/>
  <c r="C22" i="5"/>
  <c r="C76" i="5"/>
  <c r="B74" i="7"/>
  <c r="C38" i="7"/>
  <c r="C102" i="7"/>
  <c r="C91" i="7"/>
  <c r="C40" i="7"/>
  <c r="B101" i="7"/>
  <c r="B27" i="7"/>
  <c r="B91" i="7"/>
  <c r="C108" i="7"/>
  <c r="B36" i="7"/>
  <c r="C88" i="7"/>
  <c r="C73" i="7"/>
  <c r="B26" i="6"/>
  <c r="B90" i="6"/>
  <c r="C38" i="6"/>
  <c r="C102" i="6"/>
  <c r="C29" i="6"/>
  <c r="B67" i="6"/>
  <c r="C43" i="6"/>
  <c r="C109" i="6"/>
  <c r="B80" i="6"/>
  <c r="B81" i="6"/>
  <c r="C48" i="6"/>
  <c r="C112" i="6"/>
  <c r="C93" i="6"/>
  <c r="B42" i="5"/>
  <c r="B106" i="5"/>
  <c r="C94" i="5"/>
  <c r="C106" i="5"/>
  <c r="B51" i="5"/>
  <c r="B115" i="5"/>
  <c r="C43" i="5"/>
  <c r="C107" i="5"/>
  <c r="C48" i="5"/>
  <c r="B52" i="5"/>
  <c r="B69" i="5"/>
  <c r="C37" i="5"/>
  <c r="C17" i="5"/>
  <c r="B50" i="4"/>
  <c r="B114" i="4"/>
  <c r="C78" i="4"/>
  <c r="B23" i="4"/>
  <c r="B87" i="4"/>
  <c r="C39" i="4"/>
  <c r="C103" i="4"/>
  <c r="B48" i="4"/>
  <c r="B112" i="4"/>
  <c r="C60" i="4"/>
  <c r="B25" i="4"/>
  <c r="B89" i="4"/>
  <c r="B13" i="4"/>
  <c r="B98" i="3"/>
  <c r="B75" i="3"/>
  <c r="B45" i="3"/>
  <c r="B54" i="3"/>
  <c r="B63" i="3"/>
  <c r="B72" i="3"/>
  <c r="C26" i="3"/>
  <c r="C90" i="3"/>
  <c r="C31" i="3"/>
  <c r="C95" i="3"/>
  <c r="C28" i="3"/>
  <c r="C92" i="3"/>
  <c r="B11" i="3"/>
  <c r="B66" i="2"/>
  <c r="B68" i="2"/>
  <c r="C42" i="2"/>
  <c r="C106" i="2"/>
  <c r="B19" i="2"/>
  <c r="B83" i="2"/>
  <c r="C40" i="2"/>
  <c r="C55" i="2"/>
  <c r="B20" i="2"/>
  <c r="B45" i="2"/>
  <c r="B109" i="2"/>
  <c r="C81" i="2"/>
  <c r="B9" i="2"/>
  <c r="C42" i="7"/>
  <c r="C48" i="7"/>
  <c r="B113" i="7"/>
  <c r="B95" i="7"/>
  <c r="B44" i="7"/>
  <c r="B30" i="6"/>
  <c r="C57" i="6"/>
  <c r="B20" i="6"/>
  <c r="C52" i="6"/>
  <c r="B46" i="5"/>
  <c r="C114" i="5"/>
  <c r="C47" i="5"/>
  <c r="B56" i="5"/>
  <c r="B17" i="5"/>
  <c r="C82" i="4"/>
  <c r="C107" i="4"/>
  <c r="B29" i="4"/>
  <c r="B106" i="3"/>
  <c r="B53" i="3"/>
  <c r="B80" i="3"/>
  <c r="C30" i="3"/>
  <c r="C99" i="3"/>
  <c r="C96" i="3"/>
  <c r="B84" i="2"/>
  <c r="C110" i="2"/>
  <c r="C52" i="2"/>
  <c r="B49" i="2"/>
  <c r="C46" i="7"/>
  <c r="B99" i="7"/>
  <c r="B21" i="7"/>
  <c r="B98" i="6"/>
  <c r="B75" i="6"/>
  <c r="B29" i="6"/>
  <c r="B59" i="5"/>
  <c r="C45" i="5"/>
  <c r="B31" i="4"/>
  <c r="C68" i="4"/>
  <c r="B91" i="3"/>
  <c r="B88" i="3"/>
  <c r="C36" i="3"/>
  <c r="C114" i="2"/>
  <c r="B53" i="2"/>
  <c r="C114" i="7"/>
  <c r="B103" i="7"/>
  <c r="B60" i="7"/>
  <c r="B38" i="6"/>
  <c r="B79" i="6"/>
  <c r="C60" i="6"/>
  <c r="C44" i="5"/>
  <c r="B72" i="5"/>
  <c r="B90" i="7"/>
  <c r="B40" i="7"/>
  <c r="B51" i="7"/>
  <c r="B92" i="7"/>
  <c r="B58" i="6"/>
  <c r="B19" i="6"/>
  <c r="B36" i="6"/>
  <c r="C72" i="6"/>
  <c r="B70" i="5"/>
  <c r="B19" i="5"/>
  <c r="B80" i="5"/>
  <c r="B85" i="5"/>
  <c r="B66" i="4"/>
  <c r="C110" i="4"/>
  <c r="C63" i="4"/>
  <c r="C65" i="4"/>
  <c r="B57" i="4"/>
  <c r="B68" i="3"/>
  <c r="B86" i="3"/>
  <c r="B113" i="3"/>
  <c r="C55" i="3"/>
  <c r="C108" i="3"/>
  <c r="B98" i="2"/>
  <c r="B72" i="2"/>
  <c r="C92" i="2"/>
  <c r="C48" i="2"/>
  <c r="C105" i="2"/>
  <c r="B40" i="6"/>
  <c r="B35" i="4"/>
  <c r="B84" i="3"/>
  <c r="C59" i="3"/>
  <c r="B88" i="2"/>
  <c r="C109" i="2"/>
  <c r="C89" i="4"/>
  <c r="B47" i="2"/>
  <c r="B95" i="6"/>
  <c r="C84" i="4"/>
  <c r="C79" i="2"/>
  <c r="B99" i="6"/>
  <c r="B33" i="3"/>
  <c r="C70" i="6"/>
  <c r="B11" i="5"/>
  <c r="C101" i="5"/>
  <c r="B85" i="3"/>
  <c r="C27" i="6"/>
  <c r="C94" i="4"/>
  <c r="C52" i="3"/>
  <c r="C107" i="6"/>
  <c r="C51" i="4"/>
  <c r="B86" i="2"/>
  <c r="C64" i="6"/>
  <c r="B49" i="4"/>
  <c r="C97" i="2"/>
  <c r="C68" i="6"/>
  <c r="B94" i="2"/>
  <c r="B94" i="7"/>
  <c r="B48" i="7"/>
  <c r="B55" i="7"/>
  <c r="B104" i="7"/>
  <c r="B106" i="6"/>
  <c r="B23" i="6"/>
  <c r="C76" i="6"/>
  <c r="B74" i="5"/>
  <c r="B67" i="5"/>
  <c r="B88" i="5"/>
  <c r="B89" i="5"/>
  <c r="B70" i="4"/>
  <c r="C67" i="4"/>
  <c r="C93" i="4"/>
  <c r="B101" i="4"/>
  <c r="B94" i="3"/>
  <c r="C38" i="3"/>
  <c r="C112" i="3"/>
  <c r="C20" i="2"/>
  <c r="C104" i="2"/>
  <c r="B57" i="2"/>
  <c r="C34" i="4"/>
  <c r="B44" i="3"/>
  <c r="C54" i="2"/>
  <c r="C66" i="7"/>
  <c r="B112" i="5"/>
  <c r="B9" i="4"/>
  <c r="B113" i="6"/>
  <c r="B107" i="4"/>
  <c r="C40" i="3"/>
  <c r="C53" i="7"/>
  <c r="C116" i="5"/>
  <c r="B64" i="4"/>
  <c r="C44" i="3"/>
  <c r="C23" i="7"/>
  <c r="B10" i="6"/>
  <c r="B26" i="3"/>
  <c r="B103" i="2"/>
  <c r="B42" i="6"/>
  <c r="B10" i="5"/>
  <c r="C74" i="2"/>
  <c r="C39" i="6"/>
  <c r="B8" i="5"/>
  <c r="B32" i="2"/>
  <c r="C47" i="6"/>
  <c r="B37" i="5"/>
  <c r="B109" i="3"/>
  <c r="B115" i="2"/>
  <c r="B84" i="7"/>
  <c r="C106" i="4"/>
  <c r="B73" i="3"/>
  <c r="C36" i="2"/>
  <c r="B98" i="7"/>
  <c r="B56" i="7"/>
  <c r="B59" i="7"/>
  <c r="B41" i="7"/>
  <c r="B110" i="6"/>
  <c r="B27" i="6"/>
  <c r="B44" i="6"/>
  <c r="C80" i="6"/>
  <c r="C26" i="5"/>
  <c r="B71" i="5"/>
  <c r="B96" i="5"/>
  <c r="B93" i="5"/>
  <c r="B74" i="4"/>
  <c r="B39" i="4"/>
  <c r="C71" i="4"/>
  <c r="C20" i="4"/>
  <c r="B105" i="4"/>
  <c r="B108" i="3"/>
  <c r="B102" i="3"/>
  <c r="C42" i="3"/>
  <c r="C63" i="3"/>
  <c r="C116" i="3"/>
  <c r="C44" i="2"/>
  <c r="B104" i="2"/>
  <c r="C116" i="2"/>
  <c r="B61" i="2"/>
  <c r="C113" i="2"/>
  <c r="B12" i="1"/>
  <c r="B83" i="5"/>
  <c r="C25" i="4"/>
  <c r="C84" i="2"/>
  <c r="C67" i="2"/>
  <c r="B73" i="2"/>
  <c r="C64" i="5"/>
  <c r="B103" i="3"/>
  <c r="C62" i="6"/>
  <c r="C38" i="4"/>
  <c r="B26" i="2"/>
  <c r="C66" i="6"/>
  <c r="C42" i="4"/>
  <c r="C62" i="2"/>
  <c r="C75" i="6"/>
  <c r="C92" i="4"/>
  <c r="C87" i="2"/>
  <c r="C83" i="6"/>
  <c r="B96" i="3"/>
  <c r="C77" i="6"/>
  <c r="B41" i="4"/>
  <c r="B92" i="2"/>
  <c r="C101" i="6"/>
  <c r="B101" i="3"/>
  <c r="C25" i="6"/>
  <c r="C102" i="4"/>
  <c r="B90" i="2"/>
  <c r="B32" i="6"/>
  <c r="B53" i="4"/>
  <c r="C101" i="2"/>
  <c r="B102" i="7"/>
  <c r="B64" i="7"/>
  <c r="B111" i="7"/>
  <c r="B53" i="7"/>
  <c r="B114" i="6"/>
  <c r="B31" i="6"/>
  <c r="B48" i="6"/>
  <c r="B45" i="6"/>
  <c r="C30" i="5"/>
  <c r="B75" i="5"/>
  <c r="B104" i="5"/>
  <c r="B97" i="5"/>
  <c r="B78" i="4"/>
  <c r="B43" i="4"/>
  <c r="C115" i="4"/>
  <c r="C24" i="4"/>
  <c r="B109" i="4"/>
  <c r="B99" i="3"/>
  <c r="B110" i="3"/>
  <c r="C46" i="3"/>
  <c r="C107" i="3"/>
  <c r="C21" i="3"/>
  <c r="C60" i="2"/>
  <c r="B31" i="2"/>
  <c r="C19" i="2"/>
  <c r="B65" i="2"/>
  <c r="B61" i="6"/>
  <c r="B51" i="4"/>
  <c r="C80" i="4"/>
  <c r="B22" i="2"/>
  <c r="B9" i="1"/>
  <c r="C113" i="7"/>
  <c r="C65" i="5"/>
  <c r="C106" i="3"/>
  <c r="C33" i="2"/>
  <c r="C17" i="7"/>
  <c r="C92" i="5"/>
  <c r="C69" i="5"/>
  <c r="B8" i="4"/>
  <c r="C33" i="6"/>
  <c r="C46" i="4"/>
  <c r="B57" i="3"/>
  <c r="C66" i="2"/>
  <c r="C61" i="7"/>
  <c r="B25" i="5"/>
  <c r="B68" i="4"/>
  <c r="C70" i="2"/>
  <c r="C19" i="7"/>
  <c r="B29" i="5"/>
  <c r="B34" i="3"/>
  <c r="B107" i="2"/>
  <c r="C77" i="7"/>
  <c r="B33" i="5"/>
  <c r="B28" i="3"/>
  <c r="B111" i="2"/>
  <c r="B50" i="6"/>
  <c r="C112" i="5"/>
  <c r="C55" i="4"/>
  <c r="C47" i="3"/>
  <c r="B32" i="7"/>
  <c r="C97" i="5"/>
  <c r="C59" i="4"/>
  <c r="C104" i="3"/>
  <c r="B106" i="7"/>
  <c r="C80" i="7"/>
  <c r="C35" i="7"/>
  <c r="B57" i="7"/>
  <c r="C99" i="6"/>
  <c r="B35" i="6"/>
  <c r="B96" i="6"/>
  <c r="B53" i="6"/>
  <c r="C34" i="5"/>
  <c r="B79" i="5"/>
  <c r="B108" i="5"/>
  <c r="B101" i="5"/>
  <c r="B82" i="4"/>
  <c r="B47" i="4"/>
  <c r="C108" i="4"/>
  <c r="C28" i="4"/>
  <c r="B113" i="4"/>
  <c r="B107" i="3"/>
  <c r="B25" i="3"/>
  <c r="C50" i="3"/>
  <c r="C111" i="3"/>
  <c r="C49" i="3"/>
  <c r="C72" i="2"/>
  <c r="B35" i="2"/>
  <c r="C23" i="2"/>
  <c r="B69" i="2"/>
  <c r="B11" i="1"/>
  <c r="C53" i="5"/>
  <c r="C33" i="4"/>
  <c r="B115" i="3"/>
  <c r="B87" i="3"/>
  <c r="C115" i="3"/>
  <c r="B8" i="3"/>
  <c r="B10" i="1"/>
  <c r="C61" i="5"/>
  <c r="C73" i="3"/>
  <c r="C29" i="2"/>
  <c r="B97" i="7"/>
  <c r="B13" i="6"/>
  <c r="C105" i="3"/>
  <c r="C41" i="7"/>
  <c r="C68" i="5"/>
  <c r="B60" i="4"/>
  <c r="C110" i="3"/>
  <c r="C83" i="2"/>
  <c r="B17" i="7"/>
  <c r="B21" i="5"/>
  <c r="B77" i="3"/>
  <c r="B34" i="2"/>
  <c r="B115" i="7"/>
  <c r="C65" i="6"/>
  <c r="B9" i="5"/>
  <c r="B78" i="2"/>
  <c r="C91" i="6"/>
  <c r="C63" i="5"/>
  <c r="C37" i="4"/>
  <c r="B93" i="3"/>
  <c r="B82" i="2"/>
  <c r="C27" i="7"/>
  <c r="B58" i="5"/>
  <c r="C98" i="4"/>
  <c r="B112" i="3"/>
  <c r="B108" i="2"/>
  <c r="B76" i="7"/>
  <c r="B18" i="4"/>
  <c r="B41" i="3"/>
  <c r="C32" i="2"/>
  <c r="C55" i="6"/>
  <c r="B81" i="5"/>
  <c r="B52" i="3"/>
  <c r="B52" i="2"/>
  <c r="C54" i="7"/>
  <c r="C92" i="7"/>
  <c r="C63" i="7"/>
  <c r="B65" i="7"/>
  <c r="C41" i="6"/>
  <c r="B83" i="6"/>
  <c r="B100" i="6"/>
  <c r="C38" i="5"/>
  <c r="C84" i="5"/>
  <c r="C26" i="4"/>
  <c r="C72" i="4"/>
  <c r="C54" i="3"/>
  <c r="B39" i="2"/>
  <c r="B100" i="5"/>
  <c r="C102" i="3"/>
  <c r="C75" i="2"/>
  <c r="B25" i="7"/>
  <c r="C80" i="5"/>
  <c r="B103" i="4"/>
  <c r="B60" i="3"/>
  <c r="B51" i="2"/>
  <c r="B105" i="7"/>
  <c r="B20" i="5"/>
  <c r="C88" i="4"/>
  <c r="B30" i="2"/>
  <c r="C37" i="2"/>
  <c r="B107" i="7"/>
  <c r="C104" i="5"/>
  <c r="B111" i="4"/>
  <c r="C114" i="3"/>
  <c r="C41" i="2"/>
  <c r="C19" i="6"/>
  <c r="C59" i="5"/>
  <c r="C90" i="4"/>
  <c r="B37" i="4"/>
  <c r="C48" i="3"/>
  <c r="C45" i="2"/>
  <c r="C55" i="7"/>
  <c r="C88" i="5"/>
  <c r="B72" i="4"/>
  <c r="C65" i="3"/>
  <c r="C49" i="2"/>
  <c r="B46" i="6"/>
  <c r="C100" i="5"/>
  <c r="B76" i="4"/>
  <c r="C43" i="3"/>
  <c r="C93" i="2"/>
  <c r="B43" i="7"/>
  <c r="B62" i="5"/>
  <c r="B80" i="4"/>
  <c r="C60" i="3"/>
  <c r="B47" i="7"/>
  <c r="C75" i="5"/>
  <c r="C41" i="4"/>
  <c r="C51" i="3"/>
  <c r="C58" i="7"/>
  <c r="C100" i="7"/>
  <c r="C75" i="7"/>
  <c r="B77" i="7"/>
  <c r="C54" i="6"/>
  <c r="B87" i="6"/>
  <c r="B104" i="6"/>
  <c r="B69" i="6"/>
  <c r="C42" i="5"/>
  <c r="B92" i="5"/>
  <c r="C96" i="5"/>
  <c r="C57" i="5"/>
  <c r="C30" i="4"/>
  <c r="B55" i="4"/>
  <c r="C61" i="4"/>
  <c r="C76" i="4"/>
  <c r="C45" i="4"/>
  <c r="B20" i="3"/>
  <c r="B95" i="3"/>
  <c r="C58" i="3"/>
  <c r="C37" i="3"/>
  <c r="B18" i="2"/>
  <c r="C96" i="2"/>
  <c r="B43" i="2"/>
  <c r="C71" i="2"/>
  <c r="B77" i="2"/>
  <c r="B8" i="1"/>
  <c r="C62" i="7"/>
  <c r="C112" i="7"/>
  <c r="C87" i="7"/>
  <c r="C105" i="7"/>
  <c r="C58" i="6"/>
  <c r="B91" i="6"/>
  <c r="B108" i="6"/>
  <c r="B77" i="6"/>
  <c r="C108" i="5"/>
  <c r="B99" i="4"/>
  <c r="B10" i="4"/>
  <c r="B112" i="6"/>
  <c r="C93" i="5"/>
  <c r="C113" i="4"/>
  <c r="B111" i="3"/>
  <c r="C58" i="2"/>
  <c r="C70" i="7"/>
  <c r="B12" i="6"/>
  <c r="B69" i="3"/>
  <c r="B95" i="2"/>
  <c r="C29" i="7"/>
  <c r="B11" i="6"/>
  <c r="B18" i="3"/>
  <c r="B99" i="2"/>
  <c r="B12" i="7"/>
  <c r="B115" i="4"/>
  <c r="C33" i="3"/>
  <c r="B76" i="2"/>
  <c r="C65" i="7"/>
  <c r="B8" i="6"/>
  <c r="B104" i="3"/>
  <c r="B68" i="7"/>
  <c r="C67" i="5"/>
  <c r="B45" i="4"/>
  <c r="C56" i="3"/>
  <c r="C31" i="7"/>
  <c r="C71" i="5"/>
  <c r="B36" i="3"/>
  <c r="B36" i="2"/>
  <c r="B54" i="6"/>
  <c r="B66" i="5"/>
  <c r="B62" i="4"/>
  <c r="B78" i="3"/>
  <c r="C80" i="2"/>
</calcChain>
</file>

<file path=xl/sharedStrings.xml><?xml version="1.0" encoding="utf-8"?>
<sst xmlns="http://schemas.openxmlformats.org/spreadsheetml/2006/main" count="207" uniqueCount="27">
  <si>
    <t>看涨期权B-S</t>
    <phoneticPr fontId="1" type="noConversion"/>
  </si>
  <si>
    <t>看跌期权B-S</t>
    <phoneticPr fontId="1" type="noConversion"/>
  </si>
  <si>
    <t>资产价格(S)</t>
    <phoneticPr fontId="1" type="noConversion"/>
  </si>
  <si>
    <r>
      <t>资产波动率(</t>
    </r>
    <r>
      <rPr>
        <sz val="20"/>
        <rFont val="Tahoma"/>
        <family val="2"/>
      </rPr>
      <t>σ</t>
    </r>
    <r>
      <rPr>
        <sz val="20"/>
        <rFont val="宋体"/>
        <family val="3"/>
        <charset val="134"/>
      </rPr>
      <t>)</t>
    </r>
    <phoneticPr fontId="1" type="noConversion"/>
  </si>
  <si>
    <t>红利率(q)</t>
    <phoneticPr fontId="1" type="noConversion"/>
  </si>
  <si>
    <t>到期期限(T,year)</t>
    <phoneticPr fontId="1" type="noConversion"/>
  </si>
  <si>
    <t>无风险利率（ r )</t>
    <phoneticPr fontId="1" type="noConversion"/>
  </si>
  <si>
    <t>执行价格（X）</t>
    <phoneticPr fontId="1" type="noConversion"/>
  </si>
  <si>
    <t>bs_call(S,σ,rf,q,T,X)</t>
    <phoneticPr fontId="1" type="noConversion"/>
  </si>
  <si>
    <t>bs_put(S,σ,rf,q,T,X)</t>
    <phoneticPr fontId="1" type="noConversion"/>
  </si>
  <si>
    <t>函数名</t>
    <phoneticPr fontId="1" type="noConversion"/>
  </si>
  <si>
    <t>操作说明：1.该工作簿中函数参数顺序完全一致，参数依次表示：标的资产价格，标的资产的波动率，无风险利率，红利率，期权到期期限（以年为单位），执行价格。参数个数不可缺少，顺序不可倒换</t>
    <phoneticPr fontId="1" type="noConversion"/>
  </si>
  <si>
    <t>in_val_call(S,σ,rf,q,T,X)</t>
    <phoneticPr fontId="1" type="noConversion"/>
  </si>
  <si>
    <t>用途</t>
    <phoneticPr fontId="1" type="noConversion"/>
  </si>
  <si>
    <t>in_val_put(S,σ,rf,q,T,X)</t>
    <phoneticPr fontId="1" type="noConversion"/>
  </si>
  <si>
    <t>floor_call(S,σ,rf,q,T,X)</t>
    <phoneticPr fontId="1" type="noConversion"/>
  </si>
  <si>
    <t>floor_put(S,σ,rf,q,T,X)</t>
    <phoneticPr fontId="1" type="noConversion"/>
  </si>
  <si>
    <t>计算欧式看涨期权价值</t>
    <phoneticPr fontId="1" type="noConversion"/>
  </si>
  <si>
    <t>计算欧式看跌期权价值</t>
    <phoneticPr fontId="1" type="noConversion"/>
  </si>
  <si>
    <t>计算看涨期权内在价值</t>
    <phoneticPr fontId="1" type="noConversion"/>
  </si>
  <si>
    <t>计算看跌期权内在价值</t>
    <phoneticPr fontId="1" type="noConversion"/>
  </si>
  <si>
    <t>计算欧式看涨期权下限</t>
    <phoneticPr fontId="1" type="noConversion"/>
  </si>
  <si>
    <t>计算欧式看跌期权下限</t>
    <phoneticPr fontId="1" type="noConversion"/>
  </si>
  <si>
    <t>看涨期权内在价值</t>
    <phoneticPr fontId="1" type="noConversion"/>
  </si>
  <si>
    <t>看跌期权内在价值</t>
    <phoneticPr fontId="1" type="noConversion"/>
  </si>
  <si>
    <t>欧式看涨下限</t>
    <phoneticPr fontId="1" type="noConversion"/>
  </si>
  <si>
    <t>欧式看跌下限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</si>
</sst>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20"/>
      <name val="Tahoma"/>
      <family val="2"/>
    </font>
    <font>
      <b/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4" fillId="0" borderId="0" xfId="0" applyFont="1">
      <alignment vertical="center"/>
    </xf>
    <xf numFmtId="0" fontId="6" fillId="4" borderId="1" xfId="0" applyFont="1" applyFill="1" applyBorder="1">
      <alignment vertical="center"/>
    </xf>
    <xf numFmtId="0" fontId="6" fillId="0" borderId="0" xfId="0" applyFont="1">
      <alignment vertical="center"/>
    </xf>
    <xf numFmtId="0" fontId="3" fillId="3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资产价格</a:t>
            </a:r>
            <a:r>
              <a:rPr lang="en-US" altLang="zh-CN"/>
              <a:t>S</a:t>
            </a:r>
            <a:r>
              <a:rPr lang="zh-CN" altLang="en-US"/>
              <a:t>对期权价格的影响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资产价格!$B$16</c:f>
              <c:strCache>
                <c:ptCount val="1"/>
                <c:pt idx="0">
                  <c:v>看涨期权B-S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资产价格!$A$17:$A$116</c:f>
              <c:numCache>
                <c:formatCode>General</c:formatCode>
                <c:ptCount val="100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</c:numCache>
            </c:numRef>
          </c:cat>
          <c:val>
            <c:numRef>
              <c:f>资产价格!$B$17:$B$116</c:f>
              <c:numCache>
                <c:formatCode>General</c:formatCode>
                <c:ptCount val="100"/>
                <c:pt idx="0">
                  <c:v>1.4401500673917444E-22</c:v>
                </c:pt>
                <c:pt idx="1">
                  <c:v>2.1229192639847816E-21</c:v>
                </c:pt>
                <c:pt idx="2">
                  <c:v>2.7621203542030496E-20</c:v>
                </c:pt>
                <c:pt idx="3">
                  <c:v>3.1917640544431284E-19</c:v>
                </c:pt>
                <c:pt idx="4">
                  <c:v>3.2947405862850582E-18</c:v>
                </c:pt>
                <c:pt idx="5">
                  <c:v>3.054770868722037E-17</c:v>
                </c:pt>
                <c:pt idx="6">
                  <c:v>2.5569477233719365E-16</c:v>
                </c:pt>
                <c:pt idx="7">
                  <c:v>1.9414903440066773E-15</c:v>
                </c:pt>
                <c:pt idx="8">
                  <c:v>1.3433188699429353E-14</c:v>
                </c:pt>
                <c:pt idx="9">
                  <c:v>8.5054868071316189E-14</c:v>
                </c:pt>
                <c:pt idx="10">
                  <c:v>4.9480611493055367E-13</c:v>
                </c:pt>
                <c:pt idx="11">
                  <c:v>2.6547779668819539E-12</c:v>
                </c:pt>
                <c:pt idx="12">
                  <c:v>1.3183448153000418E-11</c:v>
                </c:pt>
                <c:pt idx="13">
                  <c:v>6.0799976195841807E-11</c:v>
                </c:pt>
                <c:pt idx="14">
                  <c:v>2.6123949397293713E-10</c:v>
                </c:pt>
                <c:pt idx="15">
                  <c:v>1.0489379301221229E-9</c:v>
                </c:pt>
                <c:pt idx="16">
                  <c:v>3.9471434578490398E-9</c:v>
                </c:pt>
                <c:pt idx="17">
                  <c:v>1.3957950190362954E-8</c:v>
                </c:pt>
                <c:pt idx="18">
                  <c:v>4.6504028033465107E-8</c:v>
                </c:pt>
                <c:pt idx="19">
                  <c:v>1.4633877157558929E-7</c:v>
                </c:pt>
                <c:pt idx="20">
                  <c:v>4.3596003989449742E-7</c:v>
                </c:pt>
                <c:pt idx="21">
                  <c:v>1.2323191737194275E-6</c:v>
                </c:pt>
                <c:pt idx="22">
                  <c:v>3.3121898020517591E-6</c:v>
                </c:pt>
                <c:pt idx="23">
                  <c:v>8.4821777624132736E-6</c:v>
                </c:pt>
                <c:pt idx="24">
                  <c:v>2.0736979625139403E-5</c:v>
                </c:pt>
                <c:pt idx="25">
                  <c:v>4.8488550242054788E-5</c:v>
                </c:pt>
                <c:pt idx="26">
                  <c:v>1.0863361344654651E-4</c:v>
                </c:pt>
                <c:pt idx="27">
                  <c:v>2.3359566027583364E-4</c:v>
                </c:pt>
                <c:pt idx="28">
                  <c:v>4.8289818421509006E-4</c:v>
                </c:pt>
                <c:pt idx="29">
                  <c:v>9.6122245643826681E-4</c:v>
                </c:pt>
                <c:pt idx="30">
                  <c:v>1.8451490773585405E-3</c:v>
                </c:pt>
                <c:pt idx="31">
                  <c:v>3.4207085466828324E-3</c:v>
                </c:pt>
                <c:pt idx="32">
                  <c:v>6.133288639838641E-3</c:v>
                </c:pt>
                <c:pt idx="33">
                  <c:v>1.0650217493472725E-2</c:v>
                </c:pt>
                <c:pt idx="34">
                  <c:v>1.7934411846273424E-2</c:v>
                </c:pt>
                <c:pt idx="35">
                  <c:v>2.9324959567668785E-2</c:v>
                </c:pt>
                <c:pt idx="36">
                  <c:v>4.6617697472820963E-2</c:v>
                </c:pt>
                <c:pt idx="37">
                  <c:v>7.213623382479506E-2</c:v>
                </c:pt>
                <c:pt idx="38">
                  <c:v>0.10878204614458742</c:v>
                </c:pt>
                <c:pt idx="39">
                  <c:v>0.16005184633414782</c:v>
                </c:pt>
                <c:pt idx="40">
                  <c:v>0.2300117773596444</c:v>
                </c:pt>
                <c:pt idx="41">
                  <c:v>0.32322132658116942</c:v>
                </c:pt>
                <c:pt idx="42">
                  <c:v>0.44460487127064852</c:v>
                </c:pt>
                <c:pt idx="43">
                  <c:v>0.5992748956273406</c:v>
                </c:pt>
                <c:pt idx="44">
                  <c:v>0.79231723380804908</c:v>
                </c:pt>
                <c:pt idx="45">
                  <c:v>1.0285541800971778</c:v>
                </c:pt>
                <c:pt idx="46">
                  <c:v>1.3123050314399229</c:v>
                </c:pt>
                <c:pt idx="47">
                  <c:v>1.6471649328138511</c:v>
                </c:pt>
                <c:pt idx="48">
                  <c:v>2.0358215357562699</c:v>
                </c:pt>
                <c:pt idx="49">
                  <c:v>2.4799251608856494</c:v>
                </c:pt>
                <c:pt idx="50">
                  <c:v>2.9800224824696073</c:v>
                </c:pt>
                <c:pt idx="51">
                  <c:v>3.5355571021214516</c:v>
                </c:pt>
                <c:pt idx="52">
                  <c:v>4.1449337196520659</c:v>
                </c:pt>
                <c:pt idx="53">
                  <c:v>4.8056368308697017</c:v>
                </c:pt>
                <c:pt idx="54">
                  <c:v>5.5143906511035681</c:v>
                </c:pt>
                <c:pt idx="55">
                  <c:v>6.2673446408903573</c:v>
                </c:pt>
                <c:pt idx="56">
                  <c:v>7.060268637313257</c:v>
                </c:pt>
                <c:pt idx="57">
                  <c:v>7.888742933833484</c:v>
                </c:pt>
                <c:pt idx="58">
                  <c:v>8.7483312714496151</c:v>
                </c:pt>
                <c:pt idx="59">
                  <c:v>9.6347280788241818</c:v>
                </c:pt>
                <c:pt idx="60">
                  <c:v>10.54387490443159</c:v>
                </c:pt>
                <c:pt idx="61">
                  <c:v>11.472044372506076</c:v>
                </c:pt>
                <c:pt idx="62">
                  <c:v>12.415892842500241</c:v>
                </c:pt>
                <c:pt idx="63">
                  <c:v>13.372485074390084</c:v>
                </c:pt>
                <c:pt idx="64">
                  <c:v>14.339295545832442</c:v>
                </c:pt>
                <c:pt idx="65">
                  <c:v>15.314191683225872</c:v>
                </c:pt>
                <c:pt idx="66">
                  <c:v>16.295404279237957</c:v>
                </c:pt>
                <c:pt idx="67">
                  <c:v>17.281489932351747</c:v>
                </c:pt>
                <c:pt idx="68">
                  <c:v>18.271289623476733</c:v>
                </c:pt>
                <c:pt idx="69">
                  <c:v>19.263886688772473</c:v>
                </c:pt>
                <c:pt idx="70">
                  <c:v>20.258566575612747</c:v>
                </c:pt>
                <c:pt idx="71">
                  <c:v>21.254779964874302</c:v>
                </c:pt>
                <c:pt idx="72">
                  <c:v>22.252110158915144</c:v>
                </c:pt>
                <c:pt idx="73">
                  <c:v>23.250245093659458</c:v>
                </c:pt>
                <c:pt idx="74">
                  <c:v>24.248953936386371</c:v>
                </c:pt>
                <c:pt idx="75">
                  <c:v>25.248067964855508</c:v>
                </c:pt>
                <c:pt idx="76">
                  <c:v>26.247465266913707</c:v>
                </c:pt>
                <c:pt idx="77">
                  <c:v>27.247058728353124</c:v>
                </c:pt>
                <c:pt idx="78">
                  <c:v>28.246786766803069</c:v>
                </c:pt>
                <c:pt idx="79">
                  <c:v>29.246606299969457</c:v>
                </c:pt>
                <c:pt idx="80">
                  <c:v>30.246487490645819</c:v>
                </c:pt>
                <c:pt idx="81">
                  <c:v>31.246409875828277</c:v>
                </c:pt>
                <c:pt idx="82">
                  <c:v>32.246359554033859</c:v>
                </c:pt>
                <c:pt idx="83">
                  <c:v>33.246327167840064</c:v>
                </c:pt>
                <c:pt idx="84">
                  <c:v>34.246306474550906</c:v>
                </c:pt>
                <c:pt idx="85">
                  <c:v>35.246293345388167</c:v>
                </c:pt>
                <c:pt idx="86">
                  <c:v>36.246285072578544</c:v>
                </c:pt>
                <c:pt idx="87">
                  <c:v>37.246279894761798</c:v>
                </c:pt>
                <c:pt idx="88">
                  <c:v>38.246276675282274</c:v>
                </c:pt>
                <c:pt idx="89">
                  <c:v>39.246274686275527</c:v>
                </c:pt>
                <c:pt idx="90">
                  <c:v>40.246273465141613</c:v>
                </c:pt>
                <c:pt idx="91">
                  <c:v>41.246272720014872</c:v>
                </c:pt>
                <c:pt idx="92">
                  <c:v>42.246272268056046</c:v>
                </c:pt>
                <c:pt idx="93">
                  <c:v>43.246271995516096</c:v>
                </c:pt>
                <c:pt idx="94">
                  <c:v>44.246271832104412</c:v>
                </c:pt>
                <c:pt idx="95">
                  <c:v>45.246271734669165</c:v>
                </c:pt>
                <c:pt idx="96">
                  <c:v>46.246271676888171</c:v>
                </c:pt>
                <c:pt idx="97">
                  <c:v>47.246271642804544</c:v>
                </c:pt>
                <c:pt idx="98">
                  <c:v>48.246271622803491</c:v>
                </c:pt>
                <c:pt idx="99">
                  <c:v>49.246271611125763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C-47BA-9E34-2D6584EC3CD7}"/>
            </c:ext>
          </c:extLst>
        </c:ser>
        <c:ser>
          <c:idx val="1"/>
          <c:order val="1"/>
          <c:tx>
            <c:strRef>
              <c:f>资产价格!$C$16</c:f>
              <c:strCache>
                <c:ptCount val="1"/>
                <c:pt idx="0">
                  <c:v>看跌期权B-S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资产价格!$A$17:$A$116</c:f>
              <c:numCache>
                <c:formatCode>General</c:formatCode>
                <c:ptCount val="100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</c:numCache>
            </c:numRef>
          </c:cat>
          <c:val>
            <c:numRef>
              <c:f>资产价格!$C$17:$C$116</c:f>
              <c:numCache>
                <c:formatCode>General</c:formatCode>
                <c:ptCount val="100"/>
                <c:pt idx="0">
                  <c:v>49.75372840482521</c:v>
                </c:pt>
                <c:pt idx="1">
                  <c:v>48.75372840482521</c:v>
                </c:pt>
                <c:pt idx="2">
                  <c:v>47.75372840482521</c:v>
                </c:pt>
                <c:pt idx="3">
                  <c:v>46.75372840482521</c:v>
                </c:pt>
                <c:pt idx="4">
                  <c:v>45.75372840482521</c:v>
                </c:pt>
                <c:pt idx="5">
                  <c:v>44.753728404825218</c:v>
                </c:pt>
                <c:pt idx="6">
                  <c:v>43.75372840482521</c:v>
                </c:pt>
                <c:pt idx="7">
                  <c:v>42.753728404825203</c:v>
                </c:pt>
                <c:pt idx="8">
                  <c:v>41.753728404825225</c:v>
                </c:pt>
                <c:pt idx="9">
                  <c:v>40.753728404825303</c:v>
                </c:pt>
                <c:pt idx="10">
                  <c:v>39.753728404825708</c:v>
                </c:pt>
                <c:pt idx="11">
                  <c:v>38.753728404827868</c:v>
                </c:pt>
                <c:pt idx="12">
                  <c:v>37.753728404838391</c:v>
                </c:pt>
                <c:pt idx="13">
                  <c:v>36.753728404886004</c:v>
                </c:pt>
                <c:pt idx="14">
                  <c:v>35.753728405086449</c:v>
                </c:pt>
                <c:pt idx="15">
                  <c:v>34.753728405874142</c:v>
                </c:pt>
                <c:pt idx="16">
                  <c:v>33.753728408772346</c:v>
                </c:pt>
                <c:pt idx="17">
                  <c:v>32.753728418783155</c:v>
                </c:pt>
                <c:pt idx="18">
                  <c:v>31.753728451329224</c:v>
                </c:pt>
                <c:pt idx="19">
                  <c:v>30.753728551163988</c:v>
                </c:pt>
                <c:pt idx="20">
                  <c:v>29.753728840785257</c:v>
                </c:pt>
                <c:pt idx="21">
                  <c:v>28.753729637144389</c:v>
                </c:pt>
                <c:pt idx="22">
                  <c:v>27.753731717015015</c:v>
                </c:pt>
                <c:pt idx="23">
                  <c:v>26.753736887002972</c:v>
                </c:pt>
                <c:pt idx="24">
                  <c:v>25.753749141804832</c:v>
                </c:pt>
                <c:pt idx="25">
                  <c:v>24.753776893375459</c:v>
                </c:pt>
                <c:pt idx="26">
                  <c:v>23.753837038438647</c:v>
                </c:pt>
                <c:pt idx="27">
                  <c:v>22.753962000485487</c:v>
                </c:pt>
                <c:pt idx="28">
                  <c:v>21.754211303009427</c:v>
                </c:pt>
                <c:pt idx="29">
                  <c:v>20.75468962728165</c:v>
                </c:pt>
                <c:pt idx="30">
                  <c:v>19.755573553902565</c:v>
                </c:pt>
                <c:pt idx="31">
                  <c:v>18.757149113371895</c:v>
                </c:pt>
                <c:pt idx="32">
                  <c:v>17.759861693465055</c:v>
                </c:pt>
                <c:pt idx="33">
                  <c:v>16.764378622318688</c:v>
                </c:pt>
                <c:pt idx="34">
                  <c:v>15.77166281667148</c:v>
                </c:pt>
                <c:pt idx="35">
                  <c:v>14.783053364392885</c:v>
                </c:pt>
                <c:pt idx="36">
                  <c:v>13.800346102298036</c:v>
                </c:pt>
                <c:pt idx="37">
                  <c:v>12.825864638650003</c:v>
                </c:pt>
                <c:pt idx="38">
                  <c:v>11.862510450969793</c:v>
                </c:pt>
                <c:pt idx="39">
                  <c:v>10.913780251159366</c:v>
                </c:pt>
                <c:pt idx="40">
                  <c:v>9.9837401821848601</c:v>
                </c:pt>
                <c:pt idx="41">
                  <c:v>9.0769497314063727</c:v>
                </c:pt>
                <c:pt idx="42">
                  <c:v>8.1983332760958518</c:v>
                </c:pt>
                <c:pt idx="43">
                  <c:v>7.3530033004525421</c:v>
                </c:pt>
                <c:pt idx="44">
                  <c:v>6.5460456386332595</c:v>
                </c:pt>
                <c:pt idx="45">
                  <c:v>5.7822825849223989</c:v>
                </c:pt>
                <c:pt idx="46">
                  <c:v>5.0660334362651156</c:v>
                </c:pt>
                <c:pt idx="47">
                  <c:v>4.4008933376390615</c:v>
                </c:pt>
                <c:pt idx="48">
                  <c:v>3.7895499405814803</c:v>
                </c:pt>
                <c:pt idx="49">
                  <c:v>3.2336535657108527</c:v>
                </c:pt>
                <c:pt idx="50">
                  <c:v>2.7337508872948177</c:v>
                </c:pt>
                <c:pt idx="51">
                  <c:v>2.2892855069466762</c:v>
                </c:pt>
                <c:pt idx="52">
                  <c:v>1.8986621244772763</c:v>
                </c:pt>
                <c:pt idx="53">
                  <c:v>1.559365235694905</c:v>
                </c:pt>
                <c:pt idx="54">
                  <c:v>1.2681190559287749</c:v>
                </c:pt>
                <c:pt idx="55">
                  <c:v>1.0210730457155677</c:v>
                </c:pt>
                <c:pt idx="56">
                  <c:v>0.81399704213847102</c:v>
                </c:pt>
                <c:pt idx="57">
                  <c:v>0.64247133865870154</c:v>
                </c:pt>
                <c:pt idx="58">
                  <c:v>0.50205967627481662</c:v>
                </c:pt>
                <c:pt idx="59">
                  <c:v>0.38845648364938867</c:v>
                </c:pt>
                <c:pt idx="60">
                  <c:v>0.29760330925679845</c:v>
                </c:pt>
                <c:pt idx="61">
                  <c:v>0.22577277733128298</c:v>
                </c:pt>
                <c:pt idx="62">
                  <c:v>0.16962124732544837</c:v>
                </c:pt>
                <c:pt idx="63">
                  <c:v>0.12621347921529136</c:v>
                </c:pt>
                <c:pt idx="64">
                  <c:v>9.3023950657642018E-2</c:v>
                </c:pt>
                <c:pt idx="65">
                  <c:v>6.7920088051088179E-2</c:v>
                </c:pt>
                <c:pt idx="66">
                  <c:v>4.9132684063156518E-2</c:v>
                </c:pt>
                <c:pt idx="67">
                  <c:v>3.5218337176956105E-2</c:v>
                </c:pt>
                <c:pt idx="68">
                  <c:v>2.5018028301947881E-2</c:v>
                </c:pt>
                <c:pt idx="69">
                  <c:v>1.7615093597689202E-2</c:v>
                </c:pt>
                <c:pt idx="70">
                  <c:v>1.2294980437955627E-2</c:v>
                </c:pt>
                <c:pt idx="71">
                  <c:v>8.5083696994949221E-3</c:v>
                </c:pt>
                <c:pt idx="72">
                  <c:v>5.8385637403546298E-3</c:v>
                </c:pt>
                <c:pt idx="73">
                  <c:v>3.9734984846769017E-3</c:v>
                </c:pt>
                <c:pt idx="74">
                  <c:v>2.6823412115811185E-3</c:v>
                </c:pt>
                <c:pt idx="75">
                  <c:v>1.7963696807021118E-3</c:v>
                </c:pt>
                <c:pt idx="76">
                  <c:v>1.1936717389155124E-3</c:v>
                </c:pt>
                <c:pt idx="77">
                  <c:v>7.8713317834598617E-4</c:v>
                </c:pt>
                <c:pt idx="78">
                  <c:v>5.1517162829305824E-4</c:v>
                </c:pt>
                <c:pt idx="79">
                  <c:v>3.3470479467456737E-4</c:v>
                </c:pt>
                <c:pt idx="80">
                  <c:v>2.158954710263835E-4</c:v>
                </c:pt>
                <c:pt idx="81">
                  <c:v>1.3828065350135997E-4</c:v>
                </c:pt>
                <c:pt idx="82">
                  <c:v>8.7958859068354607E-5</c:v>
                </c:pt>
                <c:pt idx="83">
                  <c:v>5.5572665279373084E-5</c:v>
                </c:pt>
                <c:pt idx="84">
                  <c:v>3.4879376110096005E-5</c:v>
                </c:pt>
                <c:pt idx="85">
                  <c:v>2.1750213381508928E-5</c:v>
                </c:pt>
                <c:pt idx="86">
                  <c:v>1.3477403753446603E-5</c:v>
                </c:pt>
                <c:pt idx="87">
                  <c:v>8.2995870096594371E-6</c:v>
                </c:pt>
                <c:pt idx="88">
                  <c:v>5.0801074943755144E-6</c:v>
                </c:pt>
                <c:pt idx="89">
                  <c:v>3.0911007297086061E-6</c:v>
                </c:pt>
                <c:pt idx="90">
                  <c:v>1.8699668347820126E-6</c:v>
                </c:pt>
                <c:pt idx="91">
                  <c:v>1.1248400793506996E-6</c:v>
                </c:pt>
                <c:pt idx="92">
                  <c:v>6.7288123101745496E-7</c:v>
                </c:pt>
                <c:pt idx="93">
                  <c:v>4.0034130575870988E-7</c:v>
                </c:pt>
                <c:pt idx="94">
                  <c:v>2.369296012592568E-7</c:v>
                </c:pt>
                <c:pt idx="95">
                  <c:v>1.3949439091493903E-7</c:v>
                </c:pt>
                <c:pt idx="96">
                  <c:v>8.1713388114654661E-8</c:v>
                </c:pt>
                <c:pt idx="97">
                  <c:v>4.7629748942497051E-8</c:v>
                </c:pt>
                <c:pt idx="98">
                  <c:v>2.7628704523458633E-8</c:v>
                </c:pt>
                <c:pt idx="99">
                  <c:v>1.5950983919792124E-8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C-47BA-9E34-2D6584EC3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3056848"/>
        <c:axId val="1583057264"/>
      </c:lineChart>
      <c:catAx>
        <c:axId val="158305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3057264"/>
        <c:crosses val="autoZero"/>
        <c:auto val="1"/>
        <c:lblAlgn val="ctr"/>
        <c:lblOffset val="100"/>
        <c:tickLblSkip val="10"/>
        <c:noMultiLvlLbl val="0"/>
      </c:catAx>
      <c:valAx>
        <c:axId val="15830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305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资产波动率对期权价格的影响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资产波动率!$B$16</c:f>
              <c:strCache>
                <c:ptCount val="1"/>
                <c:pt idx="0">
                  <c:v>看涨期权B-S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资产波动率!$A$17:$A$116</c:f>
              <c:numCache>
                <c:formatCode>General</c:formatCode>
                <c:ptCount val="1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6.9999999999999993E-2</c:v>
                </c:pt>
                <c:pt idx="4">
                  <c:v>0.09</c:v>
                </c:pt>
                <c:pt idx="5">
                  <c:v>0.11</c:v>
                </c:pt>
                <c:pt idx="6">
                  <c:v>0.13</c:v>
                </c:pt>
                <c:pt idx="7">
                  <c:v>0.15000000000000002</c:v>
                </c:pt>
                <c:pt idx="8">
                  <c:v>0.17</c:v>
                </c:pt>
                <c:pt idx="9">
                  <c:v>0.19</c:v>
                </c:pt>
                <c:pt idx="10">
                  <c:v>0.21000000000000002</c:v>
                </c:pt>
                <c:pt idx="11">
                  <c:v>0.23</c:v>
                </c:pt>
                <c:pt idx="12">
                  <c:v>0.25</c:v>
                </c:pt>
                <c:pt idx="13">
                  <c:v>0.27</c:v>
                </c:pt>
                <c:pt idx="14">
                  <c:v>0.29000000000000004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</c:v>
                </c:pt>
                <c:pt idx="19">
                  <c:v>0.39</c:v>
                </c:pt>
                <c:pt idx="20">
                  <c:v>0.41000000000000003</c:v>
                </c:pt>
                <c:pt idx="21">
                  <c:v>0.43</c:v>
                </c:pt>
                <c:pt idx="22">
                  <c:v>0.45</c:v>
                </c:pt>
                <c:pt idx="23">
                  <c:v>0.47000000000000003</c:v>
                </c:pt>
                <c:pt idx="24">
                  <c:v>0.49</c:v>
                </c:pt>
                <c:pt idx="25">
                  <c:v>0.51</c:v>
                </c:pt>
                <c:pt idx="26">
                  <c:v>0.53</c:v>
                </c:pt>
                <c:pt idx="27">
                  <c:v>0.55000000000000004</c:v>
                </c:pt>
                <c:pt idx="28">
                  <c:v>0.57000000000000006</c:v>
                </c:pt>
                <c:pt idx="29">
                  <c:v>0.59</c:v>
                </c:pt>
                <c:pt idx="30">
                  <c:v>0.61</c:v>
                </c:pt>
                <c:pt idx="31">
                  <c:v>0.63</c:v>
                </c:pt>
                <c:pt idx="32">
                  <c:v>0.65</c:v>
                </c:pt>
                <c:pt idx="33">
                  <c:v>0.67</c:v>
                </c:pt>
                <c:pt idx="34">
                  <c:v>0.69000000000000006</c:v>
                </c:pt>
                <c:pt idx="35">
                  <c:v>0.71000000000000008</c:v>
                </c:pt>
                <c:pt idx="36">
                  <c:v>0.73</c:v>
                </c:pt>
                <c:pt idx="37">
                  <c:v>0.75</c:v>
                </c:pt>
                <c:pt idx="38">
                  <c:v>0.77</c:v>
                </c:pt>
                <c:pt idx="39">
                  <c:v>0.79</c:v>
                </c:pt>
                <c:pt idx="40">
                  <c:v>0.81</c:v>
                </c:pt>
                <c:pt idx="41">
                  <c:v>0.83000000000000007</c:v>
                </c:pt>
                <c:pt idx="42">
                  <c:v>0.85</c:v>
                </c:pt>
                <c:pt idx="43">
                  <c:v>0.87</c:v>
                </c:pt>
                <c:pt idx="44">
                  <c:v>0.89</c:v>
                </c:pt>
                <c:pt idx="45">
                  <c:v>0.91</c:v>
                </c:pt>
                <c:pt idx="46">
                  <c:v>0.93</c:v>
                </c:pt>
                <c:pt idx="47">
                  <c:v>0.95000000000000007</c:v>
                </c:pt>
                <c:pt idx="48">
                  <c:v>0.97</c:v>
                </c:pt>
                <c:pt idx="49">
                  <c:v>0.99</c:v>
                </c:pt>
                <c:pt idx="50">
                  <c:v>1.01</c:v>
                </c:pt>
                <c:pt idx="51">
                  <c:v>1.03</c:v>
                </c:pt>
                <c:pt idx="52">
                  <c:v>1.05</c:v>
                </c:pt>
                <c:pt idx="53">
                  <c:v>1.07</c:v>
                </c:pt>
                <c:pt idx="54">
                  <c:v>1.0900000000000001</c:v>
                </c:pt>
                <c:pt idx="55">
                  <c:v>1.1100000000000001</c:v>
                </c:pt>
                <c:pt idx="56">
                  <c:v>1.1300000000000001</c:v>
                </c:pt>
                <c:pt idx="57">
                  <c:v>1.1500000000000001</c:v>
                </c:pt>
                <c:pt idx="58">
                  <c:v>1.17</c:v>
                </c:pt>
                <c:pt idx="59">
                  <c:v>1.19</c:v>
                </c:pt>
                <c:pt idx="60">
                  <c:v>1.21</c:v>
                </c:pt>
                <c:pt idx="61">
                  <c:v>1.23</c:v>
                </c:pt>
                <c:pt idx="62">
                  <c:v>1.25</c:v>
                </c:pt>
                <c:pt idx="63">
                  <c:v>1.27</c:v>
                </c:pt>
                <c:pt idx="64">
                  <c:v>1.29</c:v>
                </c:pt>
                <c:pt idx="65">
                  <c:v>1.31</c:v>
                </c:pt>
                <c:pt idx="66">
                  <c:v>1.33</c:v>
                </c:pt>
                <c:pt idx="67">
                  <c:v>1.35</c:v>
                </c:pt>
                <c:pt idx="68">
                  <c:v>1.37</c:v>
                </c:pt>
                <c:pt idx="69">
                  <c:v>1.3900000000000001</c:v>
                </c:pt>
                <c:pt idx="70">
                  <c:v>1.4100000000000001</c:v>
                </c:pt>
                <c:pt idx="71">
                  <c:v>1.43</c:v>
                </c:pt>
                <c:pt idx="72">
                  <c:v>1.45</c:v>
                </c:pt>
                <c:pt idx="73">
                  <c:v>1.47</c:v>
                </c:pt>
                <c:pt idx="74">
                  <c:v>1.49</c:v>
                </c:pt>
                <c:pt idx="75">
                  <c:v>1.51</c:v>
                </c:pt>
                <c:pt idx="76">
                  <c:v>1.53</c:v>
                </c:pt>
                <c:pt idx="77">
                  <c:v>1.55</c:v>
                </c:pt>
                <c:pt idx="78">
                  <c:v>1.57</c:v>
                </c:pt>
                <c:pt idx="79">
                  <c:v>1.59</c:v>
                </c:pt>
                <c:pt idx="80">
                  <c:v>1.61</c:v>
                </c:pt>
                <c:pt idx="81">
                  <c:v>1.6300000000000001</c:v>
                </c:pt>
                <c:pt idx="82">
                  <c:v>1.6500000000000001</c:v>
                </c:pt>
                <c:pt idx="83">
                  <c:v>1.6700000000000002</c:v>
                </c:pt>
                <c:pt idx="84">
                  <c:v>1.69</c:v>
                </c:pt>
                <c:pt idx="85">
                  <c:v>1.71</c:v>
                </c:pt>
                <c:pt idx="86">
                  <c:v>1.73</c:v>
                </c:pt>
                <c:pt idx="87">
                  <c:v>1.75</c:v>
                </c:pt>
                <c:pt idx="88">
                  <c:v>1.77</c:v>
                </c:pt>
                <c:pt idx="89">
                  <c:v>1.79</c:v>
                </c:pt>
                <c:pt idx="90">
                  <c:v>1.81</c:v>
                </c:pt>
                <c:pt idx="91">
                  <c:v>1.83</c:v>
                </c:pt>
                <c:pt idx="92">
                  <c:v>1.85</c:v>
                </c:pt>
                <c:pt idx="93">
                  <c:v>1.87</c:v>
                </c:pt>
                <c:pt idx="94">
                  <c:v>1.8900000000000001</c:v>
                </c:pt>
                <c:pt idx="95">
                  <c:v>1.9100000000000001</c:v>
                </c:pt>
                <c:pt idx="96">
                  <c:v>1.93</c:v>
                </c:pt>
                <c:pt idx="97">
                  <c:v>1.95</c:v>
                </c:pt>
                <c:pt idx="98">
                  <c:v>1.97</c:v>
                </c:pt>
                <c:pt idx="99">
                  <c:v>1.99</c:v>
                </c:pt>
              </c:numCache>
            </c:numRef>
          </c:cat>
          <c:val>
            <c:numRef>
              <c:f>资产波动率!$B$17:$B$116</c:f>
              <c:numCache>
                <c:formatCode>General</c:formatCode>
                <c:ptCount val="100"/>
                <c:pt idx="0">
                  <c:v>0.27719454073226757</c:v>
                </c:pt>
                <c:pt idx="1">
                  <c:v>0.47981945829319983</c:v>
                </c:pt>
                <c:pt idx="2">
                  <c:v>0.70272179001584334</c:v>
                </c:pt>
                <c:pt idx="3">
                  <c:v>0.92877678998303281</c:v>
                </c:pt>
                <c:pt idx="4">
                  <c:v>1.1558890614086224</c:v>
                </c:pt>
                <c:pt idx="5">
                  <c:v>1.383478222927792</c:v>
                </c:pt>
                <c:pt idx="6">
                  <c:v>1.6113188428526328</c:v>
                </c:pt>
                <c:pt idx="7">
                  <c:v>1.8393044790354338</c:v>
                </c:pt>
                <c:pt idx="8">
                  <c:v>2.0673778245332457</c:v>
                </c:pt>
                <c:pt idx="9">
                  <c:v>2.295504885603151</c:v>
                </c:pt>
                <c:pt idx="10">
                  <c:v>2.5236638932336177</c:v>
                </c:pt>
                <c:pt idx="11">
                  <c:v>2.7518399931972368</c:v>
                </c:pt>
                <c:pt idx="12">
                  <c:v>2.9800224824696073</c:v>
                </c:pt>
                <c:pt idx="13">
                  <c:v>3.208203272954762</c:v>
                </c:pt>
                <c:pt idx="14">
                  <c:v>3.4363759905048141</c:v>
                </c:pt>
                <c:pt idx="15">
                  <c:v>3.6645354225242883</c:v>
                </c:pt>
                <c:pt idx="16">
                  <c:v>3.892677166362958</c:v>
                </c:pt>
                <c:pt idx="17">
                  <c:v>4.1207973982229902</c:v>
                </c:pt>
                <c:pt idx="18">
                  <c:v>4.3488927170015401</c:v>
                </c:pt>
                <c:pt idx="19">
                  <c:v>4.5769600361793863</c:v>
                </c:pt>
                <c:pt idx="20">
                  <c:v>4.8049965073558951</c:v>
                </c:pt>
                <c:pt idx="21">
                  <c:v>5.0329994651297909</c:v>
                </c:pt>
                <c:pt idx="22">
                  <c:v>5.2609663866870662</c:v>
                </c:pt>
                <c:pt idx="23">
                  <c:v>5.4888948617162754</c:v>
                </c:pt>
                <c:pt idx="24">
                  <c:v>5.7167825697010173</c:v>
                </c:pt>
                <c:pt idx="25">
                  <c:v>5.9446272625652767</c:v>
                </c:pt>
                <c:pt idx="26">
                  <c:v>6.1724267512575963</c:v>
                </c:pt>
                <c:pt idx="27">
                  <c:v>6.4001788952719139</c:v>
                </c:pt>
                <c:pt idx="28">
                  <c:v>6.6278815943837515</c:v>
                </c:pt>
                <c:pt idx="29">
                  <c:v>6.8555327820761534</c:v>
                </c:pt>
                <c:pt idx="30">
                  <c:v>7.0831304202676719</c:v>
                </c:pt>
                <c:pt idx="31">
                  <c:v>7.3106724950530335</c:v>
                </c:pt>
                <c:pt idx="32">
                  <c:v>7.5381570132383828</c:v>
                </c:pt>
                <c:pt idx="33">
                  <c:v>7.7655819995051019</c:v>
                </c:pt>
                <c:pt idx="34">
                  <c:v>7.9929454940747178</c:v>
                </c:pt>
                <c:pt idx="35">
                  <c:v>8.2202455507759495</c:v>
                </c:pt>
                <c:pt idx="36">
                  <c:v>8.447480235436899</c:v>
                </c:pt>
                <c:pt idx="37">
                  <c:v>8.6746476245416417</c:v>
                </c:pt>
                <c:pt idx="38">
                  <c:v>8.9017458041031077</c:v>
                </c:pt>
                <c:pt idx="39">
                  <c:v>9.1287728687139591</c:v>
                </c:pt>
                <c:pt idx="40">
                  <c:v>9.3557269207446296</c:v>
                </c:pt>
                <c:pt idx="41">
                  <c:v>9.5826060696637754</c:v>
                </c:pt>
                <c:pt idx="42">
                  <c:v>9.8094084314608949</c:v>
                </c:pt>
                <c:pt idx="43">
                  <c:v>10.036132128154662</c:v>
                </c:pt>
                <c:pt idx="44">
                  <c:v>10.262775287373501</c:v>
                </c:pt>
                <c:pt idx="45">
                  <c:v>10.489336041997355</c:v>
                </c:pt>
                <c:pt idx="46">
                  <c:v>10.715812529851185</c:v>
                </c:pt>
                <c:pt idx="47">
                  <c:v>10.942202893442882</c:v>
                </c:pt>
                <c:pt idx="48">
                  <c:v>11.168505279738916</c:v>
                </c:pt>
                <c:pt idx="49">
                  <c:v>11.394717839972436</c:v>
                </c:pt>
                <c:pt idx="50">
                  <c:v>11.620838729479473</c:v>
                </c:pt>
                <c:pt idx="51">
                  <c:v>11.846866107559102</c:v>
                </c:pt>
                <c:pt idx="52">
                  <c:v>12.072798137354638</c:v>
                </c:pt>
                <c:pt idx="53">
                  <c:v>12.298632985752946</c:v>
                </c:pt>
                <c:pt idx="54">
                  <c:v>12.524368823299568</c:v>
                </c:pt>
                <c:pt idx="55">
                  <c:v>12.750003824127781</c:v>
                </c:pt>
                <c:pt idx="56">
                  <c:v>12.975536165899435</c:v>
                </c:pt>
                <c:pt idx="57">
                  <c:v>13.20096402975674</c:v>
                </c:pt>
                <c:pt idx="58">
                  <c:v>13.426285600283137</c:v>
                </c:pt>
                <c:pt idx="59">
                  <c:v>13.651499065472471</c:v>
                </c:pt>
                <c:pt idx="60">
                  <c:v>13.876602616705405</c:v>
                </c:pt>
                <c:pt idx="61">
                  <c:v>14.101594448732151</c:v>
                </c:pt>
                <c:pt idx="62">
                  <c:v>14.326472759661016</c:v>
                </c:pt>
                <c:pt idx="63">
                  <c:v>14.551235750951868</c:v>
                </c:pt>
                <c:pt idx="64">
                  <c:v>14.775881627414144</c:v>
                </c:pt>
                <c:pt idx="65">
                  <c:v>15.000408597208803</c:v>
                </c:pt>
                <c:pt idx="66">
                  <c:v>15.224814871853837</c:v>
                </c:pt>
                <c:pt idx="67">
                  <c:v>15.449098666232956</c:v>
                </c:pt>
                <c:pt idx="68">
                  <c:v>15.673258198607087</c:v>
                </c:pt>
                <c:pt idx="69">
                  <c:v>15.897291690628478</c:v>
                </c:pt>
                <c:pt idx="70">
                  <c:v>16.121197367356935</c:v>
                </c:pt>
                <c:pt idx="71">
                  <c:v>16.344973457278165</c:v>
                </c:pt>
                <c:pt idx="72">
                  <c:v>16.568618192324038</c:v>
                </c:pt>
                <c:pt idx="73">
                  <c:v>16.79212980789427</c:v>
                </c:pt>
                <c:pt idx="74">
                  <c:v>17.01550654287972</c:v>
                </c:pt>
                <c:pt idx="75">
                  <c:v>17.238746639687029</c:v>
                </c:pt>
                <c:pt idx="76">
                  <c:v>17.461848344264304</c:v>
                </c:pt>
                <c:pt idx="77">
                  <c:v>17.684809906127988</c:v>
                </c:pt>
                <c:pt idx="78">
                  <c:v>17.90762957839064</c:v>
                </c:pt>
                <c:pt idx="79">
                  <c:v>18.130305617789567</c:v>
                </c:pt>
                <c:pt idx="80">
                  <c:v>18.35283628471624</c:v>
                </c:pt>
                <c:pt idx="81">
                  <c:v>18.575219843246359</c:v>
                </c:pt>
                <c:pt idx="82">
                  <c:v>18.797454561170618</c:v>
                </c:pt>
                <c:pt idx="83">
                  <c:v>19.019538710025891</c:v>
                </c:pt>
                <c:pt idx="84">
                  <c:v>19.241470565127109</c:v>
                </c:pt>
                <c:pt idx="85">
                  <c:v>19.463248405599352</c:v>
                </c:pt>
                <c:pt idx="86">
                  <c:v>19.684870514410449</c:v>
                </c:pt>
                <c:pt idx="87">
                  <c:v>19.906335178403971</c:v>
                </c:pt>
                <c:pt idx="88">
                  <c:v>20.127640688332413</c:v>
                </c:pt>
                <c:pt idx="89">
                  <c:v>20.348785338890714</c:v>
                </c:pt>
                <c:pt idx="90">
                  <c:v>20.569767428750005</c:v>
                </c:pt>
                <c:pt idx="91">
                  <c:v>20.790585260591506</c:v>
                </c:pt>
                <c:pt idx="92">
                  <c:v>21.011237141140725</c:v>
                </c:pt>
                <c:pt idx="93">
                  <c:v>21.231721381201595</c:v>
                </c:pt>
                <c:pt idx="94">
                  <c:v>21.452036295691016</c:v>
                </c:pt>
                <c:pt idx="95">
                  <c:v>21.672180203673179</c:v>
                </c:pt>
                <c:pt idx="96">
                  <c:v>21.892151428394229</c:v>
                </c:pt>
                <c:pt idx="97">
                  <c:v>22.111948297316893</c:v>
                </c:pt>
                <c:pt idx="98">
                  <c:v>22.331569142155061</c:v>
                </c:pt>
                <c:pt idx="99">
                  <c:v>22.551012298908603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97-4C14-BFAD-E887B1D588A7}"/>
            </c:ext>
          </c:extLst>
        </c:ser>
        <c:ser>
          <c:idx val="1"/>
          <c:order val="1"/>
          <c:tx>
            <c:strRef>
              <c:f>资产波动率!$C$16</c:f>
              <c:strCache>
                <c:ptCount val="1"/>
                <c:pt idx="0">
                  <c:v>看跌期权B-S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资产波动率!$A$17:$A$116</c:f>
              <c:numCache>
                <c:formatCode>General</c:formatCode>
                <c:ptCount val="1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6.9999999999999993E-2</c:v>
                </c:pt>
                <c:pt idx="4">
                  <c:v>0.09</c:v>
                </c:pt>
                <c:pt idx="5">
                  <c:v>0.11</c:v>
                </c:pt>
                <c:pt idx="6">
                  <c:v>0.13</c:v>
                </c:pt>
                <c:pt idx="7">
                  <c:v>0.15000000000000002</c:v>
                </c:pt>
                <c:pt idx="8">
                  <c:v>0.17</c:v>
                </c:pt>
                <c:pt idx="9">
                  <c:v>0.19</c:v>
                </c:pt>
                <c:pt idx="10">
                  <c:v>0.21000000000000002</c:v>
                </c:pt>
                <c:pt idx="11">
                  <c:v>0.23</c:v>
                </c:pt>
                <c:pt idx="12">
                  <c:v>0.25</c:v>
                </c:pt>
                <c:pt idx="13">
                  <c:v>0.27</c:v>
                </c:pt>
                <c:pt idx="14">
                  <c:v>0.29000000000000004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</c:v>
                </c:pt>
                <c:pt idx="19">
                  <c:v>0.39</c:v>
                </c:pt>
                <c:pt idx="20">
                  <c:v>0.41000000000000003</c:v>
                </c:pt>
                <c:pt idx="21">
                  <c:v>0.43</c:v>
                </c:pt>
                <c:pt idx="22">
                  <c:v>0.45</c:v>
                </c:pt>
                <c:pt idx="23">
                  <c:v>0.47000000000000003</c:v>
                </c:pt>
                <c:pt idx="24">
                  <c:v>0.49</c:v>
                </c:pt>
                <c:pt idx="25">
                  <c:v>0.51</c:v>
                </c:pt>
                <c:pt idx="26">
                  <c:v>0.53</c:v>
                </c:pt>
                <c:pt idx="27">
                  <c:v>0.55000000000000004</c:v>
                </c:pt>
                <c:pt idx="28">
                  <c:v>0.57000000000000006</c:v>
                </c:pt>
                <c:pt idx="29">
                  <c:v>0.59</c:v>
                </c:pt>
                <c:pt idx="30">
                  <c:v>0.61</c:v>
                </c:pt>
                <c:pt idx="31">
                  <c:v>0.63</c:v>
                </c:pt>
                <c:pt idx="32">
                  <c:v>0.65</c:v>
                </c:pt>
                <c:pt idx="33">
                  <c:v>0.67</c:v>
                </c:pt>
                <c:pt idx="34">
                  <c:v>0.69000000000000006</c:v>
                </c:pt>
                <c:pt idx="35">
                  <c:v>0.71000000000000008</c:v>
                </c:pt>
                <c:pt idx="36">
                  <c:v>0.73</c:v>
                </c:pt>
                <c:pt idx="37">
                  <c:v>0.75</c:v>
                </c:pt>
                <c:pt idx="38">
                  <c:v>0.77</c:v>
                </c:pt>
                <c:pt idx="39">
                  <c:v>0.79</c:v>
                </c:pt>
                <c:pt idx="40">
                  <c:v>0.81</c:v>
                </c:pt>
                <c:pt idx="41">
                  <c:v>0.83000000000000007</c:v>
                </c:pt>
                <c:pt idx="42">
                  <c:v>0.85</c:v>
                </c:pt>
                <c:pt idx="43">
                  <c:v>0.87</c:v>
                </c:pt>
                <c:pt idx="44">
                  <c:v>0.89</c:v>
                </c:pt>
                <c:pt idx="45">
                  <c:v>0.91</c:v>
                </c:pt>
                <c:pt idx="46">
                  <c:v>0.93</c:v>
                </c:pt>
                <c:pt idx="47">
                  <c:v>0.95000000000000007</c:v>
                </c:pt>
                <c:pt idx="48">
                  <c:v>0.97</c:v>
                </c:pt>
                <c:pt idx="49">
                  <c:v>0.99</c:v>
                </c:pt>
                <c:pt idx="50">
                  <c:v>1.01</c:v>
                </c:pt>
                <c:pt idx="51">
                  <c:v>1.03</c:v>
                </c:pt>
                <c:pt idx="52">
                  <c:v>1.05</c:v>
                </c:pt>
                <c:pt idx="53">
                  <c:v>1.07</c:v>
                </c:pt>
                <c:pt idx="54">
                  <c:v>1.0900000000000001</c:v>
                </c:pt>
                <c:pt idx="55">
                  <c:v>1.1100000000000001</c:v>
                </c:pt>
                <c:pt idx="56">
                  <c:v>1.1300000000000001</c:v>
                </c:pt>
                <c:pt idx="57">
                  <c:v>1.1500000000000001</c:v>
                </c:pt>
                <c:pt idx="58">
                  <c:v>1.17</c:v>
                </c:pt>
                <c:pt idx="59">
                  <c:v>1.19</c:v>
                </c:pt>
                <c:pt idx="60">
                  <c:v>1.21</c:v>
                </c:pt>
                <c:pt idx="61">
                  <c:v>1.23</c:v>
                </c:pt>
                <c:pt idx="62">
                  <c:v>1.25</c:v>
                </c:pt>
                <c:pt idx="63">
                  <c:v>1.27</c:v>
                </c:pt>
                <c:pt idx="64">
                  <c:v>1.29</c:v>
                </c:pt>
                <c:pt idx="65">
                  <c:v>1.31</c:v>
                </c:pt>
                <c:pt idx="66">
                  <c:v>1.33</c:v>
                </c:pt>
                <c:pt idx="67">
                  <c:v>1.35</c:v>
                </c:pt>
                <c:pt idx="68">
                  <c:v>1.37</c:v>
                </c:pt>
                <c:pt idx="69">
                  <c:v>1.3900000000000001</c:v>
                </c:pt>
                <c:pt idx="70">
                  <c:v>1.4100000000000001</c:v>
                </c:pt>
                <c:pt idx="71">
                  <c:v>1.43</c:v>
                </c:pt>
                <c:pt idx="72">
                  <c:v>1.45</c:v>
                </c:pt>
                <c:pt idx="73">
                  <c:v>1.47</c:v>
                </c:pt>
                <c:pt idx="74">
                  <c:v>1.49</c:v>
                </c:pt>
                <c:pt idx="75">
                  <c:v>1.51</c:v>
                </c:pt>
                <c:pt idx="76">
                  <c:v>1.53</c:v>
                </c:pt>
                <c:pt idx="77">
                  <c:v>1.55</c:v>
                </c:pt>
                <c:pt idx="78">
                  <c:v>1.57</c:v>
                </c:pt>
                <c:pt idx="79">
                  <c:v>1.59</c:v>
                </c:pt>
                <c:pt idx="80">
                  <c:v>1.61</c:v>
                </c:pt>
                <c:pt idx="81">
                  <c:v>1.6300000000000001</c:v>
                </c:pt>
                <c:pt idx="82">
                  <c:v>1.6500000000000001</c:v>
                </c:pt>
                <c:pt idx="83">
                  <c:v>1.6700000000000002</c:v>
                </c:pt>
                <c:pt idx="84">
                  <c:v>1.69</c:v>
                </c:pt>
                <c:pt idx="85">
                  <c:v>1.71</c:v>
                </c:pt>
                <c:pt idx="86">
                  <c:v>1.73</c:v>
                </c:pt>
                <c:pt idx="87">
                  <c:v>1.75</c:v>
                </c:pt>
                <c:pt idx="88">
                  <c:v>1.77</c:v>
                </c:pt>
                <c:pt idx="89">
                  <c:v>1.79</c:v>
                </c:pt>
                <c:pt idx="90">
                  <c:v>1.81</c:v>
                </c:pt>
                <c:pt idx="91">
                  <c:v>1.83</c:v>
                </c:pt>
                <c:pt idx="92">
                  <c:v>1.85</c:v>
                </c:pt>
                <c:pt idx="93">
                  <c:v>1.87</c:v>
                </c:pt>
                <c:pt idx="94">
                  <c:v>1.8900000000000001</c:v>
                </c:pt>
                <c:pt idx="95">
                  <c:v>1.9100000000000001</c:v>
                </c:pt>
                <c:pt idx="96">
                  <c:v>1.93</c:v>
                </c:pt>
                <c:pt idx="97">
                  <c:v>1.95</c:v>
                </c:pt>
                <c:pt idx="98">
                  <c:v>1.97</c:v>
                </c:pt>
                <c:pt idx="99">
                  <c:v>1.99</c:v>
                </c:pt>
              </c:numCache>
            </c:numRef>
          </c:cat>
          <c:val>
            <c:numRef>
              <c:f>资产波动率!$C$17:$C$116</c:f>
              <c:numCache>
                <c:formatCode>General</c:formatCode>
                <c:ptCount val="100"/>
                <c:pt idx="0">
                  <c:v>3.0922945557470882E-2</c:v>
                </c:pt>
                <c:pt idx="1">
                  <c:v>0.23354786311841025</c:v>
                </c:pt>
                <c:pt idx="2">
                  <c:v>0.45645019484105376</c:v>
                </c:pt>
                <c:pt idx="3">
                  <c:v>0.68250519480824323</c:v>
                </c:pt>
                <c:pt idx="4">
                  <c:v>0.90961746623384698</c:v>
                </c:pt>
                <c:pt idx="5">
                  <c:v>1.1372066277529953</c:v>
                </c:pt>
                <c:pt idx="6">
                  <c:v>1.3650472476778432</c:v>
                </c:pt>
                <c:pt idx="7">
                  <c:v>1.5930328838606442</c:v>
                </c:pt>
                <c:pt idx="8">
                  <c:v>1.8211062293584561</c:v>
                </c:pt>
                <c:pt idx="9">
                  <c:v>2.0492332904283543</c:v>
                </c:pt>
                <c:pt idx="10">
                  <c:v>2.2773922980588281</c:v>
                </c:pt>
                <c:pt idx="11">
                  <c:v>2.5055683980224543</c:v>
                </c:pt>
                <c:pt idx="12">
                  <c:v>2.7337508872948177</c:v>
                </c:pt>
                <c:pt idx="13">
                  <c:v>2.9619316777799654</c:v>
                </c:pt>
                <c:pt idx="14">
                  <c:v>3.1901043953300245</c:v>
                </c:pt>
                <c:pt idx="15">
                  <c:v>3.4182638273494987</c:v>
                </c:pt>
                <c:pt idx="16">
                  <c:v>3.6464055711881755</c:v>
                </c:pt>
                <c:pt idx="17">
                  <c:v>3.8745258030481935</c:v>
                </c:pt>
                <c:pt idx="18">
                  <c:v>4.1026211218267434</c:v>
                </c:pt>
                <c:pt idx="19">
                  <c:v>4.3306884410045967</c:v>
                </c:pt>
                <c:pt idx="20">
                  <c:v>4.5587249121811126</c:v>
                </c:pt>
                <c:pt idx="21">
                  <c:v>4.7867278699549871</c:v>
                </c:pt>
                <c:pt idx="22">
                  <c:v>5.0146947915122837</c:v>
                </c:pt>
                <c:pt idx="23">
                  <c:v>5.2426232665414858</c:v>
                </c:pt>
                <c:pt idx="24">
                  <c:v>5.4705109745262277</c:v>
                </c:pt>
                <c:pt idx="25">
                  <c:v>5.6983556673904872</c:v>
                </c:pt>
                <c:pt idx="26">
                  <c:v>5.9261551560827996</c:v>
                </c:pt>
                <c:pt idx="27">
                  <c:v>6.1539073000971243</c:v>
                </c:pt>
                <c:pt idx="28">
                  <c:v>6.3816099992089619</c:v>
                </c:pt>
                <c:pt idx="29">
                  <c:v>6.6092611869013638</c:v>
                </c:pt>
                <c:pt idx="30">
                  <c:v>6.8368588250928823</c:v>
                </c:pt>
                <c:pt idx="31">
                  <c:v>7.0644008998782439</c:v>
                </c:pt>
                <c:pt idx="32">
                  <c:v>7.2918854180635861</c:v>
                </c:pt>
                <c:pt idx="33">
                  <c:v>7.5193104043303123</c:v>
                </c:pt>
                <c:pt idx="34">
                  <c:v>7.7466738988999282</c:v>
                </c:pt>
                <c:pt idx="35">
                  <c:v>7.97397395560116</c:v>
                </c:pt>
                <c:pt idx="36">
                  <c:v>8.2012086402621094</c:v>
                </c:pt>
                <c:pt idx="37">
                  <c:v>8.4283760293668522</c:v>
                </c:pt>
                <c:pt idx="38">
                  <c:v>8.6554742089283181</c:v>
                </c:pt>
                <c:pt idx="39">
                  <c:v>8.8825012735391695</c:v>
                </c:pt>
                <c:pt idx="40">
                  <c:v>9.1094553255698401</c:v>
                </c:pt>
                <c:pt idx="41">
                  <c:v>9.3363344744889858</c:v>
                </c:pt>
                <c:pt idx="42">
                  <c:v>9.5631368362861053</c:v>
                </c:pt>
                <c:pt idx="43">
                  <c:v>9.7898605329798727</c:v>
                </c:pt>
                <c:pt idx="44">
                  <c:v>10.016503692198711</c:v>
                </c:pt>
                <c:pt idx="45">
                  <c:v>10.243064446822572</c:v>
                </c:pt>
                <c:pt idx="46">
                  <c:v>10.469540934676395</c:v>
                </c:pt>
                <c:pt idx="47">
                  <c:v>10.6959312982681</c:v>
                </c:pt>
                <c:pt idx="48">
                  <c:v>10.922233684564119</c:v>
                </c:pt>
                <c:pt idx="49">
                  <c:v>11.148446244797647</c:v>
                </c:pt>
                <c:pt idx="50">
                  <c:v>11.374567134304684</c:v>
                </c:pt>
                <c:pt idx="51">
                  <c:v>11.600594512384312</c:v>
                </c:pt>
                <c:pt idx="52">
                  <c:v>11.826526542179849</c:v>
                </c:pt>
                <c:pt idx="53">
                  <c:v>12.052361390578149</c:v>
                </c:pt>
                <c:pt idx="54">
                  <c:v>12.278097228124778</c:v>
                </c:pt>
                <c:pt idx="55">
                  <c:v>12.503732228952991</c:v>
                </c:pt>
                <c:pt idx="56">
                  <c:v>12.729264570724645</c:v>
                </c:pt>
                <c:pt idx="57">
                  <c:v>12.954692434581943</c:v>
                </c:pt>
                <c:pt idx="58">
                  <c:v>13.18001400510834</c:v>
                </c:pt>
                <c:pt idx="59">
                  <c:v>13.405227470297696</c:v>
                </c:pt>
                <c:pt idx="60">
                  <c:v>13.630331021530608</c:v>
                </c:pt>
                <c:pt idx="61">
                  <c:v>13.855322853557361</c:v>
                </c:pt>
                <c:pt idx="62">
                  <c:v>14.080201164486226</c:v>
                </c:pt>
                <c:pt idx="63">
                  <c:v>14.304964155777085</c:v>
                </c:pt>
                <c:pt idx="64">
                  <c:v>14.529610032239354</c:v>
                </c:pt>
                <c:pt idx="65">
                  <c:v>14.754137002034014</c:v>
                </c:pt>
                <c:pt idx="66">
                  <c:v>14.978543276679041</c:v>
                </c:pt>
                <c:pt idx="67">
                  <c:v>15.202827071058167</c:v>
                </c:pt>
                <c:pt idx="68">
                  <c:v>15.426986603432312</c:v>
                </c:pt>
                <c:pt idx="69">
                  <c:v>15.651020095453696</c:v>
                </c:pt>
                <c:pt idx="70">
                  <c:v>15.874925772182138</c:v>
                </c:pt>
                <c:pt idx="71">
                  <c:v>16.098701862103376</c:v>
                </c:pt>
                <c:pt idx="72">
                  <c:v>16.322346597149249</c:v>
                </c:pt>
                <c:pt idx="73">
                  <c:v>16.54585821271948</c:v>
                </c:pt>
                <c:pt idx="74">
                  <c:v>16.769234947704931</c:v>
                </c:pt>
                <c:pt idx="75">
                  <c:v>16.992475044512247</c:v>
                </c:pt>
                <c:pt idx="76">
                  <c:v>17.215576749089514</c:v>
                </c:pt>
                <c:pt idx="77">
                  <c:v>17.438538310953192</c:v>
                </c:pt>
                <c:pt idx="78">
                  <c:v>17.661357983215851</c:v>
                </c:pt>
                <c:pt idx="79">
                  <c:v>17.884034022614784</c:v>
                </c:pt>
                <c:pt idx="80">
                  <c:v>18.10656468954145</c:v>
                </c:pt>
                <c:pt idx="81">
                  <c:v>18.328948248071569</c:v>
                </c:pt>
                <c:pt idx="82">
                  <c:v>18.551182965995828</c:v>
                </c:pt>
                <c:pt idx="83">
                  <c:v>18.773267114851109</c:v>
                </c:pt>
                <c:pt idx="84">
                  <c:v>18.995198969952327</c:v>
                </c:pt>
                <c:pt idx="85">
                  <c:v>19.216976810424562</c:v>
                </c:pt>
                <c:pt idx="86">
                  <c:v>19.438598919235659</c:v>
                </c:pt>
                <c:pt idx="87">
                  <c:v>19.660063583229174</c:v>
                </c:pt>
                <c:pt idx="88">
                  <c:v>19.881369093157623</c:v>
                </c:pt>
                <c:pt idx="89">
                  <c:v>20.102513743715924</c:v>
                </c:pt>
                <c:pt idx="90">
                  <c:v>20.323495833575208</c:v>
                </c:pt>
                <c:pt idx="91">
                  <c:v>20.544313665416716</c:v>
                </c:pt>
                <c:pt idx="92">
                  <c:v>20.764965545965929</c:v>
                </c:pt>
                <c:pt idx="93">
                  <c:v>20.985449786026805</c:v>
                </c:pt>
                <c:pt idx="94">
                  <c:v>21.20576470051622</c:v>
                </c:pt>
                <c:pt idx="95">
                  <c:v>21.425908608498389</c:v>
                </c:pt>
                <c:pt idx="96">
                  <c:v>21.645879833219439</c:v>
                </c:pt>
                <c:pt idx="97">
                  <c:v>21.865676702142096</c:v>
                </c:pt>
                <c:pt idx="98">
                  <c:v>22.085297546980257</c:v>
                </c:pt>
                <c:pt idx="99">
                  <c:v>22.304740703733813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97-4C14-BFAD-E887B1D58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524560"/>
        <c:axId val="1897519984"/>
      </c:lineChart>
      <c:catAx>
        <c:axId val="189752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519984"/>
        <c:crosses val="autoZero"/>
        <c:auto val="1"/>
        <c:lblAlgn val="ctr"/>
        <c:lblOffset val="100"/>
        <c:noMultiLvlLbl val="0"/>
      </c:catAx>
      <c:valAx>
        <c:axId val="189751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52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无风险利率对期权价格的影响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无风险利率!$B$16</c:f>
              <c:strCache>
                <c:ptCount val="1"/>
                <c:pt idx="0">
                  <c:v>看涨期权B-S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无风险利率!$A$17:$A$116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0.36000000000000004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0.48000000000000004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0.58000000000000007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0.71000000000000008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0.84000000000000008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0.96000000000000008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无风险利率!$B$17:$B$116</c:f>
              <c:numCache>
                <c:formatCode>General</c:formatCode>
                <c:ptCount val="100"/>
                <c:pt idx="0">
                  <c:v>2.898810513716974</c:v>
                </c:pt>
                <c:pt idx="1">
                  <c:v>2.9392455012418779</c:v>
                </c:pt>
                <c:pt idx="2">
                  <c:v>2.9800224824696073</c:v>
                </c:pt>
                <c:pt idx="3">
                  <c:v>3.0211408989744513</c:v>
                </c:pt>
                <c:pt idx="4">
                  <c:v>3.0626001437287442</c:v>
                </c:pt>
                <c:pt idx="5">
                  <c:v>3.1043995612712152</c:v>
                </c:pt>
                <c:pt idx="6">
                  <c:v>3.1465384478946206</c:v>
                </c:pt>
                <c:pt idx="7">
                  <c:v>3.1890160518520929</c:v>
                </c:pt>
                <c:pt idx="8">
                  <c:v>3.231831573582447</c:v>
                </c:pt>
                <c:pt idx="9">
                  <c:v>3.2749841659540806</c:v>
                </c:pt>
                <c:pt idx="10">
                  <c:v>3.3184729345273425</c:v>
                </c:pt>
                <c:pt idx="11">
                  <c:v>3.362296937835346</c:v>
                </c:pt>
                <c:pt idx="12">
                  <c:v>3.4064551876828375</c:v>
                </c:pt>
                <c:pt idx="13">
                  <c:v>3.4509466494632832</c:v>
                </c:pt>
                <c:pt idx="14">
                  <c:v>3.4957702424933927</c:v>
                </c:pt>
                <c:pt idx="15">
                  <c:v>3.5409248403656122</c:v>
                </c:pt>
                <c:pt idx="16">
                  <c:v>3.5864092713177058</c:v>
                </c:pt>
                <c:pt idx="17">
                  <c:v>3.6322223186196609</c:v>
                </c:pt>
                <c:pt idx="18">
                  <c:v>3.67836272097734</c:v>
                </c:pt>
                <c:pt idx="19">
                  <c:v>3.7248291729529512</c:v>
                </c:pt>
                <c:pt idx="20">
                  <c:v>3.7716203254016989</c:v>
                </c:pt>
                <c:pt idx="21">
                  <c:v>3.8187347859247893</c:v>
                </c:pt>
                <c:pt idx="22">
                  <c:v>3.8661711193380697</c:v>
                </c:pt>
                <c:pt idx="23">
                  <c:v>3.9139278481563338</c:v>
                </c:pt>
                <c:pt idx="24">
                  <c:v>3.962003453092791</c:v>
                </c:pt>
                <c:pt idx="25">
                  <c:v>4.0103963735735562</c:v>
                </c:pt>
                <c:pt idx="26">
                  <c:v>4.0591050082666555</c:v>
                </c:pt>
                <c:pt idx="27">
                  <c:v>4.108127715625443</c:v>
                </c:pt>
                <c:pt idx="28">
                  <c:v>4.1574628144458572</c:v>
                </c:pt>
                <c:pt idx="29">
                  <c:v>4.207108584437357</c:v>
                </c:pt>
                <c:pt idx="30">
                  <c:v>4.2570632668071298</c:v>
                </c:pt>
                <c:pt idx="31">
                  <c:v>4.3073250648571459</c:v>
                </c:pt>
                <c:pt idx="32">
                  <c:v>4.357892144593805</c:v>
                </c:pt>
                <c:pt idx="33">
                  <c:v>4.408762635349774</c:v>
                </c:pt>
                <c:pt idx="34">
                  <c:v>4.4599346304174858</c:v>
                </c:pt>
                <c:pt idx="35">
                  <c:v>4.5114061876942557</c:v>
                </c:pt>
                <c:pt idx="36">
                  <c:v>4.5631753303382467</c:v>
                </c:pt>
                <c:pt idx="37">
                  <c:v>4.6152400474350515</c:v>
                </c:pt>
                <c:pt idx="38">
                  <c:v>4.6675982946746402</c:v>
                </c:pt>
                <c:pt idx="39">
                  <c:v>4.7202479950380223</c:v>
                </c:pt>
                <c:pt idx="40">
                  <c:v>4.7731870394933651</c:v>
                </c:pt>
                <c:pt idx="41">
                  <c:v>4.8264132877010439</c:v>
                </c:pt>
                <c:pt idx="42">
                  <c:v>4.8799245687272617</c:v>
                </c:pt>
                <c:pt idx="43">
                  <c:v>4.9337186817659955</c:v>
                </c:pt>
                <c:pt idx="44">
                  <c:v>4.9877933968685113</c:v>
                </c:pt>
                <c:pt idx="45">
                  <c:v>5.0421464556801396</c:v>
                </c:pt>
                <c:pt idx="46">
                  <c:v>5.0967755721842138</c:v>
                </c:pt>
                <c:pt idx="47">
                  <c:v>5.1516784334521475</c:v>
                </c:pt>
                <c:pt idx="48">
                  <c:v>5.2068527003996934</c:v>
                </c:pt>
                <c:pt idx="49">
                  <c:v>5.2622960085487165</c:v>
                </c:pt>
                <c:pt idx="50">
                  <c:v>5.3180059687942247</c:v>
                </c:pt>
                <c:pt idx="51">
                  <c:v>5.3739801681760753</c:v>
                </c:pt>
                <c:pt idx="52">
                  <c:v>5.4302161706548446</c:v>
                </c:pt>
                <c:pt idx="53">
                  <c:v>5.4867115178916634</c:v>
                </c:pt>
                <c:pt idx="54">
                  <c:v>5.5434637300316183</c:v>
                </c:pt>
                <c:pt idx="55">
                  <c:v>5.6004703064896972</c:v>
                </c:pt>
                <c:pt idx="56">
                  <c:v>5.6577287267397196</c:v>
                </c:pt>
                <c:pt idx="57">
                  <c:v>5.7152364511052554</c:v>
                </c:pt>
                <c:pt idx="58">
                  <c:v>5.7729909215521218</c:v>
                </c:pt>
                <c:pt idx="59">
                  <c:v>5.8309895624821735</c:v>
                </c:pt>
                <c:pt idx="60">
                  <c:v>5.889229781528158</c:v>
                </c:pt>
                <c:pt idx="61">
                  <c:v>5.9477089703486286</c:v>
                </c:pt>
                <c:pt idx="62">
                  <c:v>6.0064245054231691</c:v>
                </c:pt>
                <c:pt idx="63">
                  <c:v>6.0653737488469801</c:v>
                </c:pt>
                <c:pt idx="64">
                  <c:v>6.1245540491248818</c:v>
                </c:pt>
                <c:pt idx="65">
                  <c:v>6.1839627419637111</c:v>
                </c:pt>
                <c:pt idx="66">
                  <c:v>6.2435971510635682</c:v>
                </c:pt>
                <c:pt idx="67">
                  <c:v>6.3034545889065896</c:v>
                </c:pt>
                <c:pt idx="68">
                  <c:v>6.3635323575434484</c:v>
                </c:pt>
                <c:pt idx="69">
                  <c:v>6.4238277493773097</c:v>
                </c:pt>
                <c:pt idx="70">
                  <c:v>6.4843380479439645</c:v>
                </c:pt>
                <c:pt idx="71">
                  <c:v>6.5450605286890777</c:v>
                </c:pt>
                <c:pt idx="72">
                  <c:v>6.6059924597409463</c:v>
                </c:pt>
                <c:pt idx="73">
                  <c:v>6.6671311026792779</c:v>
                </c:pt>
                <c:pt idx="74">
                  <c:v>6.7284737132990955</c:v>
                </c:pt>
                <c:pt idx="75">
                  <c:v>6.7900175423697675</c:v>
                </c:pt>
                <c:pt idx="76">
                  <c:v>6.8517598363884531</c:v>
                </c:pt>
                <c:pt idx="77">
                  <c:v>6.9136978383280763</c:v>
                </c:pt>
                <c:pt idx="78">
                  <c:v>6.9758287883791041</c:v>
                </c:pt>
                <c:pt idx="79">
                  <c:v>7.0381499246849302</c:v>
                </c:pt>
                <c:pt idx="80">
                  <c:v>7.1006584840706779</c:v>
                </c:pt>
                <c:pt idx="81">
                  <c:v>7.1633517027648708</c:v>
                </c:pt>
                <c:pt idx="82">
                  <c:v>7.2262268171140107</c:v>
                </c:pt>
                <c:pt idx="83">
                  <c:v>7.289281064289213</c:v>
                </c:pt>
                <c:pt idx="84">
                  <c:v>7.3525116829853943</c:v>
                </c:pt>
                <c:pt idx="85">
                  <c:v>7.4159159141118494</c:v>
                </c:pt>
                <c:pt idx="86">
                  <c:v>7.479491001474841</c:v>
                </c:pt>
                <c:pt idx="87">
                  <c:v>7.5432341924510951</c:v>
                </c:pt>
                <c:pt idx="88">
                  <c:v>7.6071427386526125</c:v>
                </c:pt>
                <c:pt idx="89">
                  <c:v>7.6712138965822589</c:v>
                </c:pt>
                <c:pt idx="90">
                  <c:v>7.7354449282798328</c:v>
                </c:pt>
                <c:pt idx="91">
                  <c:v>7.7998331019585265</c:v>
                </c:pt>
                <c:pt idx="92">
                  <c:v>7.8643756926316399</c:v>
                </c:pt>
                <c:pt idx="93">
                  <c:v>7.9290699827290325</c:v>
                </c:pt>
                <c:pt idx="94">
                  <c:v>7.9939132627034724</c:v>
                </c:pt>
                <c:pt idx="95">
                  <c:v>8.0589028316263978</c:v>
                </c:pt>
                <c:pt idx="96">
                  <c:v>8.1240359977731202</c:v>
                </c:pt>
                <c:pt idx="97">
                  <c:v>8.1893100791971563</c:v>
                </c:pt>
                <c:pt idx="98">
                  <c:v>8.254722404293716</c:v>
                </c:pt>
                <c:pt idx="99">
                  <c:v>8.320270312351866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C-4533-B6C2-2E6CC7FBAE24}"/>
            </c:ext>
          </c:extLst>
        </c:ser>
        <c:ser>
          <c:idx val="1"/>
          <c:order val="1"/>
          <c:tx>
            <c:strRef>
              <c:f>无风险利率!$C$16</c:f>
              <c:strCache>
                <c:ptCount val="1"/>
                <c:pt idx="0">
                  <c:v>看跌期权B-S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无风险利率!$A$17:$A$116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0.36000000000000004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0.48000000000000004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0.58000000000000007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0.71000000000000008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0.84000000000000008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0.96000000000000008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无风险利率!$C$17:$C$116</c:f>
              <c:numCache>
                <c:formatCode>General</c:formatCode>
                <c:ptCount val="100"/>
                <c:pt idx="0">
                  <c:v>2.8166525010870203</c:v>
                </c:pt>
                <c:pt idx="1">
                  <c:v>2.7749969753724031</c:v>
                </c:pt>
                <c:pt idx="2">
                  <c:v>2.7337508872948177</c:v>
                </c:pt>
                <c:pt idx="3">
                  <c:v>2.6929136230179935</c:v>
                </c:pt>
                <c:pt idx="4">
                  <c:v>2.6524845201491729</c:v>
                </c:pt>
                <c:pt idx="5">
                  <c:v>2.6124628679075315</c:v>
                </c:pt>
                <c:pt idx="6">
                  <c:v>2.5728479073116617</c:v>
                </c:pt>
                <c:pt idx="7">
                  <c:v>2.5336388313859786</c:v>
                </c:pt>
                <c:pt idx="8">
                  <c:v>2.4948347853859687</c:v>
                </c:pt>
                <c:pt idx="9">
                  <c:v>2.4564348670419918</c:v>
                </c:pt>
                <c:pt idx="10">
                  <c:v>2.4184381268217052</c:v>
                </c:pt>
                <c:pt idx="11">
                  <c:v>2.3808435682107429</c:v>
                </c:pt>
                <c:pt idx="12">
                  <c:v>2.3436501480116831</c:v>
                </c:pt>
                <c:pt idx="13">
                  <c:v>2.3068567766609149</c:v>
                </c:pt>
                <c:pt idx="14">
                  <c:v>2.2704623185632897</c:v>
                </c:pt>
                <c:pt idx="15">
                  <c:v>2.2344655924444652</c:v>
                </c:pt>
                <c:pt idx="16">
                  <c:v>2.1988653717205437</c:v>
                </c:pt>
                <c:pt idx="17">
                  <c:v>2.1636603848848353</c:v>
                </c:pt>
                <c:pt idx="18">
                  <c:v>2.1288493159115731</c:v>
                </c:pt>
                <c:pt idx="19">
                  <c:v>2.0944308046762785</c:v>
                </c:pt>
                <c:pt idx="20">
                  <c:v>2.0604034473924031</c:v>
                </c:pt>
                <c:pt idx="21">
                  <c:v>2.0267657970643285</c:v>
                </c:pt>
                <c:pt idx="22">
                  <c:v>1.9935163639558624</c:v>
                </c:pt>
                <c:pt idx="23">
                  <c:v>1.9606536160746373</c:v>
                </c:pt>
                <c:pt idx="24">
                  <c:v>1.928175979671451</c:v>
                </c:pt>
                <c:pt idx="25">
                  <c:v>1.896081839754757</c:v>
                </c:pt>
                <c:pt idx="26">
                  <c:v>1.8643695406196485</c:v>
                </c:pt>
                <c:pt idx="27">
                  <c:v>1.8330373863912044</c:v>
                </c:pt>
                <c:pt idx="28">
                  <c:v>1.8020836415817101</c:v>
                </c:pt>
                <c:pt idx="29">
                  <c:v>1.7715065316616005</c:v>
                </c:pt>
                <c:pt idx="30">
                  <c:v>1.7413042436435688</c:v>
                </c:pt>
                <c:pt idx="31">
                  <c:v>1.7114749266796352</c:v>
                </c:pt>
                <c:pt idx="32">
                  <c:v>1.6820166926707287</c:v>
                </c:pt>
                <c:pt idx="33">
                  <c:v>1.652927616888519</c:v>
                </c:pt>
                <c:pt idx="34">
                  <c:v>1.6242057386088149</c:v>
                </c:pt>
                <c:pt idx="35">
                  <c:v>1.595849061756752</c:v>
                </c:pt>
                <c:pt idx="36">
                  <c:v>1.5678555555625522</c:v>
                </c:pt>
                <c:pt idx="37">
                  <c:v>1.5402231552282721</c:v>
                </c:pt>
                <c:pt idx="38">
                  <c:v>1.5129497626046025</c:v>
                </c:pt>
                <c:pt idx="39">
                  <c:v>1.4860332468774722</c:v>
                </c:pt>
                <c:pt idx="40">
                  <c:v>1.4594714452641497</c:v>
                </c:pt>
                <c:pt idx="41">
                  <c:v>1.4332621637183003</c:v>
                </c:pt>
                <c:pt idx="42">
                  <c:v>1.4074031776435802</c:v>
                </c:pt>
                <c:pt idx="43">
                  <c:v>1.3818922326154421</c:v>
                </c:pt>
                <c:pt idx="44">
                  <c:v>1.3567270451106914</c:v>
                </c:pt>
                <c:pt idx="45">
                  <c:v>1.331905303244266</c:v>
                </c:pt>
                <c:pt idx="46">
                  <c:v>1.3074246675130361</c:v>
                </c:pt>
                <c:pt idx="47">
                  <c:v>1.2832827715458919</c:v>
                </c:pt>
                <c:pt idx="48">
                  <c:v>1.2594772228599673</c:v>
                </c:pt>
                <c:pt idx="49">
                  <c:v>1.2360056036224378</c:v>
                </c:pt>
                <c:pt idx="50">
                  <c:v>1.212865471417409</c:v>
                </c:pt>
                <c:pt idx="51">
                  <c:v>1.1900543600176405</c:v>
                </c:pt>
                <c:pt idx="52">
                  <c:v>1.1675697801603633</c:v>
                </c:pt>
                <c:pt idx="53">
                  <c:v>1.1454092203271422</c:v>
                </c:pt>
                <c:pt idx="54">
                  <c:v>1.123570147527083</c:v>
                </c:pt>
                <c:pt idx="55">
                  <c:v>1.1020500080829443</c:v>
                </c:pt>
                <c:pt idx="56">
                  <c:v>1.0808462284199543</c:v>
                </c:pt>
                <c:pt idx="57">
                  <c:v>1.0599562158565945</c:v>
                </c:pt>
                <c:pt idx="58">
                  <c:v>1.0393773593971396</c:v>
                </c:pt>
                <c:pt idx="59">
                  <c:v>1.0191070305255145</c:v>
                </c:pt>
                <c:pt idx="60">
                  <c:v>0.99914258399989109</c:v>
                </c:pt>
                <c:pt idx="61">
                  <c:v>0.97948135864779218</c:v>
                </c:pt>
                <c:pt idx="62">
                  <c:v>0.96012067816110047</c:v>
                </c:pt>
                <c:pt idx="63">
                  <c:v>0.94105785189072577</c:v>
                </c:pt>
                <c:pt idx="64">
                  <c:v>0.92229017564048377</c:v>
                </c:pt>
                <c:pt idx="65">
                  <c:v>0.90381493245960698</c:v>
                </c:pt>
                <c:pt idx="66">
                  <c:v>0.8856293934337387</c:v>
                </c:pt>
                <c:pt idx="67">
                  <c:v>0.86773081847383438</c:v>
                </c:pt>
                <c:pt idx="68">
                  <c:v>0.85011645710261519</c:v>
                </c:pt>
                <c:pt idx="69">
                  <c:v>0.83278354923836062</c:v>
                </c:pt>
                <c:pt idx="70">
                  <c:v>0.81572932597517678</c:v>
                </c:pt>
                <c:pt idx="71">
                  <c:v>0.79895101036007787</c:v>
                </c:pt>
                <c:pt idx="72">
                  <c:v>0.7824458181658116</c:v>
                </c:pt>
                <c:pt idx="73">
                  <c:v>0.7662109586594994</c:v>
                </c:pt>
                <c:pt idx="74">
                  <c:v>0.75024363536659777</c:v>
                </c:pt>
                <c:pt idx="75">
                  <c:v>0.73454104682978993</c:v>
                </c:pt>
                <c:pt idx="76">
                  <c:v>0.71910038736255188</c:v>
                </c:pt>
                <c:pt idx="77">
                  <c:v>0.70391884779693115</c:v>
                </c:pt>
                <c:pt idx="78">
                  <c:v>0.68899361622535338</c:v>
                </c:pt>
                <c:pt idx="79">
                  <c:v>0.67432187873600569</c:v>
                </c:pt>
                <c:pt idx="80">
                  <c:v>0.65990082014154794</c:v>
                </c:pt>
                <c:pt idx="81">
                  <c:v>0.64572762470080747</c:v>
                </c:pt>
                <c:pt idx="82">
                  <c:v>0.63179947683322268</c:v>
                </c:pt>
                <c:pt idx="83">
                  <c:v>0.61811356182559152</c:v>
                </c:pt>
                <c:pt idx="84">
                  <c:v>0.60466706653106783</c:v>
                </c:pt>
                <c:pt idx="85">
                  <c:v>0.59145718005983206</c:v>
                </c:pt>
                <c:pt idx="86">
                  <c:v>0.57848109446152129</c:v>
                </c:pt>
                <c:pt idx="87">
                  <c:v>0.56573600539883273</c:v>
                </c:pt>
                <c:pt idx="88">
                  <c:v>0.55321911281218838</c:v>
                </c:pt>
                <c:pt idx="89">
                  <c:v>0.54092762157532981</c:v>
                </c:pt>
                <c:pt idx="90">
                  <c:v>0.52885874214133288</c:v>
                </c:pt>
                <c:pt idx="91">
                  <c:v>0.51700969117908535</c:v>
                </c:pt>
                <c:pt idx="92">
                  <c:v>0.50537769219990203</c:v>
                </c:pt>
                <c:pt idx="93">
                  <c:v>0.49395997617399701</c:v>
                </c:pt>
                <c:pt idx="94">
                  <c:v>0.4827537821367347</c:v>
                </c:pt>
                <c:pt idx="95">
                  <c:v>0.47175635778441638</c:v>
                </c:pt>
                <c:pt idx="96">
                  <c:v>0.46096496005942456</c:v>
                </c:pt>
                <c:pt idx="97">
                  <c:v>0.4503768557245369</c:v>
                </c:pt>
                <c:pt idx="98">
                  <c:v>0.43998932192632978</c:v>
                </c:pt>
                <c:pt idx="99">
                  <c:v>0.42979964674734639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C-4533-B6C2-2E6CC7FBA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0606224"/>
        <c:axId val="1840608720"/>
      </c:lineChart>
      <c:catAx>
        <c:axId val="18406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0608720"/>
        <c:crosses val="autoZero"/>
        <c:auto val="1"/>
        <c:lblAlgn val="ctr"/>
        <c:lblOffset val="100"/>
        <c:noMultiLvlLbl val="0"/>
      </c:catAx>
      <c:valAx>
        <c:axId val="184060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060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红利率对期权价格的影响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红利率!$B$16</c:f>
              <c:strCache>
                <c:ptCount val="1"/>
                <c:pt idx="0">
                  <c:v>看涨期权B-S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红利率!$A$17:$A$116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0.36000000000000004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0.48000000000000004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0.58000000000000007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0.71000000000000008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0.84000000000000008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0.96000000000000008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红利率!$B$17:$B$116</c:f>
              <c:numCache>
                <c:formatCode>General</c:formatCode>
                <c:ptCount val="100"/>
                <c:pt idx="0">
                  <c:v>2.9368306755517324</c:v>
                </c:pt>
                <c:pt idx="1">
                  <c:v>2.894049260180438</c:v>
                </c:pt>
                <c:pt idx="2">
                  <c:v>2.8516778190761727</c:v>
                </c:pt>
                <c:pt idx="3">
                  <c:v>2.8097158860420635</c:v>
                </c:pt>
                <c:pt idx="4">
                  <c:v>2.7681629460550994</c:v>
                </c:pt>
                <c:pt idx="5">
                  <c:v>2.7270184353765643</c:v>
                </c:pt>
                <c:pt idx="6">
                  <c:v>2.6862817416819027</c:v>
                </c:pt>
                <c:pt idx="7">
                  <c:v>2.6459522042096353</c:v>
                </c:pt>
                <c:pt idx="8">
                  <c:v>2.6060291139293881</c:v>
                </c:pt>
                <c:pt idx="9">
                  <c:v>2.5665117137289002</c:v>
                </c:pt>
                <c:pt idx="10">
                  <c:v>2.5273991986199604</c:v>
                </c:pt>
                <c:pt idx="11">
                  <c:v>2.488690715963024</c:v>
                </c:pt>
                <c:pt idx="12">
                  <c:v>2.4503853657104955</c:v>
                </c:pt>
                <c:pt idx="13">
                  <c:v>2.4124822006684568</c:v>
                </c:pt>
                <c:pt idx="14">
                  <c:v>2.3749802267766924</c:v>
                </c:pt>
                <c:pt idx="15">
                  <c:v>2.3378784034068616</c:v>
                </c:pt>
                <c:pt idx="16">
                  <c:v>2.3011756436786328</c:v>
                </c:pt>
                <c:pt idx="17">
                  <c:v>2.264870814793511</c:v>
                </c:pt>
                <c:pt idx="18">
                  <c:v>2.2289627383863291</c:v>
                </c:pt>
                <c:pt idx="19">
                  <c:v>2.1934501908938557</c:v>
                </c:pt>
                <c:pt idx="20">
                  <c:v>2.1583319039408124</c:v>
                </c:pt>
                <c:pt idx="21">
                  <c:v>2.1236065647424098</c:v>
                </c:pt>
                <c:pt idx="22">
                  <c:v>2.08927281652376</c:v>
                </c:pt>
                <c:pt idx="23">
                  <c:v>2.0553292589554815</c:v>
                </c:pt>
                <c:pt idx="24">
                  <c:v>2.0217744486054343</c:v>
                </c:pt>
                <c:pt idx="25">
                  <c:v>1.9886068994062853</c:v>
                </c:pt>
                <c:pt idx="26">
                  <c:v>1.9558250831384782</c:v>
                </c:pt>
                <c:pt idx="27">
                  <c:v>1.9234274299285374</c:v>
                </c:pt>
                <c:pt idx="28">
                  <c:v>1.891412328762172</c:v>
                </c:pt>
                <c:pt idx="29">
                  <c:v>1.8597781280120174</c:v>
                </c:pt>
                <c:pt idx="30">
                  <c:v>1.8285231359795873</c:v>
                </c:pt>
                <c:pt idx="31">
                  <c:v>1.7976456214512027</c:v>
                </c:pt>
                <c:pt idx="32">
                  <c:v>1.7671438142674489</c:v>
                </c:pt>
                <c:pt idx="33">
                  <c:v>1.7370159059059063</c:v>
                </c:pt>
                <c:pt idx="34">
                  <c:v>1.7072600500766768</c:v>
                </c:pt>
                <c:pt idx="35">
                  <c:v>1.6778743633305879</c:v>
                </c:pt>
                <c:pt idx="36">
                  <c:v>1.6488569256793184</c:v>
                </c:pt>
                <c:pt idx="37">
                  <c:v>1.6202057812274262</c:v>
                </c:pt>
                <c:pt idx="38">
                  <c:v>1.5919189388157733</c:v>
                </c:pt>
                <c:pt idx="39">
                  <c:v>1.5639943726758361</c:v>
                </c:pt>
                <c:pt idx="40">
                  <c:v>1.5364300230946384</c:v>
                </c:pt>
                <c:pt idx="41">
                  <c:v>1.5092237970900371</c:v>
                </c:pt>
                <c:pt idx="42">
                  <c:v>1.4823735690955537</c:v>
                </c:pt>
                <c:pt idx="43">
                  <c:v>1.455877181654774</c:v>
                </c:pt>
                <c:pt idx="44">
                  <c:v>1.4297324461246745</c:v>
                </c:pt>
                <c:pt idx="45">
                  <c:v>1.4039371433874557</c:v>
                </c:pt>
                <c:pt idx="46">
                  <c:v>1.3784890245705768</c:v>
                </c:pt>
                <c:pt idx="47">
                  <c:v>1.3533858117745226</c:v>
                </c:pt>
                <c:pt idx="48">
                  <c:v>1.3286251988077495</c:v>
                </c:pt>
                <c:pt idx="49">
                  <c:v>1.3042048519286453</c:v>
                </c:pt>
                <c:pt idx="50">
                  <c:v>1.2801224105938012</c:v>
                </c:pt>
                <c:pt idx="51">
                  <c:v>1.2563754882123703</c:v>
                </c:pt>
                <c:pt idx="52">
                  <c:v>1.2329616729059474</c:v>
                </c:pt>
                <c:pt idx="53">
                  <c:v>1.2098785282736273</c:v>
                </c:pt>
                <c:pt idx="54">
                  <c:v>1.1871235941617755</c:v>
                </c:pt>
                <c:pt idx="55">
                  <c:v>1.1646943874379758</c:v>
                </c:pt>
                <c:pt idx="56">
                  <c:v>1.1425884027689577</c:v>
                </c:pt>
                <c:pt idx="57">
                  <c:v>1.120803113401859</c:v>
                </c:pt>
                <c:pt idx="58">
                  <c:v>1.0993359719484204</c:v>
                </c:pt>
                <c:pt idx="59">
                  <c:v>1.0781844111718399</c:v>
                </c:pt>
                <c:pt idx="60">
                  <c:v>1.0573458447756501</c:v>
                </c:pt>
                <c:pt idx="61">
                  <c:v>1.0368176681942636</c:v>
                </c:pt>
                <c:pt idx="62">
                  <c:v>1.016597259384902</c:v>
                </c:pt>
                <c:pt idx="63">
                  <c:v>0.99668197962020244</c:v>
                </c:pt>
                <c:pt idx="64">
                  <c:v>0.97706917428140727</c:v>
                </c:pt>
                <c:pt idx="65">
                  <c:v>0.95775617365138643</c:v>
                </c:pt>
                <c:pt idx="66">
                  <c:v>0.93874029370735457</c:v>
                </c:pt>
                <c:pt idx="67">
                  <c:v>0.92001883691279218</c:v>
                </c:pt>
                <c:pt idx="68">
                  <c:v>0.90158909300801326</c:v>
                </c:pt>
                <c:pt idx="69">
                  <c:v>0.88344833979919102</c:v>
                </c:pt>
                <c:pt idx="70">
                  <c:v>0.86559384394535144</c:v>
                </c:pt>
                <c:pt idx="71">
                  <c:v>0.84802286174287644</c:v>
                </c:pt>
                <c:pt idx="72">
                  <c:v>0.83073263990729629</c:v>
                </c:pt>
                <c:pt idx="73">
                  <c:v>0.81372041635178505</c:v>
                </c:pt>
                <c:pt idx="74">
                  <c:v>0.79698342096220642</c:v>
                </c:pt>
                <c:pt idx="75">
                  <c:v>0.78051887636803485</c:v>
                </c:pt>
                <c:pt idx="76">
                  <c:v>0.7643239987092052</c:v>
                </c:pt>
                <c:pt idx="77">
                  <c:v>0.74839599839808102</c:v>
                </c:pt>
                <c:pt idx="78">
                  <c:v>0.73273208087654851</c:v>
                </c:pt>
                <c:pt idx="79">
                  <c:v>0.7173294473676961</c:v>
                </c:pt>
                <c:pt idx="80">
                  <c:v>0.7021852956217316</c:v>
                </c:pt>
                <c:pt idx="81">
                  <c:v>0.6872968206560266</c:v>
                </c:pt>
                <c:pt idx="82">
                  <c:v>0.67266121548863111</c:v>
                </c:pt>
                <c:pt idx="83">
                  <c:v>0.65827567186521208</c:v>
                </c:pt>
                <c:pt idx="84">
                  <c:v>0.64413738097897522</c:v>
                </c:pt>
                <c:pt idx="85">
                  <c:v>0.63024353418332524</c:v>
                </c:pt>
                <c:pt idx="86">
                  <c:v>0.61659132369690361</c:v>
                </c:pt>
                <c:pt idx="87">
                  <c:v>0.60317794330082997</c:v>
                </c:pt>
                <c:pt idx="88">
                  <c:v>0.59000058902771535</c:v>
                </c:pt>
                <c:pt idx="89">
                  <c:v>0.57705645984241194</c:v>
                </c:pt>
                <c:pt idx="90">
                  <c:v>0.56434275831386316</c:v>
                </c:pt>
                <c:pt idx="91">
                  <c:v>0.55185669127825321</c:v>
                </c:pt>
                <c:pt idx="92">
                  <c:v>0.53959547049293377</c:v>
                </c:pt>
                <c:pt idx="93">
                  <c:v>0.52755631328083474</c:v>
                </c:pt>
                <c:pt idx="94">
                  <c:v>0.51573644316541056</c:v>
                </c:pt>
                <c:pt idx="95">
                  <c:v>0.50413309049566557</c:v>
                </c:pt>
                <c:pt idx="96">
                  <c:v>0.49274349306114296</c:v>
                </c:pt>
                <c:pt idx="97">
                  <c:v>0.48156489669669611</c:v>
                </c:pt>
                <c:pt idx="98">
                  <c:v>0.47059455587675991</c:v>
                </c:pt>
                <c:pt idx="99">
                  <c:v>0.45982973429909002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5-4228-B874-2421D1302C98}"/>
            </c:ext>
          </c:extLst>
        </c:ser>
        <c:ser>
          <c:idx val="1"/>
          <c:order val="1"/>
          <c:tx>
            <c:strRef>
              <c:f>红利率!$C$16</c:f>
              <c:strCache>
                <c:ptCount val="1"/>
                <c:pt idx="0">
                  <c:v>看跌期权B-S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红利率!$A$17:$A$116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0.36000000000000004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0.48000000000000004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0.58000000000000007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0.71000000000000008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0.84000000000000008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0.96000000000000008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cat>
          <c:val>
            <c:numRef>
              <c:f>红利率!$C$17:$C$116</c:f>
              <c:numCache>
                <c:formatCode>General</c:formatCode>
                <c:ptCount val="100"/>
                <c:pt idx="0">
                  <c:v>2.7727170930068965</c:v>
                </c:pt>
                <c:pt idx="1">
                  <c:v>2.8120261908751232</c:v>
                </c:pt>
                <c:pt idx="2">
                  <c:v>2.8516778190761727</c:v>
                </c:pt>
                <c:pt idx="3">
                  <c:v>2.8916715668237458</c:v>
                </c:pt>
                <c:pt idx="4">
                  <c:v>2.9320069744598669</c:v>
                </c:pt>
                <c:pt idx="5">
                  <c:v>2.9726835335654656</c:v>
                </c:pt>
                <c:pt idx="6">
                  <c:v>3.0137006870900649</c:v>
                </c:pt>
                <c:pt idx="7">
                  <c:v>3.0550578295009529</c:v>
                </c:pt>
                <c:pt idx="8">
                  <c:v>3.0967543069510768</c:v>
                </c:pt>
                <c:pt idx="9">
                  <c:v>3.1387894174661994</c:v>
                </c:pt>
                <c:pt idx="10">
                  <c:v>3.1811624111508152</c:v>
                </c:pt>
                <c:pt idx="11">
                  <c:v>3.2238724904128162</c:v>
                </c:pt>
                <c:pt idx="12">
                  <c:v>3.2669188102068674</c:v>
                </c:pt>
                <c:pt idx="13">
                  <c:v>3.3103004782960426</c:v>
                </c:pt>
                <c:pt idx="14">
                  <c:v>3.3540165555320129</c:v>
                </c:pt>
                <c:pt idx="15">
                  <c:v>3.398066056153219</c:v>
                </c:pt>
                <c:pt idx="16">
                  <c:v>3.4424479481010195</c:v>
                </c:pt>
                <c:pt idx="17">
                  <c:v>3.4871611533535543</c:v>
                </c:pt>
                <c:pt idx="18">
                  <c:v>3.5322045482772992</c:v>
                </c:pt>
                <c:pt idx="19">
                  <c:v>3.5775769639957389</c:v>
                </c:pt>
                <c:pt idx="20">
                  <c:v>3.6232771867753186</c:v>
                </c:pt>
                <c:pt idx="21">
                  <c:v>3.669303958428074</c:v>
                </c:pt>
                <c:pt idx="22">
                  <c:v>3.7156559767311848</c:v>
                </c:pt>
                <c:pt idx="23">
                  <c:v>3.7623318958623884</c:v>
                </c:pt>
                <c:pt idx="24">
                  <c:v>3.809330326852006</c:v>
                </c:pt>
                <c:pt idx="25">
                  <c:v>3.8566498380502807</c:v>
                </c:pt>
                <c:pt idx="26">
                  <c:v>3.9042889556106957</c:v>
                </c:pt>
                <c:pt idx="27">
                  <c:v>3.9522461639879793</c:v>
                </c:pt>
                <c:pt idx="28">
                  <c:v>4.0005199064515296</c:v>
                </c:pt>
                <c:pt idx="29">
                  <c:v>4.0491085856129914</c:v>
                </c:pt>
                <c:pt idx="30">
                  <c:v>4.0980105639683586</c:v>
                </c:pt>
                <c:pt idx="31">
                  <c:v>4.1472241644539309</c:v>
                </c:pt>
                <c:pt idx="32">
                  <c:v>4.1967476710157356</c:v>
                </c:pt>
                <c:pt idx="33">
                  <c:v>4.2465793291923717</c:v>
                </c:pt>
                <c:pt idx="34">
                  <c:v>4.2967173467105582</c:v>
                </c:pt>
                <c:pt idx="35">
                  <c:v>4.3471598940933163</c:v>
                </c:pt>
                <c:pt idx="36">
                  <c:v>4.3979051052802234</c:v>
                </c:pt>
                <c:pt idx="37">
                  <c:v>4.4489510782594195</c:v>
                </c:pt>
                <c:pt idx="38">
                  <c:v>4.500295875711025</c:v>
                </c:pt>
                <c:pt idx="39">
                  <c:v>4.551937525661593</c:v>
                </c:pt>
                <c:pt idx="40">
                  <c:v>4.6038740221490713</c:v>
                </c:pt>
                <c:pt idx="41">
                  <c:v>4.6561033258979947</c:v>
                </c:pt>
                <c:pt idx="42">
                  <c:v>4.708623365004442</c:v>
                </c:pt>
                <c:pt idx="43">
                  <c:v>4.7614320356305342</c:v>
                </c:pt>
                <c:pt idx="44">
                  <c:v>4.8145272027076942</c:v>
                </c:pt>
                <c:pt idx="45">
                  <c:v>4.8679067006485468</c:v>
                </c:pt>
                <c:pt idx="46">
                  <c:v>4.9215683340669898</c:v>
                </c:pt>
                <c:pt idx="47">
                  <c:v>4.9755098785059886</c:v>
                </c:pt>
                <c:pt idx="48">
                  <c:v>5.0297290811726896</c:v>
                </c:pt>
                <c:pt idx="49">
                  <c:v>5.0842236616801273</c:v>
                </c:pt>
                <c:pt idx="50">
                  <c:v>5.1389913127958238</c:v>
                </c:pt>
                <c:pt idx="51">
                  <c:v>5.1940297011960155</c:v>
                </c:pt>
                <c:pt idx="52">
                  <c:v>5.2493364682256214</c:v>
                </c:pt>
                <c:pt idx="53">
                  <c:v>5.3049092306633696</c:v>
                </c:pt>
                <c:pt idx="54">
                  <c:v>5.3607455814915141</c:v>
                </c:pt>
                <c:pt idx="55">
                  <c:v>5.4168430906699285</c:v>
                </c:pt>
                <c:pt idx="56">
                  <c:v>5.473199305913937</c:v>
                </c:pt>
                <c:pt idx="57">
                  <c:v>5.5298117534757409</c:v>
                </c:pt>
                <c:pt idx="58">
                  <c:v>5.5866779389286023</c:v>
                </c:pt>
                <c:pt idx="59">
                  <c:v>5.6437953479537271</c:v>
                </c:pt>
                <c:pt idx="60">
                  <c:v>5.7011614471291239</c:v>
                </c:pt>
                <c:pt idx="61">
                  <c:v>5.7587736847203104</c:v>
                </c:pt>
                <c:pt idx="62">
                  <c:v>5.8166294914721703</c:v>
                </c:pt>
                <c:pt idx="63">
                  <c:v>5.8747262814016779</c:v>
                </c:pt>
                <c:pt idx="64">
                  <c:v>5.9330614525909908</c:v>
                </c:pt>
                <c:pt idx="65">
                  <c:v>5.9916323879806868</c:v>
                </c:pt>
                <c:pt idx="66">
                  <c:v>6.0504364561623873</c:v>
                </c:pt>
                <c:pt idx="67">
                  <c:v>6.1094710121707578</c:v>
                </c:pt>
                <c:pt idx="68">
                  <c:v>6.1687333982740427</c:v>
                </c:pt>
                <c:pt idx="69">
                  <c:v>6.2282209447633505</c:v>
                </c:pt>
                <c:pt idx="70">
                  <c:v>6.2879309707393674</c:v>
                </c:pt>
                <c:pt idx="71">
                  <c:v>6.3478607848970796</c:v>
                </c:pt>
                <c:pt idx="72">
                  <c:v>6.4080076863076414</c:v>
                </c:pt>
                <c:pt idx="73">
                  <c:v>6.468368965196774</c:v>
                </c:pt>
                <c:pt idx="74">
                  <c:v>6.5289419037199252</c:v>
                </c:pt>
                <c:pt idx="75">
                  <c:v>6.5897237767332086</c:v>
                </c:pt>
                <c:pt idx="76">
                  <c:v>6.6507118525603062</c:v>
                </c:pt>
                <c:pt idx="77">
                  <c:v>6.7119033937544543</c:v>
                </c:pt>
                <c:pt idx="78">
                  <c:v>6.7732956578555132</c:v>
                </c:pt>
                <c:pt idx="79">
                  <c:v>6.8348858981418346</c:v>
                </c:pt>
                <c:pt idx="80">
                  <c:v>6.8966713643760755</c:v>
                </c:pt>
                <c:pt idx="81">
                  <c:v>6.9586493035453003</c:v>
                </c:pt>
                <c:pt idx="82">
                  <c:v>7.0208169605946438</c:v>
                </c:pt>
                <c:pt idx="83">
                  <c:v>7.0831715791540546</c:v>
                </c:pt>
                <c:pt idx="84">
                  <c:v>7.1457104022585014</c:v>
                </c:pt>
                <c:pt idx="85">
                  <c:v>7.2084306730605476</c:v>
                </c:pt>
                <c:pt idx="86">
                  <c:v>7.2713296355354373</c:v>
                </c:pt>
                <c:pt idx="87">
                  <c:v>7.334404535178308</c:v>
                </c:pt>
                <c:pt idx="88">
                  <c:v>7.3976526196933463</c:v>
                </c:pt>
                <c:pt idx="89">
                  <c:v>7.4610711396745586</c:v>
                </c:pt>
                <c:pt idx="90">
                  <c:v>7.524657349277561</c:v>
                </c:pt>
                <c:pt idx="91">
                  <c:v>7.5884085068828995</c:v>
                </c:pt>
                <c:pt idx="92">
                  <c:v>7.6523218757498768</c:v>
                </c:pt>
                <c:pt idx="93">
                  <c:v>7.716394724661086</c:v>
                </c:pt>
                <c:pt idx="94">
                  <c:v>7.7806243285573657</c:v>
                </c:pt>
                <c:pt idx="95">
                  <c:v>7.8450079691628645</c:v>
                </c:pt>
                <c:pt idx="96">
                  <c:v>7.9095429356000579</c:v>
                </c:pt>
                <c:pt idx="97">
                  <c:v>7.9742265249945348</c:v>
                </c:pt>
                <c:pt idx="98">
                  <c:v>8.0390560430693796</c:v>
                </c:pt>
                <c:pt idx="99">
                  <c:v>8.1040288047288271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75-4228-B874-2421D1302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826384"/>
        <c:axId val="1900823472"/>
      </c:lineChart>
      <c:catAx>
        <c:axId val="190082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0823472"/>
        <c:crosses val="autoZero"/>
        <c:auto val="1"/>
        <c:lblAlgn val="ctr"/>
        <c:lblOffset val="100"/>
        <c:noMultiLvlLbl val="0"/>
      </c:catAx>
      <c:valAx>
        <c:axId val="190082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082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期权价值受到期期限的影响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到期期限!$B$16</c:f>
              <c:strCache>
                <c:ptCount val="1"/>
                <c:pt idx="0">
                  <c:v>看涨期权B-S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到期期限!$A$17:$A$386</c:f>
              <c:numCache>
                <c:formatCode>General</c:formatCode>
                <c:ptCount val="370"/>
                <c:pt idx="0">
                  <c:v>2.7397260273972601E-2</c:v>
                </c:pt>
                <c:pt idx="1">
                  <c:v>8.1397260273972594E-2</c:v>
                </c:pt>
                <c:pt idx="2">
                  <c:v>0.13539726027397259</c:v>
                </c:pt>
                <c:pt idx="3">
                  <c:v>0.18939726027397261</c:v>
                </c:pt>
                <c:pt idx="4">
                  <c:v>0.2433972602739726</c:v>
                </c:pt>
                <c:pt idx="5">
                  <c:v>0.29739726027397262</c:v>
                </c:pt>
                <c:pt idx="6">
                  <c:v>0.35139726027397261</c:v>
                </c:pt>
                <c:pt idx="7">
                  <c:v>0.4053972602739726</c:v>
                </c:pt>
                <c:pt idx="8">
                  <c:v>0.4593972602739726</c:v>
                </c:pt>
                <c:pt idx="9">
                  <c:v>0.51339726027397259</c:v>
                </c:pt>
                <c:pt idx="10">
                  <c:v>0.56739726027397264</c:v>
                </c:pt>
                <c:pt idx="11">
                  <c:v>0.62139726027397257</c:v>
                </c:pt>
                <c:pt idx="12">
                  <c:v>0.67539726027397262</c:v>
                </c:pt>
                <c:pt idx="13">
                  <c:v>0.72939726027397256</c:v>
                </c:pt>
                <c:pt idx="14">
                  <c:v>0.78339726027397261</c:v>
                </c:pt>
                <c:pt idx="15">
                  <c:v>0.83739726027397254</c:v>
                </c:pt>
                <c:pt idx="16">
                  <c:v>0.89139726027397259</c:v>
                </c:pt>
                <c:pt idx="17">
                  <c:v>0.94539726027397264</c:v>
                </c:pt>
                <c:pt idx="18">
                  <c:v>0.99939726027397258</c:v>
                </c:pt>
                <c:pt idx="19">
                  <c:v>1.0533972602739725</c:v>
                </c:pt>
                <c:pt idx="20">
                  <c:v>1.1073972602739728</c:v>
                </c:pt>
                <c:pt idx="21">
                  <c:v>1.1613972602739726</c:v>
                </c:pt>
                <c:pt idx="22">
                  <c:v>1.2153972602739724</c:v>
                </c:pt>
                <c:pt idx="23">
                  <c:v>1.2693972602739727</c:v>
                </c:pt>
                <c:pt idx="24">
                  <c:v>1.3233972602739725</c:v>
                </c:pt>
                <c:pt idx="25">
                  <c:v>1.3773972602739728</c:v>
                </c:pt>
                <c:pt idx="26">
                  <c:v>1.4313972602739726</c:v>
                </c:pt>
                <c:pt idx="27">
                  <c:v>1.4853972602739725</c:v>
                </c:pt>
                <c:pt idx="28">
                  <c:v>1.5393972602739727</c:v>
                </c:pt>
                <c:pt idx="29">
                  <c:v>1.5933972602739725</c:v>
                </c:pt>
                <c:pt idx="30">
                  <c:v>1.6473972602739724</c:v>
                </c:pt>
                <c:pt idx="31">
                  <c:v>1.7013972602739726</c:v>
                </c:pt>
                <c:pt idx="32">
                  <c:v>1.7553972602739725</c:v>
                </c:pt>
                <c:pt idx="33">
                  <c:v>1.8093972602739727</c:v>
                </c:pt>
                <c:pt idx="34">
                  <c:v>1.8633972602739726</c:v>
                </c:pt>
                <c:pt idx="35">
                  <c:v>1.9173972602739724</c:v>
                </c:pt>
                <c:pt idx="36">
                  <c:v>1.9713972602739727</c:v>
                </c:pt>
                <c:pt idx="37">
                  <c:v>2.0253972602739725</c:v>
                </c:pt>
                <c:pt idx="38">
                  <c:v>2.0793972602739728</c:v>
                </c:pt>
                <c:pt idx="39">
                  <c:v>2.1333972602739726</c:v>
                </c:pt>
                <c:pt idx="40">
                  <c:v>2.1873972602739729</c:v>
                </c:pt>
                <c:pt idx="41">
                  <c:v>2.2413972602739727</c:v>
                </c:pt>
                <c:pt idx="42">
                  <c:v>2.2953972602739725</c:v>
                </c:pt>
                <c:pt idx="43">
                  <c:v>2.3493972602739728</c:v>
                </c:pt>
                <c:pt idx="44">
                  <c:v>2.4033972602739726</c:v>
                </c:pt>
                <c:pt idx="45">
                  <c:v>2.4573972602739729</c:v>
                </c:pt>
                <c:pt idx="46">
                  <c:v>2.5113972602739727</c:v>
                </c:pt>
                <c:pt idx="47">
                  <c:v>2.5653972602739725</c:v>
                </c:pt>
                <c:pt idx="48">
                  <c:v>2.6193972602739728</c:v>
                </c:pt>
                <c:pt idx="49">
                  <c:v>2.6733972602739726</c:v>
                </c:pt>
                <c:pt idx="50">
                  <c:v>2.7273972602739729</c:v>
                </c:pt>
                <c:pt idx="51">
                  <c:v>2.7813972602739727</c:v>
                </c:pt>
                <c:pt idx="52">
                  <c:v>2.8353972602739725</c:v>
                </c:pt>
                <c:pt idx="53">
                  <c:v>2.8893972602739728</c:v>
                </c:pt>
                <c:pt idx="54">
                  <c:v>2.9433972602739726</c:v>
                </c:pt>
                <c:pt idx="55">
                  <c:v>2.9973972602739725</c:v>
                </c:pt>
                <c:pt idx="56">
                  <c:v>3.0513972602739727</c:v>
                </c:pt>
                <c:pt idx="57">
                  <c:v>3.1053972602739726</c:v>
                </c:pt>
                <c:pt idx="58">
                  <c:v>3.1593972602739728</c:v>
                </c:pt>
                <c:pt idx="59">
                  <c:v>3.2133972602739727</c:v>
                </c:pt>
                <c:pt idx="60">
                  <c:v>3.2673972602739725</c:v>
                </c:pt>
                <c:pt idx="61">
                  <c:v>3.3213972602739728</c:v>
                </c:pt>
                <c:pt idx="62">
                  <c:v>3.3753972602739726</c:v>
                </c:pt>
                <c:pt idx="63">
                  <c:v>3.4293972602739728</c:v>
                </c:pt>
                <c:pt idx="64">
                  <c:v>3.4833972602739727</c:v>
                </c:pt>
                <c:pt idx="65">
                  <c:v>3.5373972602739725</c:v>
                </c:pt>
                <c:pt idx="66">
                  <c:v>3.5913972602739728</c:v>
                </c:pt>
                <c:pt idx="67">
                  <c:v>3.6453972602739726</c:v>
                </c:pt>
                <c:pt idx="68">
                  <c:v>3.6993972602739729</c:v>
                </c:pt>
                <c:pt idx="69">
                  <c:v>3.7533972602739727</c:v>
                </c:pt>
                <c:pt idx="70">
                  <c:v>3.8073972602739725</c:v>
                </c:pt>
                <c:pt idx="71">
                  <c:v>3.8613972602739728</c:v>
                </c:pt>
                <c:pt idx="72">
                  <c:v>3.9153972602739726</c:v>
                </c:pt>
                <c:pt idx="73">
                  <c:v>3.9693972602739729</c:v>
                </c:pt>
                <c:pt idx="74">
                  <c:v>4.0233972602739723</c:v>
                </c:pt>
                <c:pt idx="75">
                  <c:v>4.0773972602739725</c:v>
                </c:pt>
                <c:pt idx="76">
                  <c:v>4.1313972602739728</c:v>
                </c:pt>
                <c:pt idx="77">
                  <c:v>4.1853972602739731</c:v>
                </c:pt>
                <c:pt idx="78">
                  <c:v>4.2393972602739725</c:v>
                </c:pt>
                <c:pt idx="79">
                  <c:v>4.2933972602739727</c:v>
                </c:pt>
                <c:pt idx="80">
                  <c:v>4.347397260273973</c:v>
                </c:pt>
                <c:pt idx="81">
                  <c:v>4.4013972602739724</c:v>
                </c:pt>
                <c:pt idx="82">
                  <c:v>4.4553972602739726</c:v>
                </c:pt>
                <c:pt idx="83">
                  <c:v>4.5093972602739729</c:v>
                </c:pt>
                <c:pt idx="84">
                  <c:v>4.5633972602739723</c:v>
                </c:pt>
                <c:pt idx="85">
                  <c:v>4.6173972602739726</c:v>
                </c:pt>
                <c:pt idx="86">
                  <c:v>4.6713972602739728</c:v>
                </c:pt>
                <c:pt idx="87">
                  <c:v>4.7253972602739722</c:v>
                </c:pt>
                <c:pt idx="88">
                  <c:v>4.7793972602739725</c:v>
                </c:pt>
                <c:pt idx="89">
                  <c:v>4.8333972602739728</c:v>
                </c:pt>
                <c:pt idx="90">
                  <c:v>4.887397260273973</c:v>
                </c:pt>
                <c:pt idx="91">
                  <c:v>4.9413972602739724</c:v>
                </c:pt>
                <c:pt idx="92">
                  <c:v>4.9953972602739727</c:v>
                </c:pt>
                <c:pt idx="93">
                  <c:v>5.049397260273973</c:v>
                </c:pt>
                <c:pt idx="94">
                  <c:v>5.1033972602739723</c:v>
                </c:pt>
                <c:pt idx="95">
                  <c:v>5.1573972602739726</c:v>
                </c:pt>
                <c:pt idx="96">
                  <c:v>5.2113972602739729</c:v>
                </c:pt>
                <c:pt idx="97">
                  <c:v>5.2653972602739723</c:v>
                </c:pt>
                <c:pt idx="98">
                  <c:v>5.3193972602739725</c:v>
                </c:pt>
                <c:pt idx="99">
                  <c:v>5.3733972602739728</c:v>
                </c:pt>
                <c:pt idx="100">
                  <c:v>5.4273972602739731</c:v>
                </c:pt>
                <c:pt idx="101">
                  <c:v>5.4813972602739724</c:v>
                </c:pt>
                <c:pt idx="102">
                  <c:v>5.5353972602739727</c:v>
                </c:pt>
                <c:pt idx="103">
                  <c:v>5.589397260273973</c:v>
                </c:pt>
                <c:pt idx="104">
                  <c:v>5.6433972602739724</c:v>
                </c:pt>
                <c:pt idx="105">
                  <c:v>5.6973972602739726</c:v>
                </c:pt>
                <c:pt idx="106">
                  <c:v>5.7513972602739729</c:v>
                </c:pt>
                <c:pt idx="107">
                  <c:v>5.8053972602739723</c:v>
                </c:pt>
                <c:pt idx="108">
                  <c:v>5.8593972602739726</c:v>
                </c:pt>
                <c:pt idx="109">
                  <c:v>5.9133972602739728</c:v>
                </c:pt>
                <c:pt idx="110">
                  <c:v>5.9673972602739722</c:v>
                </c:pt>
                <c:pt idx="111">
                  <c:v>6.0213972602739725</c:v>
                </c:pt>
                <c:pt idx="112">
                  <c:v>6.0753972602739728</c:v>
                </c:pt>
                <c:pt idx="113">
                  <c:v>6.129397260273973</c:v>
                </c:pt>
                <c:pt idx="114">
                  <c:v>6.1833972602739724</c:v>
                </c:pt>
                <c:pt idx="115">
                  <c:v>6.2373972602739727</c:v>
                </c:pt>
                <c:pt idx="116">
                  <c:v>6.2913972602739729</c:v>
                </c:pt>
                <c:pt idx="117">
                  <c:v>6.3453972602739723</c:v>
                </c:pt>
                <c:pt idx="118">
                  <c:v>6.3993972602739726</c:v>
                </c:pt>
                <c:pt idx="119">
                  <c:v>6.4533972602739729</c:v>
                </c:pt>
                <c:pt idx="120">
                  <c:v>6.5073972602739723</c:v>
                </c:pt>
                <c:pt idx="121">
                  <c:v>6.5613972602739725</c:v>
                </c:pt>
                <c:pt idx="122">
                  <c:v>6.6153972602739728</c:v>
                </c:pt>
                <c:pt idx="123">
                  <c:v>6.6693972602739731</c:v>
                </c:pt>
                <c:pt idx="124">
                  <c:v>6.7233972602739724</c:v>
                </c:pt>
                <c:pt idx="125">
                  <c:v>6.7773972602739727</c:v>
                </c:pt>
                <c:pt idx="126">
                  <c:v>6.831397260273973</c:v>
                </c:pt>
                <c:pt idx="127">
                  <c:v>6.8853972602739724</c:v>
                </c:pt>
                <c:pt idx="128">
                  <c:v>6.9393972602739726</c:v>
                </c:pt>
                <c:pt idx="129">
                  <c:v>6.9933972602739729</c:v>
                </c:pt>
                <c:pt idx="130">
                  <c:v>7.0473972602739723</c:v>
                </c:pt>
                <c:pt idx="131">
                  <c:v>7.1013972602739726</c:v>
                </c:pt>
                <c:pt idx="132">
                  <c:v>7.1553972602739728</c:v>
                </c:pt>
                <c:pt idx="133">
                  <c:v>7.2093972602739722</c:v>
                </c:pt>
                <c:pt idx="134">
                  <c:v>7.2633972602739725</c:v>
                </c:pt>
                <c:pt idx="135">
                  <c:v>7.3173972602739727</c:v>
                </c:pt>
                <c:pt idx="136">
                  <c:v>7.371397260273973</c:v>
                </c:pt>
                <c:pt idx="137">
                  <c:v>7.4253972602739724</c:v>
                </c:pt>
                <c:pt idx="138">
                  <c:v>7.4793972602739727</c:v>
                </c:pt>
                <c:pt idx="139">
                  <c:v>7.5333972602739729</c:v>
                </c:pt>
                <c:pt idx="140">
                  <c:v>7.5873972602739723</c:v>
                </c:pt>
                <c:pt idx="141">
                  <c:v>7.6413972602739726</c:v>
                </c:pt>
                <c:pt idx="142">
                  <c:v>7.6953972602739729</c:v>
                </c:pt>
                <c:pt idx="143">
                  <c:v>7.7493972602739722</c:v>
                </c:pt>
                <c:pt idx="144">
                  <c:v>7.8033972602739725</c:v>
                </c:pt>
                <c:pt idx="145">
                  <c:v>7.8573972602739728</c:v>
                </c:pt>
                <c:pt idx="146">
                  <c:v>7.9113972602739731</c:v>
                </c:pt>
                <c:pt idx="147">
                  <c:v>7.9653972602739724</c:v>
                </c:pt>
                <c:pt idx="148">
                  <c:v>8.0193972602739727</c:v>
                </c:pt>
                <c:pt idx="149">
                  <c:v>8.0733972602739712</c:v>
                </c:pt>
                <c:pt idx="150">
                  <c:v>8.1273972602739715</c:v>
                </c:pt>
                <c:pt idx="151">
                  <c:v>8.1813972602739717</c:v>
                </c:pt>
                <c:pt idx="152">
                  <c:v>8.235397260273972</c:v>
                </c:pt>
                <c:pt idx="153">
                  <c:v>8.2893972602739723</c:v>
                </c:pt>
                <c:pt idx="154">
                  <c:v>8.3433972602739725</c:v>
                </c:pt>
                <c:pt idx="155">
                  <c:v>8.397397260273971</c:v>
                </c:pt>
                <c:pt idx="156">
                  <c:v>8.4513972602739713</c:v>
                </c:pt>
                <c:pt idx="157">
                  <c:v>8.5053972602739716</c:v>
                </c:pt>
                <c:pt idx="158">
                  <c:v>8.5593972602739719</c:v>
                </c:pt>
                <c:pt idx="159">
                  <c:v>8.6133972602739721</c:v>
                </c:pt>
                <c:pt idx="160">
                  <c:v>8.6673972602739724</c:v>
                </c:pt>
                <c:pt idx="161">
                  <c:v>8.7213972602739709</c:v>
                </c:pt>
                <c:pt idx="162">
                  <c:v>8.7753972602739712</c:v>
                </c:pt>
                <c:pt idx="163">
                  <c:v>8.8293972602739714</c:v>
                </c:pt>
                <c:pt idx="164">
                  <c:v>8.8833972602739717</c:v>
                </c:pt>
                <c:pt idx="165">
                  <c:v>8.937397260273972</c:v>
                </c:pt>
                <c:pt idx="166">
                  <c:v>8.9913972602739722</c:v>
                </c:pt>
                <c:pt idx="167">
                  <c:v>9.0453972602739725</c:v>
                </c:pt>
                <c:pt idx="168">
                  <c:v>9.099397260273971</c:v>
                </c:pt>
                <c:pt idx="169">
                  <c:v>9.1533972602739713</c:v>
                </c:pt>
                <c:pt idx="170">
                  <c:v>9.2073972602739715</c:v>
                </c:pt>
                <c:pt idx="171">
                  <c:v>9.2613972602739718</c:v>
                </c:pt>
                <c:pt idx="172">
                  <c:v>9.3153972602739721</c:v>
                </c:pt>
                <c:pt idx="173">
                  <c:v>9.3693972602739723</c:v>
                </c:pt>
                <c:pt idx="174">
                  <c:v>9.4233972602739708</c:v>
                </c:pt>
                <c:pt idx="175">
                  <c:v>9.4773972602739711</c:v>
                </c:pt>
                <c:pt idx="176">
                  <c:v>9.5313972602739714</c:v>
                </c:pt>
                <c:pt idx="177">
                  <c:v>9.5853972602739717</c:v>
                </c:pt>
                <c:pt idx="178">
                  <c:v>9.6393972602739719</c:v>
                </c:pt>
                <c:pt idx="179">
                  <c:v>9.6933972602739722</c:v>
                </c:pt>
                <c:pt idx="180">
                  <c:v>9.7473972602739725</c:v>
                </c:pt>
                <c:pt idx="181">
                  <c:v>9.801397260273971</c:v>
                </c:pt>
                <c:pt idx="182">
                  <c:v>9.8553972602739712</c:v>
                </c:pt>
                <c:pt idx="183">
                  <c:v>9.9093972602739715</c:v>
                </c:pt>
                <c:pt idx="184">
                  <c:v>9.9633972602739718</c:v>
                </c:pt>
                <c:pt idx="185">
                  <c:v>10.017397260273972</c:v>
                </c:pt>
                <c:pt idx="186">
                  <c:v>10.071397260273972</c:v>
                </c:pt>
                <c:pt idx="187">
                  <c:v>10.125397260273973</c:v>
                </c:pt>
                <c:pt idx="188">
                  <c:v>10.179397260273971</c:v>
                </c:pt>
                <c:pt idx="189">
                  <c:v>10.233397260273971</c:v>
                </c:pt>
                <c:pt idx="190">
                  <c:v>10.287397260273972</c:v>
                </c:pt>
                <c:pt idx="191">
                  <c:v>10.341397260273972</c:v>
                </c:pt>
                <c:pt idx="192">
                  <c:v>10.395397260273972</c:v>
                </c:pt>
                <c:pt idx="193">
                  <c:v>10.449397260273972</c:v>
                </c:pt>
                <c:pt idx="194">
                  <c:v>10.503397260273971</c:v>
                </c:pt>
                <c:pt idx="195">
                  <c:v>10.557397260273971</c:v>
                </c:pt>
                <c:pt idx="196">
                  <c:v>10.611397260273971</c:v>
                </c:pt>
                <c:pt idx="197">
                  <c:v>10.665397260273972</c:v>
                </c:pt>
                <c:pt idx="198">
                  <c:v>10.719397260273972</c:v>
                </c:pt>
                <c:pt idx="199">
                  <c:v>10.773397260273972</c:v>
                </c:pt>
                <c:pt idx="200">
                  <c:v>10.827397260273973</c:v>
                </c:pt>
                <c:pt idx="201">
                  <c:v>10.881397260273971</c:v>
                </c:pt>
                <c:pt idx="202">
                  <c:v>10.935397260273971</c:v>
                </c:pt>
                <c:pt idx="203">
                  <c:v>10.989397260273972</c:v>
                </c:pt>
                <c:pt idx="204">
                  <c:v>11.043397260273972</c:v>
                </c:pt>
                <c:pt idx="205">
                  <c:v>11.097397260273972</c:v>
                </c:pt>
                <c:pt idx="206">
                  <c:v>11.151397260273972</c:v>
                </c:pt>
                <c:pt idx="207">
                  <c:v>11.205397260273971</c:v>
                </c:pt>
                <c:pt idx="208">
                  <c:v>11.259397260273971</c:v>
                </c:pt>
                <c:pt idx="209">
                  <c:v>11.313397260273971</c:v>
                </c:pt>
                <c:pt idx="210">
                  <c:v>11.367397260273972</c:v>
                </c:pt>
                <c:pt idx="211">
                  <c:v>11.421397260273972</c:v>
                </c:pt>
                <c:pt idx="212">
                  <c:v>11.475397260273972</c:v>
                </c:pt>
                <c:pt idx="213">
                  <c:v>11.529397260273972</c:v>
                </c:pt>
                <c:pt idx="214">
                  <c:v>11.583397260273971</c:v>
                </c:pt>
                <c:pt idx="215">
                  <c:v>11.637397260273971</c:v>
                </c:pt>
                <c:pt idx="216">
                  <c:v>11.691397260273972</c:v>
                </c:pt>
                <c:pt idx="217">
                  <c:v>11.745397260273972</c:v>
                </c:pt>
                <c:pt idx="218">
                  <c:v>11.799397260273972</c:v>
                </c:pt>
                <c:pt idx="219">
                  <c:v>11.853397260273972</c:v>
                </c:pt>
                <c:pt idx="220">
                  <c:v>11.907397260273971</c:v>
                </c:pt>
                <c:pt idx="221">
                  <c:v>11.961397260273971</c:v>
                </c:pt>
                <c:pt idx="222">
                  <c:v>12.015397260273971</c:v>
                </c:pt>
                <c:pt idx="223">
                  <c:v>12.069397260273972</c:v>
                </c:pt>
                <c:pt idx="224">
                  <c:v>12.123397260273972</c:v>
                </c:pt>
                <c:pt idx="225">
                  <c:v>12.177397260273972</c:v>
                </c:pt>
                <c:pt idx="226">
                  <c:v>12.231397260273972</c:v>
                </c:pt>
                <c:pt idx="227">
                  <c:v>12.285397260273971</c:v>
                </c:pt>
                <c:pt idx="228">
                  <c:v>12.339397260273971</c:v>
                </c:pt>
                <c:pt idx="229">
                  <c:v>12.393397260273971</c:v>
                </c:pt>
                <c:pt idx="230">
                  <c:v>12.447397260273972</c:v>
                </c:pt>
                <c:pt idx="231">
                  <c:v>12.501397260273972</c:v>
                </c:pt>
                <c:pt idx="232">
                  <c:v>12.555397260273972</c:v>
                </c:pt>
                <c:pt idx="233">
                  <c:v>12.609397260273973</c:v>
                </c:pt>
                <c:pt idx="234">
                  <c:v>12.663397260273971</c:v>
                </c:pt>
                <c:pt idx="235">
                  <c:v>12.717397260273971</c:v>
                </c:pt>
                <c:pt idx="236">
                  <c:v>12.771397260273972</c:v>
                </c:pt>
                <c:pt idx="237">
                  <c:v>12.825397260273972</c:v>
                </c:pt>
                <c:pt idx="238">
                  <c:v>12.879397260273972</c:v>
                </c:pt>
                <c:pt idx="239">
                  <c:v>12.933397260273972</c:v>
                </c:pt>
                <c:pt idx="240">
                  <c:v>12.987397260273971</c:v>
                </c:pt>
                <c:pt idx="241">
                  <c:v>13.041397260273971</c:v>
                </c:pt>
                <c:pt idx="242">
                  <c:v>13.095397260273971</c:v>
                </c:pt>
                <c:pt idx="243">
                  <c:v>13.149397260273972</c:v>
                </c:pt>
                <c:pt idx="244">
                  <c:v>13.203397260273972</c:v>
                </c:pt>
                <c:pt idx="245">
                  <c:v>13.257397260273972</c:v>
                </c:pt>
                <c:pt idx="246">
                  <c:v>13.311397260273973</c:v>
                </c:pt>
                <c:pt idx="247">
                  <c:v>13.365397260273971</c:v>
                </c:pt>
                <c:pt idx="248">
                  <c:v>13.419397260273971</c:v>
                </c:pt>
                <c:pt idx="249">
                  <c:v>13.473397260273972</c:v>
                </c:pt>
                <c:pt idx="250">
                  <c:v>13.527397260273972</c:v>
                </c:pt>
                <c:pt idx="251">
                  <c:v>13.581397260273972</c:v>
                </c:pt>
                <c:pt idx="252">
                  <c:v>13.635397260273972</c:v>
                </c:pt>
                <c:pt idx="253">
                  <c:v>13.689397260273971</c:v>
                </c:pt>
                <c:pt idx="254">
                  <c:v>13.743397260273971</c:v>
                </c:pt>
                <c:pt idx="255">
                  <c:v>13.797397260273971</c:v>
                </c:pt>
                <c:pt idx="256">
                  <c:v>13.851397260273972</c:v>
                </c:pt>
                <c:pt idx="257">
                  <c:v>13.905397260273972</c:v>
                </c:pt>
                <c:pt idx="258">
                  <c:v>13.959397260273972</c:v>
                </c:pt>
                <c:pt idx="259">
                  <c:v>14.013397260273972</c:v>
                </c:pt>
                <c:pt idx="260">
                  <c:v>14.067397260273971</c:v>
                </c:pt>
                <c:pt idx="261">
                  <c:v>14.121397260273971</c:v>
                </c:pt>
                <c:pt idx="262">
                  <c:v>14.175397260273972</c:v>
                </c:pt>
                <c:pt idx="263">
                  <c:v>14.229397260273972</c:v>
                </c:pt>
                <c:pt idx="264">
                  <c:v>14.283397260273972</c:v>
                </c:pt>
                <c:pt idx="265">
                  <c:v>14.337397260273972</c:v>
                </c:pt>
                <c:pt idx="266">
                  <c:v>14.391397260273971</c:v>
                </c:pt>
                <c:pt idx="267">
                  <c:v>14.445397260273971</c:v>
                </c:pt>
                <c:pt idx="268">
                  <c:v>14.499397260273971</c:v>
                </c:pt>
                <c:pt idx="269">
                  <c:v>14.553397260273972</c:v>
                </c:pt>
                <c:pt idx="270">
                  <c:v>14.607397260273972</c:v>
                </c:pt>
                <c:pt idx="271">
                  <c:v>14.661397260273972</c:v>
                </c:pt>
                <c:pt idx="272">
                  <c:v>14.715397260273972</c:v>
                </c:pt>
                <c:pt idx="273">
                  <c:v>14.769397260273971</c:v>
                </c:pt>
                <c:pt idx="274">
                  <c:v>14.823397260273971</c:v>
                </c:pt>
                <c:pt idx="275">
                  <c:v>14.877397260273971</c:v>
                </c:pt>
                <c:pt idx="276">
                  <c:v>14.931397260273972</c:v>
                </c:pt>
                <c:pt idx="277">
                  <c:v>14.985397260273972</c:v>
                </c:pt>
                <c:pt idx="278">
                  <c:v>15.039397260273972</c:v>
                </c:pt>
                <c:pt idx="279">
                  <c:v>15.093397260273971</c:v>
                </c:pt>
                <c:pt idx="280">
                  <c:v>15.147397260273971</c:v>
                </c:pt>
                <c:pt idx="281">
                  <c:v>15.201397260273971</c:v>
                </c:pt>
                <c:pt idx="282">
                  <c:v>15.255397260273972</c:v>
                </c:pt>
                <c:pt idx="283">
                  <c:v>15.309397260273972</c:v>
                </c:pt>
                <c:pt idx="284">
                  <c:v>15.363397260273972</c:v>
                </c:pt>
                <c:pt idx="285">
                  <c:v>15.417397260273972</c:v>
                </c:pt>
                <c:pt idx="286">
                  <c:v>15.471397260273971</c:v>
                </c:pt>
                <c:pt idx="287">
                  <c:v>15.525397260273971</c:v>
                </c:pt>
                <c:pt idx="288">
                  <c:v>15.579397260273971</c:v>
                </c:pt>
                <c:pt idx="289">
                  <c:v>15.633397260273972</c:v>
                </c:pt>
                <c:pt idx="290">
                  <c:v>15.687397260273972</c:v>
                </c:pt>
                <c:pt idx="291">
                  <c:v>15.741397260273972</c:v>
                </c:pt>
                <c:pt idx="292">
                  <c:v>15.795397260273973</c:v>
                </c:pt>
                <c:pt idx="293">
                  <c:v>15.849397260273971</c:v>
                </c:pt>
                <c:pt idx="294">
                  <c:v>15.903397260273971</c:v>
                </c:pt>
                <c:pt idx="295">
                  <c:v>15.957397260273972</c:v>
                </c:pt>
                <c:pt idx="296">
                  <c:v>16.011397260273974</c:v>
                </c:pt>
                <c:pt idx="297">
                  <c:v>16.065397260273972</c:v>
                </c:pt>
                <c:pt idx="298">
                  <c:v>16.119397260273971</c:v>
                </c:pt>
                <c:pt idx="299">
                  <c:v>16.173397260273973</c:v>
                </c:pt>
                <c:pt idx="300">
                  <c:v>16.227397260273971</c:v>
                </c:pt>
                <c:pt idx="301">
                  <c:v>16.281397260273973</c:v>
                </c:pt>
                <c:pt idx="302">
                  <c:v>16.335397260273972</c:v>
                </c:pt>
                <c:pt idx="303">
                  <c:v>16.38939726027397</c:v>
                </c:pt>
                <c:pt idx="304">
                  <c:v>16.443397260273972</c:v>
                </c:pt>
                <c:pt idx="305">
                  <c:v>16.497397260273971</c:v>
                </c:pt>
                <c:pt idx="306">
                  <c:v>16.551397260273973</c:v>
                </c:pt>
                <c:pt idx="307">
                  <c:v>16.605397260273971</c:v>
                </c:pt>
                <c:pt idx="308">
                  <c:v>16.659397260273973</c:v>
                </c:pt>
                <c:pt idx="309">
                  <c:v>16.713397260273972</c:v>
                </c:pt>
                <c:pt idx="310">
                  <c:v>16.76739726027397</c:v>
                </c:pt>
                <c:pt idx="311">
                  <c:v>16.821397260273972</c:v>
                </c:pt>
                <c:pt idx="312">
                  <c:v>16.875397260273971</c:v>
                </c:pt>
                <c:pt idx="313">
                  <c:v>16.929397260273973</c:v>
                </c:pt>
                <c:pt idx="314">
                  <c:v>16.983397260273971</c:v>
                </c:pt>
                <c:pt idx="315">
                  <c:v>17.037397260273973</c:v>
                </c:pt>
                <c:pt idx="316">
                  <c:v>17.091397260273972</c:v>
                </c:pt>
                <c:pt idx="317">
                  <c:v>17.14539726027397</c:v>
                </c:pt>
                <c:pt idx="318">
                  <c:v>17.199397260273972</c:v>
                </c:pt>
                <c:pt idx="319">
                  <c:v>17.253397260273971</c:v>
                </c:pt>
                <c:pt idx="320">
                  <c:v>17.307397260273973</c:v>
                </c:pt>
                <c:pt idx="321">
                  <c:v>17.361397260273971</c:v>
                </c:pt>
                <c:pt idx="322">
                  <c:v>17.41539726027397</c:v>
                </c:pt>
                <c:pt idx="323">
                  <c:v>17.469397260273972</c:v>
                </c:pt>
                <c:pt idx="324">
                  <c:v>17.52339726027397</c:v>
                </c:pt>
                <c:pt idx="325">
                  <c:v>17.577397260273973</c:v>
                </c:pt>
                <c:pt idx="326">
                  <c:v>17.631397260273971</c:v>
                </c:pt>
                <c:pt idx="327">
                  <c:v>17.685397260273973</c:v>
                </c:pt>
                <c:pt idx="328">
                  <c:v>17.739397260273972</c:v>
                </c:pt>
                <c:pt idx="329">
                  <c:v>17.79339726027397</c:v>
                </c:pt>
                <c:pt idx="330">
                  <c:v>17.847397260273972</c:v>
                </c:pt>
                <c:pt idx="331">
                  <c:v>17.901397260273971</c:v>
                </c:pt>
                <c:pt idx="332">
                  <c:v>17.955397260273973</c:v>
                </c:pt>
                <c:pt idx="333">
                  <c:v>18.009397260273971</c:v>
                </c:pt>
                <c:pt idx="334">
                  <c:v>18.063397260273973</c:v>
                </c:pt>
                <c:pt idx="335">
                  <c:v>18.117397260273972</c:v>
                </c:pt>
                <c:pt idx="336">
                  <c:v>18.17139726027397</c:v>
                </c:pt>
                <c:pt idx="337">
                  <c:v>18.225397260273972</c:v>
                </c:pt>
                <c:pt idx="338">
                  <c:v>18.279397260273971</c:v>
                </c:pt>
                <c:pt idx="339">
                  <c:v>18.333397260273973</c:v>
                </c:pt>
                <c:pt idx="340">
                  <c:v>18.387397260273971</c:v>
                </c:pt>
                <c:pt idx="341">
                  <c:v>18.441397260273973</c:v>
                </c:pt>
                <c:pt idx="342">
                  <c:v>18.495397260273972</c:v>
                </c:pt>
                <c:pt idx="343">
                  <c:v>18.54939726027397</c:v>
                </c:pt>
                <c:pt idx="344">
                  <c:v>18.603397260273972</c:v>
                </c:pt>
                <c:pt idx="345">
                  <c:v>18.657397260273971</c:v>
                </c:pt>
                <c:pt idx="346">
                  <c:v>18.711397260273973</c:v>
                </c:pt>
                <c:pt idx="347">
                  <c:v>18.765397260273971</c:v>
                </c:pt>
                <c:pt idx="348">
                  <c:v>18.81939726027397</c:v>
                </c:pt>
                <c:pt idx="349">
                  <c:v>18.873397260273972</c:v>
                </c:pt>
                <c:pt idx="350">
                  <c:v>18.92739726027397</c:v>
                </c:pt>
                <c:pt idx="351">
                  <c:v>18.981397260273972</c:v>
                </c:pt>
                <c:pt idx="352">
                  <c:v>19.035397260273971</c:v>
                </c:pt>
                <c:pt idx="353">
                  <c:v>19.089397260273973</c:v>
                </c:pt>
                <c:pt idx="354">
                  <c:v>19.143397260273971</c:v>
                </c:pt>
                <c:pt idx="355">
                  <c:v>19.19739726027397</c:v>
                </c:pt>
                <c:pt idx="356">
                  <c:v>19.251397260273972</c:v>
                </c:pt>
                <c:pt idx="357">
                  <c:v>19.305397260273971</c:v>
                </c:pt>
                <c:pt idx="358">
                  <c:v>19.359397260273973</c:v>
                </c:pt>
                <c:pt idx="359">
                  <c:v>19.413397260273971</c:v>
                </c:pt>
                <c:pt idx="360">
                  <c:v>19.467397260273973</c:v>
                </c:pt>
                <c:pt idx="361">
                  <c:v>19.521397260273972</c:v>
                </c:pt>
                <c:pt idx="362">
                  <c:v>19.57539726027397</c:v>
                </c:pt>
                <c:pt idx="363">
                  <c:v>19.629397260273972</c:v>
                </c:pt>
                <c:pt idx="364">
                  <c:v>19.683397260273971</c:v>
                </c:pt>
                <c:pt idx="365">
                  <c:v>19.737397260273973</c:v>
                </c:pt>
                <c:pt idx="366">
                  <c:v>19.791397260273971</c:v>
                </c:pt>
                <c:pt idx="367">
                  <c:v>19.845397260273973</c:v>
                </c:pt>
                <c:pt idx="368">
                  <c:v>19.899397260273972</c:v>
                </c:pt>
                <c:pt idx="369">
                  <c:v>19.95339726027397</c:v>
                </c:pt>
              </c:numCache>
            </c:numRef>
          </c:cat>
          <c:val>
            <c:numRef>
              <c:f>到期期限!$B$17:$B$386</c:f>
              <c:numCache>
                <c:formatCode>General</c:formatCode>
                <c:ptCount val="370"/>
                <c:pt idx="0">
                  <c:v>1.6914434658640687</c:v>
                </c:pt>
                <c:pt idx="1">
                  <c:v>2.9650152902454465</c:v>
                </c:pt>
                <c:pt idx="2">
                  <c:v>3.8674273364142877</c:v>
                </c:pt>
                <c:pt idx="3">
                  <c:v>4.6152240651828222</c:v>
                </c:pt>
                <c:pt idx="4">
                  <c:v>5.2718191713234219</c:v>
                </c:pt>
                <c:pt idx="5">
                  <c:v>5.8663230021006072</c:v>
                </c:pt>
                <c:pt idx="6">
                  <c:v>6.4149851189723108</c:v>
                </c:pt>
                <c:pt idx="7">
                  <c:v>6.9279750225221974</c:v>
                </c:pt>
                <c:pt idx="8">
                  <c:v>7.4121594986243906</c:v>
                </c:pt>
                <c:pt idx="9">
                  <c:v>7.8724345753556833</c:v>
                </c:pt>
                <c:pt idx="10">
                  <c:v>8.3124372743035835</c:v>
                </c:pt>
                <c:pt idx="11">
                  <c:v>8.7349573901268016</c:v>
                </c:pt>
                <c:pt idx="12">
                  <c:v>9.1421907254424752</c:v>
                </c:pt>
                <c:pt idx="13">
                  <c:v>9.5359025694300996</c:v>
                </c:pt>
                <c:pt idx="14">
                  <c:v>9.9175374923089947</c:v>
                </c:pt>
                <c:pt idx="15">
                  <c:v>10.288295551456791</c:v>
                </c:pt>
                <c:pt idx="16">
                  <c:v>10.649186676391579</c:v>
                </c:pt>
                <c:pt idx="17">
                  <c:v>11.001070417132865</c:v>
                </c:pt>
                <c:pt idx="18">
                  <c:v>11.344685601499684</c:v>
                </c:pt>
                <c:pt idx="19">
                  <c:v>11.68067286700483</c:v>
                </c:pt>
                <c:pt idx="20">
                  <c:v>12.009592054779702</c:v>
                </c:pt>
                <c:pt idx="21">
                  <c:v>12.331935829195878</c:v>
                </c:pt>
                <c:pt idx="22">
                  <c:v>12.648140478640151</c:v>
                </c:pt>
                <c:pt idx="23">
                  <c:v>12.958594579523265</c:v>
                </c:pt>
                <c:pt idx="24">
                  <c:v>13.263646018699028</c:v>
                </c:pt>
                <c:pt idx="25">
                  <c:v>13.563607739288287</c:v>
                </c:pt>
                <c:pt idx="26">
                  <c:v>13.858762482685954</c:v>
                </c:pt>
                <c:pt idx="27">
                  <c:v>14.14936673319751</c:v>
                </c:pt>
                <c:pt idx="28">
                  <c:v>14.435654023364776</c:v>
                </c:pt>
                <c:pt idx="29">
                  <c:v>14.717837722287534</c:v>
                </c:pt>
                <c:pt idx="30">
                  <c:v>14.996113402514816</c:v>
                </c:pt>
                <c:pt idx="31">
                  <c:v>15.270660860871082</c:v>
                </c:pt>
                <c:pt idx="32">
                  <c:v>15.541645853150101</c:v>
                </c:pt>
                <c:pt idx="33">
                  <c:v>15.809221590712973</c:v>
                </c:pt>
                <c:pt idx="34">
                  <c:v>16.073530037774795</c:v>
                </c:pt>
                <c:pt idx="35">
                  <c:v>16.334703040910142</c:v>
                </c:pt>
                <c:pt idx="36">
                  <c:v>16.592863316575077</c:v>
                </c:pt>
                <c:pt idx="37">
                  <c:v>16.848125317881639</c:v>
                </c:pt>
                <c:pt idx="38">
                  <c:v>17.10059599820454</c:v>
                </c:pt>
                <c:pt idx="39">
                  <c:v>17.350375486252503</c:v>
                </c:pt>
                <c:pt idx="40">
                  <c:v>17.597557684843927</c:v>
                </c:pt>
                <c:pt idx="41">
                  <c:v>17.842230803675498</c:v>
                </c:pt>
                <c:pt idx="42">
                  <c:v>18.084477834771292</c:v>
                </c:pt>
                <c:pt idx="43">
                  <c:v>18.32437697797927</c:v>
                </c:pt>
                <c:pt idx="44">
                  <c:v>18.562002022788249</c:v>
                </c:pt>
                <c:pt idx="45">
                  <c:v>18.797422691828295</c:v>
                </c:pt>
                <c:pt idx="46">
                  <c:v>19.030704950655078</c:v>
                </c:pt>
                <c:pt idx="47">
                  <c:v>19.261911287780372</c:v>
                </c:pt>
                <c:pt idx="48">
                  <c:v>19.491100968371406</c:v>
                </c:pt>
                <c:pt idx="49">
                  <c:v>19.71833026458588</c:v>
                </c:pt>
                <c:pt idx="50">
                  <c:v>19.943652665122336</c:v>
                </c:pt>
                <c:pt idx="51">
                  <c:v>20.167119066234989</c:v>
                </c:pt>
                <c:pt idx="52">
                  <c:v>20.388777946180277</c:v>
                </c:pt>
                <c:pt idx="53">
                  <c:v>20.608675524820192</c:v>
                </c:pt>
                <c:pt idx="54">
                  <c:v>20.826855909898718</c:v>
                </c:pt>
                <c:pt idx="55">
                  <c:v>21.043361231327964</c:v>
                </c:pt>
                <c:pt idx="56">
                  <c:v>21.25823176466541</c:v>
                </c:pt>
                <c:pt idx="57">
                  <c:v>21.471506044827443</c:v>
                </c:pt>
                <c:pt idx="58">
                  <c:v>21.683220970968101</c:v>
                </c:pt>
                <c:pt idx="59">
                  <c:v>21.893411903348145</c:v>
                </c:pt>
                <c:pt idx="60">
                  <c:v>22.102112752930879</c:v>
                </c:pt>
                <c:pt idx="61">
                  <c:v>22.309356064361545</c:v>
                </c:pt>
                <c:pt idx="62">
                  <c:v>22.515173092918964</c:v>
                </c:pt>
                <c:pt idx="63">
                  <c:v>22.719593875966311</c:v>
                </c:pt>
                <c:pt idx="64">
                  <c:v>22.922647299374987</c:v>
                </c:pt>
                <c:pt idx="65">
                  <c:v>23.124361159347586</c:v>
                </c:pt>
                <c:pt idx="66">
                  <c:v>23.32476222002412</c:v>
                </c:pt>
                <c:pt idx="67">
                  <c:v>23.523876267218064</c:v>
                </c:pt>
                <c:pt idx="68">
                  <c:v>23.721728158596008</c:v>
                </c:pt>
                <c:pt idx="69">
                  <c:v>23.918341870584385</c:v>
                </c:pt>
                <c:pt idx="70">
                  <c:v>24.113740542261461</c:v>
                </c:pt>
                <c:pt idx="71">
                  <c:v>24.307946516467652</c:v>
                </c:pt>
                <c:pt idx="72">
                  <c:v>24.500981378347404</c:v>
                </c:pt>
                <c:pt idx="73">
                  <c:v>24.692865991516264</c:v>
                </c:pt>
                <c:pt idx="74">
                  <c:v>24.88362053202983</c:v>
                </c:pt>
                <c:pt idx="75">
                  <c:v>25.073264520315703</c:v>
                </c:pt>
                <c:pt idx="76">
                  <c:v>25.261816851216381</c:v>
                </c:pt>
                <c:pt idx="77">
                  <c:v>25.449295822277847</c:v>
                </c:pt>
                <c:pt idx="78">
                  <c:v>25.63571916040766</c:v>
                </c:pt>
                <c:pt idx="79">
                  <c:v>25.821104047016199</c:v>
                </c:pt>
                <c:pt idx="80">
                  <c:v>26.005467141745463</c:v>
                </c:pt>
                <c:pt idx="81">
                  <c:v>26.188824604881148</c:v>
                </c:pt>
                <c:pt idx="82">
                  <c:v>26.371192118536726</c:v>
                </c:pt>
                <c:pt idx="83">
                  <c:v>26.552584906690328</c:v>
                </c:pt>
                <c:pt idx="84">
                  <c:v>26.733017754150438</c:v>
                </c:pt>
                <c:pt idx="85">
                  <c:v>26.912505024518616</c:v>
                </c:pt>
                <c:pt idx="86">
                  <c:v>27.09106067721455</c:v>
                </c:pt>
                <c:pt idx="87">
                  <c:v>27.268698283621745</c:v>
                </c:pt>
                <c:pt idx="88">
                  <c:v>27.44543104240946</c:v>
                </c:pt>
                <c:pt idx="89">
                  <c:v>27.621271794081437</c:v>
                </c:pt>
                <c:pt idx="90">
                  <c:v>27.796233034798824</c:v>
                </c:pt>
                <c:pt idx="91">
                  <c:v>27.97032692952105</c:v>
                </c:pt>
                <c:pt idx="92">
                  <c:v>28.143565324505488</c:v>
                </c:pt>
                <c:pt idx="93">
                  <c:v>28.315959759203842</c:v>
                </c:pt>
                <c:pt idx="94">
                  <c:v>28.487521477590313</c:v>
                </c:pt>
                <c:pt idx="95">
                  <c:v>28.658261438954845</c:v>
                </c:pt>
                <c:pt idx="96">
                  <c:v>28.828190328191525</c:v>
                </c:pt>
                <c:pt idx="97">
                  <c:v>28.997318565611316</c:v>
                </c:pt>
                <c:pt idx="98">
                  <c:v>29.165656316305281</c:v>
                </c:pt>
                <c:pt idx="99">
                  <c:v>29.333213499083719</c:v>
                </c:pt>
                <c:pt idx="100">
                  <c:v>29.499999795014133</c:v>
                </c:pt>
                <c:pt idx="101">
                  <c:v>29.666024655580038</c:v>
                </c:pt>
                <c:pt idx="102">
                  <c:v>29.831297310481077</c:v>
                </c:pt>
                <c:pt idx="103">
                  <c:v>29.995826775093377</c:v>
                </c:pt>
                <c:pt idx="104">
                  <c:v>30.159621857608421</c:v>
                </c:pt>
                <c:pt idx="105">
                  <c:v>30.322691165866907</c:v>
                </c:pt>
                <c:pt idx="106">
                  <c:v>30.485043113903465</c:v>
                </c:pt>
                <c:pt idx="107">
                  <c:v>30.646685928217479</c:v>
                </c:pt>
                <c:pt idx="108">
                  <c:v>30.807627653783314</c:v>
                </c:pt>
                <c:pt idx="109">
                  <c:v>30.967876159813521</c:v>
                </c:pt>
                <c:pt idx="110">
                  <c:v>31.127439145287191</c:v>
                </c:pt>
                <c:pt idx="111">
                  <c:v>31.28632414425519</c:v>
                </c:pt>
                <c:pt idx="112">
                  <c:v>31.444538530933038</c:v>
                </c:pt>
                <c:pt idx="113">
                  <c:v>31.60208952459174</c:v>
                </c:pt>
                <c:pt idx="114">
                  <c:v>31.758984194256726</c:v>
                </c:pt>
                <c:pt idx="115">
                  <c:v>31.915229463223447</c:v>
                </c:pt>
                <c:pt idx="116">
                  <c:v>32.070832113398659</c:v>
                </c:pt>
                <c:pt idx="117">
                  <c:v>32.225798789475547</c:v>
                </c:pt>
                <c:pt idx="118">
                  <c:v>32.380136002950415</c:v>
                </c:pt>
                <c:pt idx="119">
                  <c:v>32.533850135988217</c:v>
                </c:pt>
                <c:pt idx="120">
                  <c:v>32.68694744514363</c:v>
                </c:pt>
                <c:pt idx="121">
                  <c:v>32.839434064944733</c:v>
                </c:pt>
                <c:pt idx="122">
                  <c:v>32.991316011345006</c:v>
                </c:pt>
                <c:pt idx="123">
                  <c:v>33.142599185049683</c:v>
                </c:pt>
                <c:pt idx="124">
                  <c:v>33.293289374722114</c:v>
                </c:pt>
                <c:pt idx="125">
                  <c:v>33.443392260075228</c:v>
                </c:pt>
                <c:pt idx="126">
                  <c:v>33.592913414853179</c:v>
                </c:pt>
                <c:pt idx="127">
                  <c:v>33.741858309708043</c:v>
                </c:pt>
                <c:pt idx="128">
                  <c:v>33.890232314975854</c:v>
                </c:pt>
                <c:pt idx="129">
                  <c:v>34.038040703356316</c:v>
                </c:pt>
                <c:pt idx="130">
                  <c:v>34.185288652500354</c:v>
                </c:pt>
                <c:pt idx="131">
                  <c:v>34.331981247509376</c:v>
                </c:pt>
                <c:pt idx="132">
                  <c:v>34.47812348334967</c:v>
                </c:pt>
                <c:pt idx="133">
                  <c:v>34.623720267185703</c:v>
                </c:pt>
                <c:pt idx="134">
                  <c:v>34.768776420635561</c:v>
                </c:pt>
                <c:pt idx="135">
                  <c:v>34.913296681951628</c:v>
                </c:pt>
                <c:pt idx="136">
                  <c:v>35.057285708129626</c:v>
                </c:pt>
                <c:pt idx="137">
                  <c:v>35.200748076948692</c:v>
                </c:pt>
                <c:pt idx="138">
                  <c:v>35.343688288945522</c:v>
                </c:pt>
                <c:pt idx="139">
                  <c:v>35.486110769324959</c:v>
                </c:pt>
                <c:pt idx="140">
                  <c:v>35.628019869809499</c:v>
                </c:pt>
                <c:pt idx="141">
                  <c:v>35.769419870430397</c:v>
                </c:pt>
                <c:pt idx="142">
                  <c:v>35.910314981262005</c:v>
                </c:pt>
                <c:pt idx="143">
                  <c:v>36.050709344102437</c:v>
                </c:pt>
                <c:pt idx="144">
                  <c:v>36.190607034101554</c:v>
                </c:pt>
                <c:pt idx="145">
                  <c:v>36.330012061339154</c:v>
                </c:pt>
                <c:pt idx="146">
                  <c:v>36.468928372354782</c:v>
                </c:pt>
                <c:pt idx="147">
                  <c:v>36.607359851630882</c:v>
                </c:pt>
                <c:pt idx="148">
                  <c:v>36.745310323031454</c:v>
                </c:pt>
                <c:pt idx="149">
                  <c:v>36.882783551197299</c:v>
                </c:pt>
                <c:pt idx="150">
                  <c:v>37.01978324290004</c:v>
                </c:pt>
                <c:pt idx="151">
                  <c:v>37.156313048355798</c:v>
                </c:pt>
                <c:pt idx="152">
                  <c:v>37.292376562500529</c:v>
                </c:pt>
                <c:pt idx="153">
                  <c:v>37.427977326227911</c:v>
                </c:pt>
                <c:pt idx="154">
                  <c:v>37.563118827591531</c:v>
                </c:pt>
                <c:pt idx="155">
                  <c:v>37.697804502972382</c:v>
                </c:pt>
                <c:pt idx="156">
                  <c:v>37.832037738212954</c:v>
                </c:pt>
                <c:pt idx="157">
                  <c:v>37.965821869719036</c:v>
                </c:pt>
                <c:pt idx="158">
                  <c:v>38.099160185530522</c:v>
                </c:pt>
                <c:pt idx="159">
                  <c:v>38.232055926362086</c:v>
                </c:pt>
                <c:pt idx="160">
                  <c:v>38.364512286614719</c:v>
                </c:pt>
                <c:pt idx="161">
                  <c:v>38.496532415359532</c:v>
                </c:pt>
                <c:pt idx="162">
                  <c:v>38.62811941729418</c:v>
                </c:pt>
                <c:pt idx="163">
                  <c:v>38.759276353673272</c:v>
                </c:pt>
                <c:pt idx="164">
                  <c:v>38.890006243213392</c:v>
                </c:pt>
                <c:pt idx="165">
                  <c:v>39.020312062973773</c:v>
                </c:pt>
                <c:pt idx="166">
                  <c:v>39.150196749213116</c:v>
                </c:pt>
                <c:pt idx="167">
                  <c:v>39.279663198223766</c:v>
                </c:pt>
                <c:pt idx="168">
                  <c:v>39.408714267143608</c:v>
                </c:pt>
                <c:pt idx="169">
                  <c:v>39.537352774746509</c:v>
                </c:pt>
                <c:pt idx="170">
                  <c:v>39.665581502212177</c:v>
                </c:pt>
                <c:pt idx="171">
                  <c:v>39.793403193875889</c:v>
                </c:pt>
                <c:pt idx="172">
                  <c:v>39.92082055795867</c:v>
                </c:pt>
                <c:pt idx="173">
                  <c:v>40.047836267278853</c:v>
                </c:pt>
                <c:pt idx="174">
                  <c:v>40.174452959945349</c:v>
                </c:pt>
                <c:pt idx="175">
                  <c:v>40.300673240033184</c:v>
                </c:pt>
                <c:pt idx="176">
                  <c:v>40.426499678242095</c:v>
                </c:pt>
                <c:pt idx="177">
                  <c:v>40.551934812538306</c:v>
                </c:pt>
                <c:pt idx="178">
                  <c:v>40.676981148780619</c:v>
                </c:pt>
                <c:pt idx="179">
                  <c:v>40.801641161330501</c:v>
                </c:pt>
                <c:pt idx="180">
                  <c:v>40.925917293647402</c:v>
                </c:pt>
                <c:pt idx="181">
                  <c:v>41.049811958869256</c:v>
                </c:pt>
                <c:pt idx="182">
                  <c:v>41.173327540378835</c:v>
                </c:pt>
                <c:pt idx="183">
                  <c:v>41.296466392356386</c:v>
                </c:pt>
                <c:pt idx="184">
                  <c:v>41.419230840318697</c:v>
                </c:pt>
                <c:pt idx="185">
                  <c:v>41.541623181645463</c:v>
                </c:pt>
                <c:pt idx="186">
                  <c:v>41.66364568609287</c:v>
                </c:pt>
                <c:pt idx="187">
                  <c:v>41.785300596294981</c:v>
                </c:pt>
                <c:pt idx="188">
                  <c:v>41.906590128253342</c:v>
                </c:pt>
                <c:pt idx="189">
                  <c:v>42.027516471814941</c:v>
                </c:pt>
                <c:pt idx="190">
                  <c:v>42.148081791139134</c:v>
                </c:pt>
                <c:pt idx="191">
                  <c:v>42.26828822515342</c:v>
                </c:pt>
                <c:pt idx="192">
                  <c:v>42.388137887999079</c:v>
                </c:pt>
                <c:pt idx="193">
                  <c:v>42.507632869466079</c:v>
                </c:pt>
                <c:pt idx="194">
                  <c:v>42.626775235418329</c:v>
                </c:pt>
                <c:pt idx="195">
                  <c:v>42.745567028209202</c:v>
                </c:pt>
                <c:pt idx="196">
                  <c:v>42.864010267087444</c:v>
                </c:pt>
                <c:pt idx="197">
                  <c:v>42.982106948594122</c:v>
                </c:pt>
                <c:pt idx="198">
                  <c:v>43.09985904695057</c:v>
                </c:pt>
                <c:pt idx="199">
                  <c:v>43.217268514437706</c:v>
                </c:pt>
                <c:pt idx="200">
                  <c:v>43.334337281766793</c:v>
                </c:pt>
                <c:pt idx="201">
                  <c:v>43.451067258442336</c:v>
                </c:pt>
                <c:pt idx="202">
                  <c:v>43.567460333116529</c:v>
                </c:pt>
                <c:pt idx="203">
                  <c:v>43.683518373936323</c:v>
                </c:pt>
                <c:pt idx="204">
                  <c:v>43.799243228882787</c:v>
                </c:pt>
                <c:pt idx="205">
                  <c:v>43.914636726103048</c:v>
                </c:pt>
                <c:pt idx="206">
                  <c:v>44.029700674235272</c:v>
                </c:pt>
                <c:pt idx="207">
                  <c:v>44.144436862726472</c:v>
                </c:pt>
                <c:pt idx="208">
                  <c:v>44.258847062143666</c:v>
                </c:pt>
                <c:pt idx="209">
                  <c:v>44.372933024478314</c:v>
                </c:pt>
                <c:pt idx="210">
                  <c:v>44.486696483444412</c:v>
                </c:pt>
                <c:pt idx="211">
                  <c:v>44.600139154770346</c:v>
                </c:pt>
                <c:pt idx="212">
                  <c:v>44.713262736484396</c:v>
                </c:pt>
                <c:pt idx="213">
                  <c:v>44.826068909194703</c:v>
                </c:pt>
                <c:pt idx="214">
                  <c:v>44.938559336362943</c:v>
                </c:pt>
                <c:pt idx="215">
                  <c:v>45.050735664572862</c:v>
                </c:pt>
                <c:pt idx="216">
                  <c:v>45.162599523792814</c:v>
                </c:pt>
                <c:pt idx="217">
                  <c:v>45.274152527633241</c:v>
                </c:pt>
                <c:pt idx="218">
                  <c:v>45.385396273598893</c:v>
                </c:pt>
                <c:pt idx="219">
                  <c:v>45.496332343335787</c:v>
                </c:pt>
                <c:pt idx="220">
                  <c:v>45.606962302873299</c:v>
                </c:pt>
                <c:pt idx="221">
                  <c:v>45.717287702861398</c:v>
                </c:pt>
                <c:pt idx="222">
                  <c:v>45.827310078803123</c:v>
                </c:pt>
                <c:pt idx="223">
                  <c:v>45.937030951282367</c:v>
                </c:pt>
                <c:pt idx="224">
                  <c:v>46.046451826187365</c:v>
                </c:pt>
                <c:pt idx="225">
                  <c:v>46.155574194929457</c:v>
                </c:pt>
                <c:pt idx="226">
                  <c:v>46.264399534657926</c:v>
                </c:pt>
                <c:pt idx="227">
                  <c:v>46.372929308470312</c:v>
                </c:pt>
                <c:pt idx="228">
                  <c:v>46.481164965618866</c:v>
                </c:pt>
                <c:pt idx="229">
                  <c:v>46.589107941712932</c:v>
                </c:pt>
                <c:pt idx="230">
                  <c:v>46.696759658917372</c:v>
                </c:pt>
                <c:pt idx="231">
                  <c:v>46.804121526147277</c:v>
                </c:pt>
                <c:pt idx="232">
                  <c:v>46.911194939258969</c:v>
                </c:pt>
                <c:pt idx="233">
                  <c:v>47.017981281237319</c:v>
                </c:pt>
                <c:pt idx="234">
                  <c:v>47.124481922379445</c:v>
                </c:pt>
                <c:pt idx="235">
                  <c:v>47.230698220475141</c:v>
                </c:pt>
                <c:pt idx="236">
                  <c:v>47.336631520983872</c:v>
                </c:pt>
                <c:pt idx="237">
                  <c:v>47.442283157208202</c:v>
                </c:pt>
                <c:pt idx="238">
                  <c:v>47.547654450464449</c:v>
                </c:pt>
                <c:pt idx="239">
                  <c:v>47.652746710249772</c:v>
                </c:pt>
                <c:pt idx="240">
                  <c:v>47.757561234406431</c:v>
                </c:pt>
                <c:pt idx="241">
                  <c:v>47.862099309282947</c:v>
                </c:pt>
                <c:pt idx="242">
                  <c:v>47.966362209892239</c:v>
                </c:pt>
                <c:pt idx="243">
                  <c:v>48.070351200067101</c:v>
                </c:pt>
                <c:pt idx="244">
                  <c:v>48.17406753261259</c:v>
                </c:pt>
                <c:pt idx="245">
                  <c:v>48.277512449455827</c:v>
                </c:pt>
                <c:pt idx="246">
                  <c:v>48.380687181793185</c:v>
                </c:pt>
                <c:pt idx="247">
                  <c:v>48.483592950234538</c:v>
                </c:pt>
                <c:pt idx="248">
                  <c:v>48.586230964945329</c:v>
                </c:pt>
                <c:pt idx="249">
                  <c:v>48.688602425785781</c:v>
                </c:pt>
                <c:pt idx="250">
                  <c:v>48.790708522447872</c:v>
                </c:pt>
                <c:pt idx="251">
                  <c:v>48.892550434589786</c:v>
                </c:pt>
                <c:pt idx="252">
                  <c:v>48.994129331968068</c:v>
                </c:pt>
                <c:pt idx="253">
                  <c:v>49.095446374567331</c:v>
                </c:pt>
                <c:pt idx="254">
                  <c:v>49.196502712727998</c:v>
                </c:pt>
                <c:pt idx="255">
                  <c:v>49.297299487271552</c:v>
                </c:pt>
                <c:pt idx="256">
                  <c:v>49.397837829623661</c:v>
                </c:pt>
                <c:pt idx="257">
                  <c:v>49.498118861935382</c:v>
                </c:pt>
                <c:pt idx="258">
                  <c:v>49.59814369720214</c:v>
                </c:pt>
                <c:pt idx="259">
                  <c:v>49.697913439380606</c:v>
                </c:pt>
                <c:pt idx="260">
                  <c:v>49.797429183503766</c:v>
                </c:pt>
                <c:pt idx="261">
                  <c:v>49.896692015794031</c:v>
                </c:pt>
                <c:pt idx="262">
                  <c:v>49.995703013774225</c:v>
                </c:pt>
                <c:pt idx="263">
                  <c:v>50.094463246376982</c:v>
                </c:pt>
                <c:pt idx="264">
                  <c:v>50.192973774052149</c:v>
                </c:pt>
                <c:pt idx="265">
                  <c:v>50.291235648872529</c:v>
                </c:pt>
                <c:pt idx="266">
                  <c:v>50.389249914637659</c:v>
                </c:pt>
                <c:pt idx="267">
                  <c:v>50.48701760697611</c:v>
                </c:pt>
                <c:pt idx="268">
                  <c:v>50.584539753446023</c:v>
                </c:pt>
                <c:pt idx="269">
                  <c:v>50.681817373633898</c:v>
                </c:pt>
                <c:pt idx="270">
                  <c:v>50.778851479251919</c:v>
                </c:pt>
                <c:pt idx="271">
                  <c:v>50.875643074233579</c:v>
                </c:pt>
                <c:pt idx="272">
                  <c:v>50.97219315482787</c:v>
                </c:pt>
                <c:pt idx="273">
                  <c:v>51.068502709691842</c:v>
                </c:pt>
                <c:pt idx="274">
                  <c:v>51.164572719981734</c:v>
                </c:pt>
                <c:pt idx="275">
                  <c:v>51.260404159442643</c:v>
                </c:pt>
                <c:pt idx="276">
                  <c:v>51.355997994496789</c:v>
                </c:pt>
                <c:pt idx="277">
                  <c:v>51.451355184330239</c:v>
                </c:pt>
                <c:pt idx="278">
                  <c:v>51.546476680978479</c:v>
                </c:pt>
                <c:pt idx="279">
                  <c:v>51.641363429410447</c:v>
                </c:pt>
                <c:pt idx="280">
                  <c:v>51.736016367611413</c:v>
                </c:pt>
                <c:pt idx="281">
                  <c:v>51.830436426664306</c:v>
                </c:pt>
                <c:pt idx="282">
                  <c:v>51.924624530830073</c:v>
                </c:pt>
                <c:pt idx="283">
                  <c:v>52.0185815976266</c:v>
                </c:pt>
                <c:pt idx="284">
                  <c:v>52.112308537906458</c:v>
                </c:pt>
                <c:pt idx="285">
                  <c:v>52.205806255933453</c:v>
                </c:pt>
                <c:pt idx="286">
                  <c:v>52.299075649457997</c:v>
                </c:pt>
                <c:pt idx="287">
                  <c:v>52.39211760979137</c:v>
                </c:pt>
                <c:pt idx="288">
                  <c:v>52.484933021878746</c:v>
                </c:pt>
                <c:pt idx="289">
                  <c:v>52.577522764371139</c:v>
                </c:pt>
                <c:pt idx="290">
                  <c:v>52.669887709696411</c:v>
                </c:pt>
                <c:pt idx="291">
                  <c:v>52.762028724128953</c:v>
                </c:pt>
                <c:pt idx="292">
                  <c:v>52.853946667858573</c:v>
                </c:pt>
                <c:pt idx="293">
                  <c:v>52.945642395058059</c:v>
                </c:pt>
                <c:pt idx="294">
                  <c:v>53.037116753950158</c:v>
                </c:pt>
                <c:pt idx="295">
                  <c:v>53.128370586873018</c:v>
                </c:pt>
                <c:pt idx="296">
                  <c:v>53.219404730345119</c:v>
                </c:pt>
                <c:pt idx="297">
                  <c:v>53.310220015129069</c:v>
                </c:pt>
                <c:pt idx="298">
                  <c:v>53.400817266294375</c:v>
                </c:pt>
                <c:pt idx="299">
                  <c:v>53.491197303279435</c:v>
                </c:pt>
                <c:pt idx="300">
                  <c:v>53.581360939952589</c:v>
                </c:pt>
                <c:pt idx="301">
                  <c:v>53.67130898467218</c:v>
                </c:pt>
                <c:pt idx="302">
                  <c:v>53.761042240345873</c:v>
                </c:pt>
                <c:pt idx="303">
                  <c:v>53.85056150448915</c:v>
                </c:pt>
                <c:pt idx="304">
                  <c:v>53.939867569282711</c:v>
                </c:pt>
                <c:pt idx="305">
                  <c:v>54.028961221629302</c:v>
                </c:pt>
                <c:pt idx="306">
                  <c:v>54.117843243209649</c:v>
                </c:pt>
                <c:pt idx="307">
                  <c:v>54.206514410537551</c:v>
                </c:pt>
                <c:pt idx="308">
                  <c:v>54.294975495014356</c:v>
                </c:pt>
                <c:pt idx="309">
                  <c:v>54.38322726298226</c:v>
                </c:pt>
                <c:pt idx="310">
                  <c:v>54.471270475777445</c:v>
                </c:pt>
                <c:pt idx="311">
                  <c:v>54.559105889781918</c:v>
                </c:pt>
                <c:pt idx="312">
                  <c:v>54.646734256474986</c:v>
                </c:pt>
                <c:pt idx="313">
                  <c:v>54.734156322483827</c:v>
                </c:pt>
                <c:pt idx="314">
                  <c:v>54.821372829633404</c:v>
                </c:pt>
                <c:pt idx="315">
                  <c:v>54.908384514995745</c:v>
                </c:pt>
                <c:pt idx="316">
                  <c:v>54.995192110938433</c:v>
                </c:pt>
                <c:pt idx="317">
                  <c:v>55.081796345172492</c:v>
                </c:pt>
                <c:pt idx="318">
                  <c:v>55.168197940799629</c:v>
                </c:pt>
                <c:pt idx="319">
                  <c:v>55.254397616358844</c:v>
                </c:pt>
                <c:pt idx="320">
                  <c:v>55.340396085872221</c:v>
                </c:pt>
                <c:pt idx="321">
                  <c:v>55.426194058890374</c:v>
                </c:pt>
                <c:pt idx="322">
                  <c:v>55.511792240537076</c:v>
                </c:pt>
                <c:pt idx="323">
                  <c:v>55.597191331553425</c:v>
                </c:pt>
                <c:pt idx="324">
                  <c:v>55.682392028341205</c:v>
                </c:pt>
                <c:pt idx="325">
                  <c:v>55.767395023005875</c:v>
                </c:pt>
                <c:pt idx="326">
                  <c:v>55.852201003398974</c:v>
                </c:pt>
                <c:pt idx="327">
                  <c:v>55.936810653159725</c:v>
                </c:pt>
                <c:pt idx="328">
                  <c:v>56.021224651756398</c:v>
                </c:pt>
                <c:pt idx="329">
                  <c:v>56.10544367452691</c:v>
                </c:pt>
                <c:pt idx="330">
                  <c:v>56.189468392718958</c:v>
                </c:pt>
                <c:pt idx="331">
                  <c:v>56.273299473529633</c:v>
                </c:pt>
                <c:pt idx="332">
                  <c:v>56.356937580144461</c:v>
                </c:pt>
                <c:pt idx="333">
                  <c:v>56.440383371776065</c:v>
                </c:pt>
                <c:pt idx="334">
                  <c:v>56.523637503702091</c:v>
                </c:pt>
                <c:pt idx="335">
                  <c:v>56.606700627302942</c:v>
                </c:pt>
                <c:pt idx="336">
                  <c:v>56.689573390098687</c:v>
                </c:pt>
                <c:pt idx="337">
                  <c:v>56.772256435785799</c:v>
                </c:pt>
                <c:pt idx="338">
                  <c:v>56.854750404273211</c:v>
                </c:pt>
                <c:pt idx="339">
                  <c:v>56.937055931718035</c:v>
                </c:pt>
                <c:pt idx="340">
                  <c:v>57.019173650560717</c:v>
                </c:pt>
                <c:pt idx="341">
                  <c:v>57.101104189559848</c:v>
                </c:pt>
                <c:pt idx="342">
                  <c:v>57.182848173826372</c:v>
                </c:pt>
                <c:pt idx="343">
                  <c:v>57.264406224857666</c:v>
                </c:pt>
                <c:pt idx="344">
                  <c:v>57.345778960570804</c:v>
                </c:pt>
                <c:pt idx="345">
                  <c:v>57.426966995335661</c:v>
                </c:pt>
                <c:pt idx="346">
                  <c:v>57.507970940007546</c:v>
                </c:pt>
                <c:pt idx="347">
                  <c:v>57.588791401959412</c:v>
                </c:pt>
                <c:pt idx="348">
                  <c:v>57.669428985113569</c:v>
                </c:pt>
                <c:pt idx="349">
                  <c:v>57.749884289973238</c:v>
                </c:pt>
                <c:pt idx="350">
                  <c:v>57.830157913653451</c:v>
                </c:pt>
                <c:pt idx="351">
                  <c:v>57.910250449911693</c:v>
                </c:pt>
                <c:pt idx="352">
                  <c:v>57.990162489178246</c:v>
                </c:pt>
                <c:pt idx="353">
                  <c:v>58.069894618585977</c:v>
                </c:pt>
                <c:pt idx="354">
                  <c:v>58.149447421999916</c:v>
                </c:pt>
                <c:pt idx="355">
                  <c:v>58.228821480046349</c:v>
                </c:pt>
                <c:pt idx="356">
                  <c:v>58.308017370141698</c:v>
                </c:pt>
                <c:pt idx="357">
                  <c:v>58.387035666520909</c:v>
                </c:pt>
                <c:pt idx="358">
                  <c:v>58.465876940265566</c:v>
                </c:pt>
                <c:pt idx="359">
                  <c:v>58.544541759331679</c:v>
                </c:pt>
                <c:pt idx="360">
                  <c:v>58.623030688577032</c:v>
                </c:pt>
                <c:pt idx="361">
                  <c:v>58.70134428978848</c:v>
                </c:pt>
                <c:pt idx="362">
                  <c:v>58.779483121708438</c:v>
                </c:pt>
                <c:pt idx="363">
                  <c:v>58.857447740061644</c:v>
                </c:pt>
                <c:pt idx="364">
                  <c:v>58.935238697581021</c:v>
                </c:pt>
                <c:pt idx="365">
                  <c:v>59.01285654403371</c:v>
                </c:pt>
                <c:pt idx="366">
                  <c:v>59.090301826246474</c:v>
                </c:pt>
                <c:pt idx="367">
                  <c:v>59.167575088131017</c:v>
                </c:pt>
                <c:pt idx="368">
                  <c:v>59.244676870708815</c:v>
                </c:pt>
                <c:pt idx="369">
                  <c:v>59.32160771213578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4-4B57-B551-566B9F5B3F79}"/>
            </c:ext>
          </c:extLst>
        </c:ser>
        <c:ser>
          <c:idx val="1"/>
          <c:order val="1"/>
          <c:tx>
            <c:strRef>
              <c:f>到期期限!$C$16</c:f>
              <c:strCache>
                <c:ptCount val="1"/>
                <c:pt idx="0">
                  <c:v>看跌期权B-S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到期期限!$A$17:$A$386</c:f>
              <c:numCache>
                <c:formatCode>General</c:formatCode>
                <c:ptCount val="370"/>
                <c:pt idx="0">
                  <c:v>2.7397260273972601E-2</c:v>
                </c:pt>
                <c:pt idx="1">
                  <c:v>8.1397260273972594E-2</c:v>
                </c:pt>
                <c:pt idx="2">
                  <c:v>0.13539726027397259</c:v>
                </c:pt>
                <c:pt idx="3">
                  <c:v>0.18939726027397261</c:v>
                </c:pt>
                <c:pt idx="4">
                  <c:v>0.2433972602739726</c:v>
                </c:pt>
                <c:pt idx="5">
                  <c:v>0.29739726027397262</c:v>
                </c:pt>
                <c:pt idx="6">
                  <c:v>0.35139726027397261</c:v>
                </c:pt>
                <c:pt idx="7">
                  <c:v>0.4053972602739726</c:v>
                </c:pt>
                <c:pt idx="8">
                  <c:v>0.4593972602739726</c:v>
                </c:pt>
                <c:pt idx="9">
                  <c:v>0.51339726027397259</c:v>
                </c:pt>
                <c:pt idx="10">
                  <c:v>0.56739726027397264</c:v>
                </c:pt>
                <c:pt idx="11">
                  <c:v>0.62139726027397257</c:v>
                </c:pt>
                <c:pt idx="12">
                  <c:v>0.67539726027397262</c:v>
                </c:pt>
                <c:pt idx="13">
                  <c:v>0.72939726027397256</c:v>
                </c:pt>
                <c:pt idx="14">
                  <c:v>0.78339726027397261</c:v>
                </c:pt>
                <c:pt idx="15">
                  <c:v>0.83739726027397254</c:v>
                </c:pt>
                <c:pt idx="16">
                  <c:v>0.89139726027397259</c:v>
                </c:pt>
                <c:pt idx="17">
                  <c:v>0.94539726027397264</c:v>
                </c:pt>
                <c:pt idx="18">
                  <c:v>0.99939726027397258</c:v>
                </c:pt>
                <c:pt idx="19">
                  <c:v>1.0533972602739725</c:v>
                </c:pt>
                <c:pt idx="20">
                  <c:v>1.1073972602739728</c:v>
                </c:pt>
                <c:pt idx="21">
                  <c:v>1.1613972602739726</c:v>
                </c:pt>
                <c:pt idx="22">
                  <c:v>1.2153972602739724</c:v>
                </c:pt>
                <c:pt idx="23">
                  <c:v>1.2693972602739727</c:v>
                </c:pt>
                <c:pt idx="24">
                  <c:v>1.3233972602739725</c:v>
                </c:pt>
                <c:pt idx="25">
                  <c:v>1.3773972602739728</c:v>
                </c:pt>
                <c:pt idx="26">
                  <c:v>1.4313972602739726</c:v>
                </c:pt>
                <c:pt idx="27">
                  <c:v>1.4853972602739725</c:v>
                </c:pt>
                <c:pt idx="28">
                  <c:v>1.5393972602739727</c:v>
                </c:pt>
                <c:pt idx="29">
                  <c:v>1.5933972602739725</c:v>
                </c:pt>
                <c:pt idx="30">
                  <c:v>1.6473972602739724</c:v>
                </c:pt>
                <c:pt idx="31">
                  <c:v>1.7013972602739726</c:v>
                </c:pt>
                <c:pt idx="32">
                  <c:v>1.7553972602739725</c:v>
                </c:pt>
                <c:pt idx="33">
                  <c:v>1.8093972602739727</c:v>
                </c:pt>
                <c:pt idx="34">
                  <c:v>1.8633972602739726</c:v>
                </c:pt>
                <c:pt idx="35">
                  <c:v>1.9173972602739724</c:v>
                </c:pt>
                <c:pt idx="36">
                  <c:v>1.9713972602739727</c:v>
                </c:pt>
                <c:pt idx="37">
                  <c:v>2.0253972602739725</c:v>
                </c:pt>
                <c:pt idx="38">
                  <c:v>2.0793972602739728</c:v>
                </c:pt>
                <c:pt idx="39">
                  <c:v>2.1333972602739726</c:v>
                </c:pt>
                <c:pt idx="40">
                  <c:v>2.1873972602739729</c:v>
                </c:pt>
                <c:pt idx="41">
                  <c:v>2.2413972602739727</c:v>
                </c:pt>
                <c:pt idx="42">
                  <c:v>2.2953972602739725</c:v>
                </c:pt>
                <c:pt idx="43">
                  <c:v>2.3493972602739728</c:v>
                </c:pt>
                <c:pt idx="44">
                  <c:v>2.4033972602739726</c:v>
                </c:pt>
                <c:pt idx="45">
                  <c:v>2.4573972602739729</c:v>
                </c:pt>
                <c:pt idx="46">
                  <c:v>2.5113972602739727</c:v>
                </c:pt>
                <c:pt idx="47">
                  <c:v>2.5653972602739725</c:v>
                </c:pt>
                <c:pt idx="48">
                  <c:v>2.6193972602739728</c:v>
                </c:pt>
                <c:pt idx="49">
                  <c:v>2.6733972602739726</c:v>
                </c:pt>
                <c:pt idx="50">
                  <c:v>2.7273972602739729</c:v>
                </c:pt>
                <c:pt idx="51">
                  <c:v>2.7813972602739727</c:v>
                </c:pt>
                <c:pt idx="52">
                  <c:v>2.8353972602739725</c:v>
                </c:pt>
                <c:pt idx="53">
                  <c:v>2.8893972602739728</c:v>
                </c:pt>
                <c:pt idx="54">
                  <c:v>2.9433972602739726</c:v>
                </c:pt>
                <c:pt idx="55">
                  <c:v>2.9973972602739725</c:v>
                </c:pt>
                <c:pt idx="56">
                  <c:v>3.0513972602739727</c:v>
                </c:pt>
                <c:pt idx="57">
                  <c:v>3.1053972602739726</c:v>
                </c:pt>
                <c:pt idx="58">
                  <c:v>3.1593972602739728</c:v>
                </c:pt>
                <c:pt idx="59">
                  <c:v>3.2133972602739727</c:v>
                </c:pt>
                <c:pt idx="60">
                  <c:v>3.2673972602739725</c:v>
                </c:pt>
                <c:pt idx="61">
                  <c:v>3.3213972602739728</c:v>
                </c:pt>
                <c:pt idx="62">
                  <c:v>3.3753972602739726</c:v>
                </c:pt>
                <c:pt idx="63">
                  <c:v>3.4293972602739728</c:v>
                </c:pt>
                <c:pt idx="64">
                  <c:v>3.4833972602739727</c:v>
                </c:pt>
                <c:pt idx="65">
                  <c:v>3.5373972602739725</c:v>
                </c:pt>
                <c:pt idx="66">
                  <c:v>3.5913972602739728</c:v>
                </c:pt>
                <c:pt idx="67">
                  <c:v>3.6453972602739726</c:v>
                </c:pt>
                <c:pt idx="68">
                  <c:v>3.6993972602739729</c:v>
                </c:pt>
                <c:pt idx="69">
                  <c:v>3.7533972602739727</c:v>
                </c:pt>
                <c:pt idx="70">
                  <c:v>3.8073972602739725</c:v>
                </c:pt>
                <c:pt idx="71">
                  <c:v>3.8613972602739728</c:v>
                </c:pt>
                <c:pt idx="72">
                  <c:v>3.9153972602739726</c:v>
                </c:pt>
                <c:pt idx="73">
                  <c:v>3.9693972602739729</c:v>
                </c:pt>
                <c:pt idx="74">
                  <c:v>4.0233972602739723</c:v>
                </c:pt>
                <c:pt idx="75">
                  <c:v>4.0773972602739725</c:v>
                </c:pt>
                <c:pt idx="76">
                  <c:v>4.1313972602739728</c:v>
                </c:pt>
                <c:pt idx="77">
                  <c:v>4.1853972602739731</c:v>
                </c:pt>
                <c:pt idx="78">
                  <c:v>4.2393972602739725</c:v>
                </c:pt>
                <c:pt idx="79">
                  <c:v>4.2933972602739727</c:v>
                </c:pt>
                <c:pt idx="80">
                  <c:v>4.347397260273973</c:v>
                </c:pt>
                <c:pt idx="81">
                  <c:v>4.4013972602739724</c:v>
                </c:pt>
                <c:pt idx="82">
                  <c:v>4.4553972602739726</c:v>
                </c:pt>
                <c:pt idx="83">
                  <c:v>4.5093972602739729</c:v>
                </c:pt>
                <c:pt idx="84">
                  <c:v>4.5633972602739723</c:v>
                </c:pt>
                <c:pt idx="85">
                  <c:v>4.6173972602739726</c:v>
                </c:pt>
                <c:pt idx="86">
                  <c:v>4.6713972602739728</c:v>
                </c:pt>
                <c:pt idx="87">
                  <c:v>4.7253972602739722</c:v>
                </c:pt>
                <c:pt idx="88">
                  <c:v>4.7793972602739725</c:v>
                </c:pt>
                <c:pt idx="89">
                  <c:v>4.8333972602739728</c:v>
                </c:pt>
                <c:pt idx="90">
                  <c:v>4.887397260273973</c:v>
                </c:pt>
                <c:pt idx="91">
                  <c:v>4.9413972602739724</c:v>
                </c:pt>
                <c:pt idx="92">
                  <c:v>4.9953972602739727</c:v>
                </c:pt>
                <c:pt idx="93">
                  <c:v>5.049397260273973</c:v>
                </c:pt>
                <c:pt idx="94">
                  <c:v>5.1033972602739723</c:v>
                </c:pt>
                <c:pt idx="95">
                  <c:v>5.1573972602739726</c:v>
                </c:pt>
                <c:pt idx="96">
                  <c:v>5.2113972602739729</c:v>
                </c:pt>
                <c:pt idx="97">
                  <c:v>5.2653972602739723</c:v>
                </c:pt>
                <c:pt idx="98">
                  <c:v>5.3193972602739725</c:v>
                </c:pt>
                <c:pt idx="99">
                  <c:v>5.3733972602739728</c:v>
                </c:pt>
                <c:pt idx="100">
                  <c:v>5.4273972602739731</c:v>
                </c:pt>
                <c:pt idx="101">
                  <c:v>5.4813972602739724</c:v>
                </c:pt>
                <c:pt idx="102">
                  <c:v>5.5353972602739727</c:v>
                </c:pt>
                <c:pt idx="103">
                  <c:v>5.589397260273973</c:v>
                </c:pt>
                <c:pt idx="104">
                  <c:v>5.6433972602739724</c:v>
                </c:pt>
                <c:pt idx="105">
                  <c:v>5.6973972602739726</c:v>
                </c:pt>
                <c:pt idx="106">
                  <c:v>5.7513972602739729</c:v>
                </c:pt>
                <c:pt idx="107">
                  <c:v>5.8053972602739723</c:v>
                </c:pt>
                <c:pt idx="108">
                  <c:v>5.8593972602739726</c:v>
                </c:pt>
                <c:pt idx="109">
                  <c:v>5.9133972602739728</c:v>
                </c:pt>
                <c:pt idx="110">
                  <c:v>5.9673972602739722</c:v>
                </c:pt>
                <c:pt idx="111">
                  <c:v>6.0213972602739725</c:v>
                </c:pt>
                <c:pt idx="112">
                  <c:v>6.0753972602739728</c:v>
                </c:pt>
                <c:pt idx="113">
                  <c:v>6.129397260273973</c:v>
                </c:pt>
                <c:pt idx="114">
                  <c:v>6.1833972602739724</c:v>
                </c:pt>
                <c:pt idx="115">
                  <c:v>6.2373972602739727</c:v>
                </c:pt>
                <c:pt idx="116">
                  <c:v>6.2913972602739729</c:v>
                </c:pt>
                <c:pt idx="117">
                  <c:v>6.3453972602739723</c:v>
                </c:pt>
                <c:pt idx="118">
                  <c:v>6.3993972602739726</c:v>
                </c:pt>
                <c:pt idx="119">
                  <c:v>6.4533972602739729</c:v>
                </c:pt>
                <c:pt idx="120">
                  <c:v>6.5073972602739723</c:v>
                </c:pt>
                <c:pt idx="121">
                  <c:v>6.5613972602739725</c:v>
                </c:pt>
                <c:pt idx="122">
                  <c:v>6.6153972602739728</c:v>
                </c:pt>
                <c:pt idx="123">
                  <c:v>6.6693972602739731</c:v>
                </c:pt>
                <c:pt idx="124">
                  <c:v>6.7233972602739724</c:v>
                </c:pt>
                <c:pt idx="125">
                  <c:v>6.7773972602739727</c:v>
                </c:pt>
                <c:pt idx="126">
                  <c:v>6.831397260273973</c:v>
                </c:pt>
                <c:pt idx="127">
                  <c:v>6.8853972602739724</c:v>
                </c:pt>
                <c:pt idx="128">
                  <c:v>6.9393972602739726</c:v>
                </c:pt>
                <c:pt idx="129">
                  <c:v>6.9933972602739729</c:v>
                </c:pt>
                <c:pt idx="130">
                  <c:v>7.0473972602739723</c:v>
                </c:pt>
                <c:pt idx="131">
                  <c:v>7.1013972602739726</c:v>
                </c:pt>
                <c:pt idx="132">
                  <c:v>7.1553972602739728</c:v>
                </c:pt>
                <c:pt idx="133">
                  <c:v>7.2093972602739722</c:v>
                </c:pt>
                <c:pt idx="134">
                  <c:v>7.2633972602739725</c:v>
                </c:pt>
                <c:pt idx="135">
                  <c:v>7.3173972602739727</c:v>
                </c:pt>
                <c:pt idx="136">
                  <c:v>7.371397260273973</c:v>
                </c:pt>
                <c:pt idx="137">
                  <c:v>7.4253972602739724</c:v>
                </c:pt>
                <c:pt idx="138">
                  <c:v>7.4793972602739727</c:v>
                </c:pt>
                <c:pt idx="139">
                  <c:v>7.5333972602739729</c:v>
                </c:pt>
                <c:pt idx="140">
                  <c:v>7.5873972602739723</c:v>
                </c:pt>
                <c:pt idx="141">
                  <c:v>7.6413972602739726</c:v>
                </c:pt>
                <c:pt idx="142">
                  <c:v>7.6953972602739729</c:v>
                </c:pt>
                <c:pt idx="143">
                  <c:v>7.7493972602739722</c:v>
                </c:pt>
                <c:pt idx="144">
                  <c:v>7.8033972602739725</c:v>
                </c:pt>
                <c:pt idx="145">
                  <c:v>7.8573972602739728</c:v>
                </c:pt>
                <c:pt idx="146">
                  <c:v>7.9113972602739731</c:v>
                </c:pt>
                <c:pt idx="147">
                  <c:v>7.9653972602739724</c:v>
                </c:pt>
                <c:pt idx="148">
                  <c:v>8.0193972602739727</c:v>
                </c:pt>
                <c:pt idx="149">
                  <c:v>8.0733972602739712</c:v>
                </c:pt>
                <c:pt idx="150">
                  <c:v>8.1273972602739715</c:v>
                </c:pt>
                <c:pt idx="151">
                  <c:v>8.1813972602739717</c:v>
                </c:pt>
                <c:pt idx="152">
                  <c:v>8.235397260273972</c:v>
                </c:pt>
                <c:pt idx="153">
                  <c:v>8.2893972602739723</c:v>
                </c:pt>
                <c:pt idx="154">
                  <c:v>8.3433972602739725</c:v>
                </c:pt>
                <c:pt idx="155">
                  <c:v>8.397397260273971</c:v>
                </c:pt>
                <c:pt idx="156">
                  <c:v>8.4513972602739713</c:v>
                </c:pt>
                <c:pt idx="157">
                  <c:v>8.5053972602739716</c:v>
                </c:pt>
                <c:pt idx="158">
                  <c:v>8.5593972602739719</c:v>
                </c:pt>
                <c:pt idx="159">
                  <c:v>8.6133972602739721</c:v>
                </c:pt>
                <c:pt idx="160">
                  <c:v>8.6673972602739724</c:v>
                </c:pt>
                <c:pt idx="161">
                  <c:v>8.7213972602739709</c:v>
                </c:pt>
                <c:pt idx="162">
                  <c:v>8.7753972602739712</c:v>
                </c:pt>
                <c:pt idx="163">
                  <c:v>8.8293972602739714</c:v>
                </c:pt>
                <c:pt idx="164">
                  <c:v>8.8833972602739717</c:v>
                </c:pt>
                <c:pt idx="165">
                  <c:v>8.937397260273972</c:v>
                </c:pt>
                <c:pt idx="166">
                  <c:v>8.9913972602739722</c:v>
                </c:pt>
                <c:pt idx="167">
                  <c:v>9.0453972602739725</c:v>
                </c:pt>
                <c:pt idx="168">
                  <c:v>9.099397260273971</c:v>
                </c:pt>
                <c:pt idx="169">
                  <c:v>9.1533972602739713</c:v>
                </c:pt>
                <c:pt idx="170">
                  <c:v>9.2073972602739715</c:v>
                </c:pt>
                <c:pt idx="171">
                  <c:v>9.2613972602739718</c:v>
                </c:pt>
                <c:pt idx="172">
                  <c:v>9.3153972602739721</c:v>
                </c:pt>
                <c:pt idx="173">
                  <c:v>9.3693972602739723</c:v>
                </c:pt>
                <c:pt idx="174">
                  <c:v>9.4233972602739708</c:v>
                </c:pt>
                <c:pt idx="175">
                  <c:v>9.4773972602739711</c:v>
                </c:pt>
                <c:pt idx="176">
                  <c:v>9.5313972602739714</c:v>
                </c:pt>
                <c:pt idx="177">
                  <c:v>9.5853972602739717</c:v>
                </c:pt>
                <c:pt idx="178">
                  <c:v>9.6393972602739719</c:v>
                </c:pt>
                <c:pt idx="179">
                  <c:v>9.6933972602739722</c:v>
                </c:pt>
                <c:pt idx="180">
                  <c:v>9.7473972602739725</c:v>
                </c:pt>
                <c:pt idx="181">
                  <c:v>9.801397260273971</c:v>
                </c:pt>
                <c:pt idx="182">
                  <c:v>9.8553972602739712</c:v>
                </c:pt>
                <c:pt idx="183">
                  <c:v>9.9093972602739715</c:v>
                </c:pt>
                <c:pt idx="184">
                  <c:v>9.9633972602739718</c:v>
                </c:pt>
                <c:pt idx="185">
                  <c:v>10.017397260273972</c:v>
                </c:pt>
                <c:pt idx="186">
                  <c:v>10.071397260273972</c:v>
                </c:pt>
                <c:pt idx="187">
                  <c:v>10.125397260273973</c:v>
                </c:pt>
                <c:pt idx="188">
                  <c:v>10.179397260273971</c:v>
                </c:pt>
                <c:pt idx="189">
                  <c:v>10.233397260273971</c:v>
                </c:pt>
                <c:pt idx="190">
                  <c:v>10.287397260273972</c:v>
                </c:pt>
                <c:pt idx="191">
                  <c:v>10.341397260273972</c:v>
                </c:pt>
                <c:pt idx="192">
                  <c:v>10.395397260273972</c:v>
                </c:pt>
                <c:pt idx="193">
                  <c:v>10.449397260273972</c:v>
                </c:pt>
                <c:pt idx="194">
                  <c:v>10.503397260273971</c:v>
                </c:pt>
                <c:pt idx="195">
                  <c:v>10.557397260273971</c:v>
                </c:pt>
                <c:pt idx="196">
                  <c:v>10.611397260273971</c:v>
                </c:pt>
                <c:pt idx="197">
                  <c:v>10.665397260273972</c:v>
                </c:pt>
                <c:pt idx="198">
                  <c:v>10.719397260273972</c:v>
                </c:pt>
                <c:pt idx="199">
                  <c:v>10.773397260273972</c:v>
                </c:pt>
                <c:pt idx="200">
                  <c:v>10.827397260273973</c:v>
                </c:pt>
                <c:pt idx="201">
                  <c:v>10.881397260273971</c:v>
                </c:pt>
                <c:pt idx="202">
                  <c:v>10.935397260273971</c:v>
                </c:pt>
                <c:pt idx="203">
                  <c:v>10.989397260273972</c:v>
                </c:pt>
                <c:pt idx="204">
                  <c:v>11.043397260273972</c:v>
                </c:pt>
                <c:pt idx="205">
                  <c:v>11.097397260273972</c:v>
                </c:pt>
                <c:pt idx="206">
                  <c:v>11.151397260273972</c:v>
                </c:pt>
                <c:pt idx="207">
                  <c:v>11.205397260273971</c:v>
                </c:pt>
                <c:pt idx="208">
                  <c:v>11.259397260273971</c:v>
                </c:pt>
                <c:pt idx="209">
                  <c:v>11.313397260273971</c:v>
                </c:pt>
                <c:pt idx="210">
                  <c:v>11.367397260273972</c:v>
                </c:pt>
                <c:pt idx="211">
                  <c:v>11.421397260273972</c:v>
                </c:pt>
                <c:pt idx="212">
                  <c:v>11.475397260273972</c:v>
                </c:pt>
                <c:pt idx="213">
                  <c:v>11.529397260273972</c:v>
                </c:pt>
                <c:pt idx="214">
                  <c:v>11.583397260273971</c:v>
                </c:pt>
                <c:pt idx="215">
                  <c:v>11.637397260273971</c:v>
                </c:pt>
                <c:pt idx="216">
                  <c:v>11.691397260273972</c:v>
                </c:pt>
                <c:pt idx="217">
                  <c:v>11.745397260273972</c:v>
                </c:pt>
                <c:pt idx="218">
                  <c:v>11.799397260273972</c:v>
                </c:pt>
                <c:pt idx="219">
                  <c:v>11.853397260273972</c:v>
                </c:pt>
                <c:pt idx="220">
                  <c:v>11.907397260273971</c:v>
                </c:pt>
                <c:pt idx="221">
                  <c:v>11.961397260273971</c:v>
                </c:pt>
                <c:pt idx="222">
                  <c:v>12.015397260273971</c:v>
                </c:pt>
                <c:pt idx="223">
                  <c:v>12.069397260273972</c:v>
                </c:pt>
                <c:pt idx="224">
                  <c:v>12.123397260273972</c:v>
                </c:pt>
                <c:pt idx="225">
                  <c:v>12.177397260273972</c:v>
                </c:pt>
                <c:pt idx="226">
                  <c:v>12.231397260273972</c:v>
                </c:pt>
                <c:pt idx="227">
                  <c:v>12.285397260273971</c:v>
                </c:pt>
                <c:pt idx="228">
                  <c:v>12.339397260273971</c:v>
                </c:pt>
                <c:pt idx="229">
                  <c:v>12.393397260273971</c:v>
                </c:pt>
                <c:pt idx="230">
                  <c:v>12.447397260273972</c:v>
                </c:pt>
                <c:pt idx="231">
                  <c:v>12.501397260273972</c:v>
                </c:pt>
                <c:pt idx="232">
                  <c:v>12.555397260273972</c:v>
                </c:pt>
                <c:pt idx="233">
                  <c:v>12.609397260273973</c:v>
                </c:pt>
                <c:pt idx="234">
                  <c:v>12.663397260273971</c:v>
                </c:pt>
                <c:pt idx="235">
                  <c:v>12.717397260273971</c:v>
                </c:pt>
                <c:pt idx="236">
                  <c:v>12.771397260273972</c:v>
                </c:pt>
                <c:pt idx="237">
                  <c:v>12.825397260273972</c:v>
                </c:pt>
                <c:pt idx="238">
                  <c:v>12.879397260273972</c:v>
                </c:pt>
                <c:pt idx="239">
                  <c:v>12.933397260273972</c:v>
                </c:pt>
                <c:pt idx="240">
                  <c:v>12.987397260273971</c:v>
                </c:pt>
                <c:pt idx="241">
                  <c:v>13.041397260273971</c:v>
                </c:pt>
                <c:pt idx="242">
                  <c:v>13.095397260273971</c:v>
                </c:pt>
                <c:pt idx="243">
                  <c:v>13.149397260273972</c:v>
                </c:pt>
                <c:pt idx="244">
                  <c:v>13.203397260273972</c:v>
                </c:pt>
                <c:pt idx="245">
                  <c:v>13.257397260273972</c:v>
                </c:pt>
                <c:pt idx="246">
                  <c:v>13.311397260273973</c:v>
                </c:pt>
                <c:pt idx="247">
                  <c:v>13.365397260273971</c:v>
                </c:pt>
                <c:pt idx="248">
                  <c:v>13.419397260273971</c:v>
                </c:pt>
                <c:pt idx="249">
                  <c:v>13.473397260273972</c:v>
                </c:pt>
                <c:pt idx="250">
                  <c:v>13.527397260273972</c:v>
                </c:pt>
                <c:pt idx="251">
                  <c:v>13.581397260273972</c:v>
                </c:pt>
                <c:pt idx="252">
                  <c:v>13.635397260273972</c:v>
                </c:pt>
                <c:pt idx="253">
                  <c:v>13.689397260273971</c:v>
                </c:pt>
                <c:pt idx="254">
                  <c:v>13.743397260273971</c:v>
                </c:pt>
                <c:pt idx="255">
                  <c:v>13.797397260273971</c:v>
                </c:pt>
                <c:pt idx="256">
                  <c:v>13.851397260273972</c:v>
                </c:pt>
                <c:pt idx="257">
                  <c:v>13.905397260273972</c:v>
                </c:pt>
                <c:pt idx="258">
                  <c:v>13.959397260273972</c:v>
                </c:pt>
                <c:pt idx="259">
                  <c:v>14.013397260273972</c:v>
                </c:pt>
                <c:pt idx="260">
                  <c:v>14.067397260273971</c:v>
                </c:pt>
                <c:pt idx="261">
                  <c:v>14.121397260273971</c:v>
                </c:pt>
                <c:pt idx="262">
                  <c:v>14.175397260273972</c:v>
                </c:pt>
                <c:pt idx="263">
                  <c:v>14.229397260273972</c:v>
                </c:pt>
                <c:pt idx="264">
                  <c:v>14.283397260273972</c:v>
                </c:pt>
                <c:pt idx="265">
                  <c:v>14.337397260273972</c:v>
                </c:pt>
                <c:pt idx="266">
                  <c:v>14.391397260273971</c:v>
                </c:pt>
                <c:pt idx="267">
                  <c:v>14.445397260273971</c:v>
                </c:pt>
                <c:pt idx="268">
                  <c:v>14.499397260273971</c:v>
                </c:pt>
                <c:pt idx="269">
                  <c:v>14.553397260273972</c:v>
                </c:pt>
                <c:pt idx="270">
                  <c:v>14.607397260273972</c:v>
                </c:pt>
                <c:pt idx="271">
                  <c:v>14.661397260273972</c:v>
                </c:pt>
                <c:pt idx="272">
                  <c:v>14.715397260273972</c:v>
                </c:pt>
                <c:pt idx="273">
                  <c:v>14.769397260273971</c:v>
                </c:pt>
                <c:pt idx="274">
                  <c:v>14.823397260273971</c:v>
                </c:pt>
                <c:pt idx="275">
                  <c:v>14.877397260273971</c:v>
                </c:pt>
                <c:pt idx="276">
                  <c:v>14.931397260273972</c:v>
                </c:pt>
                <c:pt idx="277">
                  <c:v>14.985397260273972</c:v>
                </c:pt>
                <c:pt idx="278">
                  <c:v>15.039397260273972</c:v>
                </c:pt>
                <c:pt idx="279">
                  <c:v>15.093397260273971</c:v>
                </c:pt>
                <c:pt idx="280">
                  <c:v>15.147397260273971</c:v>
                </c:pt>
                <c:pt idx="281">
                  <c:v>15.201397260273971</c:v>
                </c:pt>
                <c:pt idx="282">
                  <c:v>15.255397260273972</c:v>
                </c:pt>
                <c:pt idx="283">
                  <c:v>15.309397260273972</c:v>
                </c:pt>
                <c:pt idx="284">
                  <c:v>15.363397260273972</c:v>
                </c:pt>
                <c:pt idx="285">
                  <c:v>15.417397260273972</c:v>
                </c:pt>
                <c:pt idx="286">
                  <c:v>15.471397260273971</c:v>
                </c:pt>
                <c:pt idx="287">
                  <c:v>15.525397260273971</c:v>
                </c:pt>
                <c:pt idx="288">
                  <c:v>15.579397260273971</c:v>
                </c:pt>
                <c:pt idx="289">
                  <c:v>15.633397260273972</c:v>
                </c:pt>
                <c:pt idx="290">
                  <c:v>15.687397260273972</c:v>
                </c:pt>
                <c:pt idx="291">
                  <c:v>15.741397260273972</c:v>
                </c:pt>
                <c:pt idx="292">
                  <c:v>15.795397260273973</c:v>
                </c:pt>
                <c:pt idx="293">
                  <c:v>15.849397260273971</c:v>
                </c:pt>
                <c:pt idx="294">
                  <c:v>15.903397260273971</c:v>
                </c:pt>
                <c:pt idx="295">
                  <c:v>15.957397260273972</c:v>
                </c:pt>
                <c:pt idx="296">
                  <c:v>16.011397260273974</c:v>
                </c:pt>
                <c:pt idx="297">
                  <c:v>16.065397260273972</c:v>
                </c:pt>
                <c:pt idx="298">
                  <c:v>16.119397260273971</c:v>
                </c:pt>
                <c:pt idx="299">
                  <c:v>16.173397260273973</c:v>
                </c:pt>
                <c:pt idx="300">
                  <c:v>16.227397260273971</c:v>
                </c:pt>
                <c:pt idx="301">
                  <c:v>16.281397260273973</c:v>
                </c:pt>
                <c:pt idx="302">
                  <c:v>16.335397260273972</c:v>
                </c:pt>
                <c:pt idx="303">
                  <c:v>16.38939726027397</c:v>
                </c:pt>
                <c:pt idx="304">
                  <c:v>16.443397260273972</c:v>
                </c:pt>
                <c:pt idx="305">
                  <c:v>16.497397260273971</c:v>
                </c:pt>
                <c:pt idx="306">
                  <c:v>16.551397260273973</c:v>
                </c:pt>
                <c:pt idx="307">
                  <c:v>16.605397260273971</c:v>
                </c:pt>
                <c:pt idx="308">
                  <c:v>16.659397260273973</c:v>
                </c:pt>
                <c:pt idx="309">
                  <c:v>16.713397260273972</c:v>
                </c:pt>
                <c:pt idx="310">
                  <c:v>16.76739726027397</c:v>
                </c:pt>
                <c:pt idx="311">
                  <c:v>16.821397260273972</c:v>
                </c:pt>
                <c:pt idx="312">
                  <c:v>16.875397260273971</c:v>
                </c:pt>
                <c:pt idx="313">
                  <c:v>16.929397260273973</c:v>
                </c:pt>
                <c:pt idx="314">
                  <c:v>16.983397260273971</c:v>
                </c:pt>
                <c:pt idx="315">
                  <c:v>17.037397260273973</c:v>
                </c:pt>
                <c:pt idx="316">
                  <c:v>17.091397260273972</c:v>
                </c:pt>
                <c:pt idx="317">
                  <c:v>17.14539726027397</c:v>
                </c:pt>
                <c:pt idx="318">
                  <c:v>17.199397260273972</c:v>
                </c:pt>
                <c:pt idx="319">
                  <c:v>17.253397260273971</c:v>
                </c:pt>
                <c:pt idx="320">
                  <c:v>17.307397260273973</c:v>
                </c:pt>
                <c:pt idx="321">
                  <c:v>17.361397260273971</c:v>
                </c:pt>
                <c:pt idx="322">
                  <c:v>17.41539726027397</c:v>
                </c:pt>
                <c:pt idx="323">
                  <c:v>17.469397260273972</c:v>
                </c:pt>
                <c:pt idx="324">
                  <c:v>17.52339726027397</c:v>
                </c:pt>
                <c:pt idx="325">
                  <c:v>17.577397260273973</c:v>
                </c:pt>
                <c:pt idx="326">
                  <c:v>17.631397260273971</c:v>
                </c:pt>
                <c:pt idx="327">
                  <c:v>17.685397260273973</c:v>
                </c:pt>
                <c:pt idx="328">
                  <c:v>17.739397260273972</c:v>
                </c:pt>
                <c:pt idx="329">
                  <c:v>17.79339726027397</c:v>
                </c:pt>
                <c:pt idx="330">
                  <c:v>17.847397260273972</c:v>
                </c:pt>
                <c:pt idx="331">
                  <c:v>17.901397260273971</c:v>
                </c:pt>
                <c:pt idx="332">
                  <c:v>17.955397260273973</c:v>
                </c:pt>
                <c:pt idx="333">
                  <c:v>18.009397260273971</c:v>
                </c:pt>
                <c:pt idx="334">
                  <c:v>18.063397260273973</c:v>
                </c:pt>
                <c:pt idx="335">
                  <c:v>18.117397260273972</c:v>
                </c:pt>
                <c:pt idx="336">
                  <c:v>18.17139726027397</c:v>
                </c:pt>
                <c:pt idx="337">
                  <c:v>18.225397260273972</c:v>
                </c:pt>
                <c:pt idx="338">
                  <c:v>18.279397260273971</c:v>
                </c:pt>
                <c:pt idx="339">
                  <c:v>18.333397260273973</c:v>
                </c:pt>
                <c:pt idx="340">
                  <c:v>18.387397260273971</c:v>
                </c:pt>
                <c:pt idx="341">
                  <c:v>18.441397260273973</c:v>
                </c:pt>
                <c:pt idx="342">
                  <c:v>18.495397260273972</c:v>
                </c:pt>
                <c:pt idx="343">
                  <c:v>18.54939726027397</c:v>
                </c:pt>
                <c:pt idx="344">
                  <c:v>18.603397260273972</c:v>
                </c:pt>
                <c:pt idx="345">
                  <c:v>18.657397260273971</c:v>
                </c:pt>
                <c:pt idx="346">
                  <c:v>18.711397260273973</c:v>
                </c:pt>
                <c:pt idx="347">
                  <c:v>18.765397260273971</c:v>
                </c:pt>
                <c:pt idx="348">
                  <c:v>18.81939726027397</c:v>
                </c:pt>
                <c:pt idx="349">
                  <c:v>18.873397260273972</c:v>
                </c:pt>
                <c:pt idx="350">
                  <c:v>18.92739726027397</c:v>
                </c:pt>
                <c:pt idx="351">
                  <c:v>18.981397260273972</c:v>
                </c:pt>
                <c:pt idx="352">
                  <c:v>19.035397260273971</c:v>
                </c:pt>
                <c:pt idx="353">
                  <c:v>19.089397260273973</c:v>
                </c:pt>
                <c:pt idx="354">
                  <c:v>19.143397260273971</c:v>
                </c:pt>
                <c:pt idx="355">
                  <c:v>19.19739726027397</c:v>
                </c:pt>
                <c:pt idx="356">
                  <c:v>19.251397260273972</c:v>
                </c:pt>
                <c:pt idx="357">
                  <c:v>19.305397260273971</c:v>
                </c:pt>
                <c:pt idx="358">
                  <c:v>19.359397260273973</c:v>
                </c:pt>
                <c:pt idx="359">
                  <c:v>19.413397260273971</c:v>
                </c:pt>
                <c:pt idx="360">
                  <c:v>19.467397260273973</c:v>
                </c:pt>
                <c:pt idx="361">
                  <c:v>19.521397260273972</c:v>
                </c:pt>
                <c:pt idx="362">
                  <c:v>19.57539726027397</c:v>
                </c:pt>
                <c:pt idx="363">
                  <c:v>19.629397260273972</c:v>
                </c:pt>
                <c:pt idx="364">
                  <c:v>19.683397260273971</c:v>
                </c:pt>
                <c:pt idx="365">
                  <c:v>19.737397260273973</c:v>
                </c:pt>
                <c:pt idx="366">
                  <c:v>19.791397260273971</c:v>
                </c:pt>
                <c:pt idx="367">
                  <c:v>19.845397260273973</c:v>
                </c:pt>
                <c:pt idx="368">
                  <c:v>19.899397260273972</c:v>
                </c:pt>
                <c:pt idx="369">
                  <c:v>19.95339726027397</c:v>
                </c:pt>
              </c:numCache>
            </c:numRef>
          </c:cat>
          <c:val>
            <c:numRef>
              <c:f>到期期限!$C$17:$C$386</c:f>
              <c:numCache>
                <c:formatCode>General</c:formatCode>
                <c:ptCount val="370"/>
                <c:pt idx="0">
                  <c:v>1.6092854532341292</c:v>
                </c:pt>
                <c:pt idx="1">
                  <c:v>2.721121415016313</c:v>
                </c:pt>
                <c:pt idx="2">
                  <c:v>3.4620593985681154</c:v>
                </c:pt>
                <c:pt idx="3">
                  <c:v>4.0486434409291618</c:v>
                </c:pt>
                <c:pt idx="4">
                  <c:v>4.5442868137851562</c:v>
                </c:pt>
                <c:pt idx="5">
                  <c:v>4.9780994419988076</c:v>
                </c:pt>
                <c:pt idx="6">
                  <c:v>5.366330465309936</c:v>
                </c:pt>
                <c:pt idx="7">
                  <c:v>5.7191489632667469</c:v>
                </c:pt>
                <c:pt idx="8">
                  <c:v>6.0434213013894862</c:v>
                </c:pt>
                <c:pt idx="9">
                  <c:v>6.3440430880813992</c:v>
                </c:pt>
                <c:pt idx="10">
                  <c:v>6.6246509259358319</c:v>
                </c:pt>
                <c:pt idx="11">
                  <c:v>6.8880341912955103</c:v>
                </c:pt>
                <c:pt idx="12">
                  <c:v>7.1363882691387204</c:v>
                </c:pt>
                <c:pt idx="13">
                  <c:v>7.3714780316822015</c:v>
                </c:pt>
                <c:pt idx="14">
                  <c:v>7.5947476328573202</c:v>
                </c:pt>
                <c:pt idx="15">
                  <c:v>7.8073967144276892</c:v>
                </c:pt>
                <c:pt idx="16">
                  <c:v>8.0104347909701161</c:v>
                </c:pt>
                <c:pt idx="17">
                  <c:v>8.2047209982344711</c:v>
                </c:pt>
                <c:pt idx="18">
                  <c:v>8.3909937504407708</c:v>
                </c:pt>
                <c:pt idx="19">
                  <c:v>8.5698932721721661</c:v>
                </c:pt>
                <c:pt idx="20">
                  <c:v>8.7419789922989324</c:v>
                </c:pt>
                <c:pt idx="21">
                  <c:v>8.9077431635988091</c:v>
                </c:pt>
                <c:pt idx="22">
                  <c:v>9.0676216635309927</c:v>
                </c:pt>
                <c:pt idx="23">
                  <c:v>9.2220026582437669</c:v>
                </c:pt>
                <c:pt idx="24">
                  <c:v>9.3712336249926054</c:v>
                </c:pt>
                <c:pt idx="25">
                  <c:v>9.5156270979630051</c:v>
                </c:pt>
                <c:pt idx="26">
                  <c:v>9.6554654102764985</c:v>
                </c:pt>
                <c:pt idx="27">
                  <c:v>9.7910046386260419</c:v>
                </c:pt>
                <c:pt idx="28">
                  <c:v>9.9224779086006976</c:v>
                </c:pt>
                <c:pt idx="29">
                  <c:v>10.050098183006249</c:v>
                </c:pt>
                <c:pt idx="30">
                  <c:v>10.174060628755392</c:v>
                </c:pt>
                <c:pt idx="31">
                  <c:v>10.294544637692859</c:v>
                </c:pt>
                <c:pt idx="32">
                  <c:v>10.41171556128819</c:v>
                </c:pt>
                <c:pt idx="33">
                  <c:v>10.525726207232779</c:v>
                </c:pt>
                <c:pt idx="34">
                  <c:v>10.636718136725392</c:v>
                </c:pt>
                <c:pt idx="35">
                  <c:v>10.744822793976638</c:v>
                </c:pt>
                <c:pt idx="36">
                  <c:v>10.850162493729968</c:v>
                </c:pt>
                <c:pt idx="37">
                  <c:v>10.952851288034957</c:v>
                </c:pt>
                <c:pt idx="38">
                  <c:v>11.052995729853151</c:v>
                </c:pt>
                <c:pt idx="39">
                  <c:v>11.150695548128176</c:v>
                </c:pt>
                <c:pt idx="40">
                  <c:v>11.246044246560473</c:v>
                </c:pt>
                <c:pt idx="41">
                  <c:v>11.339129636374793</c:v>
                </c:pt>
                <c:pt idx="42">
                  <c:v>11.430034311768324</c:v>
                </c:pt>
                <c:pt idx="43">
                  <c:v>11.518836075406014</c:v>
                </c:pt>
                <c:pt idx="44">
                  <c:v>11.605608320236655</c:v>
                </c:pt>
                <c:pt idx="45">
                  <c:v>11.690420372992115</c:v>
                </c:pt>
                <c:pt idx="46">
                  <c:v>11.773337803970776</c:v>
                </c:pt>
                <c:pt idx="47">
                  <c:v>11.854422707066803</c:v>
                </c:pt>
                <c:pt idx="48">
                  <c:v>11.933733953468689</c:v>
                </c:pt>
                <c:pt idx="49">
                  <c:v>12.011327421993094</c:v>
                </c:pt>
                <c:pt idx="50">
                  <c:v>12.087256208634201</c:v>
                </c:pt>
                <c:pt idx="51">
                  <c:v>12.161570817577505</c:v>
                </c:pt>
                <c:pt idx="52">
                  <c:v>12.234319335645431</c:v>
                </c:pt>
                <c:pt idx="53">
                  <c:v>12.305547591899533</c:v>
                </c:pt>
                <c:pt idx="54">
                  <c:v>12.375299303915916</c:v>
                </c:pt>
                <c:pt idx="55">
                  <c:v>12.443616212070424</c:v>
                </c:pt>
                <c:pt idx="56">
                  <c:v>12.510538203014725</c:v>
                </c:pt>
                <c:pt idx="57">
                  <c:v>12.57610342338905</c:v>
                </c:pt>
                <c:pt idx="58">
                  <c:v>12.640348384699607</c:v>
                </c:pt>
                <c:pt idx="59">
                  <c:v>12.70330806018697</c:v>
                </c:pt>
                <c:pt idx="60">
                  <c:v>12.765015974420621</c:v>
                </c:pt>
                <c:pt idx="61">
                  <c:v>12.825504286277443</c:v>
                </c:pt>
                <c:pt idx="62">
                  <c:v>12.88480386589238</c:v>
                </c:pt>
                <c:pt idx="63">
                  <c:v>12.942944366108087</c:v>
                </c:pt>
                <c:pt idx="64">
                  <c:v>12.999954288897953</c:v>
                </c:pt>
                <c:pt idx="65">
                  <c:v>13.055861047187889</c:v>
                </c:pt>
                <c:pt idx="66">
                  <c:v>13.110691022461708</c:v>
                </c:pt>
                <c:pt idx="67">
                  <c:v>13.164469618496</c:v>
                </c:pt>
                <c:pt idx="68">
                  <c:v>13.217221311538914</c:v>
                </c:pt>
                <c:pt idx="69">
                  <c:v>13.268969697215891</c:v>
                </c:pt>
                <c:pt idx="70">
                  <c:v>13.319737534420526</c:v>
                </c:pt>
                <c:pt idx="71">
                  <c:v>13.36954678642396</c:v>
                </c:pt>
                <c:pt idx="72">
                  <c:v>13.418418659415813</c:v>
                </c:pt>
                <c:pt idx="73">
                  <c:v>13.466373638670245</c:v>
                </c:pt>
                <c:pt idx="74">
                  <c:v>13.51343152251377</c:v>
                </c:pt>
                <c:pt idx="75">
                  <c:v>13.559611454256451</c:v>
                </c:pt>
                <c:pt idx="76">
                  <c:v>13.604931952233606</c:v>
                </c:pt>
                <c:pt idx="77">
                  <c:v>13.649410938093546</c:v>
                </c:pt>
                <c:pt idx="78">
                  <c:v>13.693065763454541</c:v>
                </c:pt>
                <c:pt idx="79">
                  <c:v>13.735913235045238</c:v>
                </c:pt>
                <c:pt idx="80">
                  <c:v>13.777969638432342</c:v>
                </c:pt>
                <c:pt idx="81">
                  <c:v>13.819250760431817</c:v>
                </c:pt>
                <c:pt idx="82">
                  <c:v>13.859771910291865</c:v>
                </c:pt>
                <c:pt idx="83">
                  <c:v>13.899547939728983</c:v>
                </c:pt>
                <c:pt idx="84">
                  <c:v>13.938593261892507</c:v>
                </c:pt>
                <c:pt idx="85">
                  <c:v>13.976921869326528</c:v>
                </c:pt>
                <c:pt idx="86">
                  <c:v>14.014547350993812</c:v>
                </c:pt>
                <c:pt idx="87">
                  <c:v>14.051482908420713</c:v>
                </c:pt>
                <c:pt idx="88">
                  <c:v>14.087741371017898</c:v>
                </c:pt>
                <c:pt idx="89">
                  <c:v>14.123335210628301</c:v>
                </c:pt>
                <c:pt idx="90">
                  <c:v>14.158276555348991</c:v>
                </c:pt>
                <c:pt idx="91">
                  <c:v>14.192577202671099</c:v>
                </c:pt>
                <c:pt idx="92">
                  <c:v>14.226248631978528</c:v>
                </c:pt>
                <c:pt idx="93">
                  <c:v>14.259302016443339</c:v>
                </c:pt>
                <c:pt idx="94">
                  <c:v>14.291748234353026</c:v>
                </c:pt>
                <c:pt idx="95">
                  <c:v>14.323597879902721</c:v>
                </c:pt>
                <c:pt idx="96">
                  <c:v>14.354861273482701</c:v>
                </c:pt>
                <c:pt idx="97">
                  <c:v>14.385548471490079</c:v>
                </c:pt>
                <c:pt idx="98">
                  <c:v>14.415669275691233</c:v>
                </c:pt>
                <c:pt idx="99">
                  <c:v>14.445233242159791</c:v>
                </c:pt>
                <c:pt idx="100">
                  <c:v>14.474249689813782</c:v>
                </c:pt>
                <c:pt idx="101">
                  <c:v>14.502727708573488</c:v>
                </c:pt>
                <c:pt idx="102">
                  <c:v>14.530676167160468</c:v>
                </c:pt>
                <c:pt idx="103">
                  <c:v>14.558103720557227</c:v>
                </c:pt>
                <c:pt idx="104">
                  <c:v>14.585018817144899</c:v>
                </c:pt>
                <c:pt idx="105">
                  <c:v>14.611429705536214</c:v>
                </c:pt>
                <c:pt idx="106">
                  <c:v>14.637344441119414</c:v>
                </c:pt>
                <c:pt idx="107">
                  <c:v>14.662770892327963</c:v>
                </c:pt>
                <c:pt idx="108">
                  <c:v>14.687716746649944</c:v>
                </c:pt>
                <c:pt idx="109">
                  <c:v>14.712189516390239</c:v>
                </c:pt>
                <c:pt idx="110">
                  <c:v>14.736196544198073</c:v>
                </c:pt>
                <c:pt idx="111">
                  <c:v>14.75974500837113</c:v>
                </c:pt>
                <c:pt idx="112">
                  <c:v>14.782841927947612</c:v>
                </c:pt>
                <c:pt idx="113">
                  <c:v>14.805494167596272</c:v>
                </c:pt>
                <c:pt idx="114">
                  <c:v>14.827708442314108</c:v>
                </c:pt>
                <c:pt idx="115">
                  <c:v>14.849491321941255</c:v>
                </c:pt>
                <c:pt idx="116">
                  <c:v>14.870849235501314</c:v>
                </c:pt>
                <c:pt idx="117">
                  <c:v>14.891788475375527</c:v>
                </c:pt>
                <c:pt idx="118">
                  <c:v>14.91231520131851</c:v>
                </c:pt>
                <c:pt idx="119">
                  <c:v>14.932435444322845</c:v>
                </c:pt>
                <c:pt idx="120">
                  <c:v>14.952155110339387</c:v>
                </c:pt>
                <c:pt idx="121">
                  <c:v>14.971479983859837</c:v>
                </c:pt>
                <c:pt idx="122">
                  <c:v>14.9904157313679</c:v>
                </c:pt>
                <c:pt idx="123">
                  <c:v>15.008967904664733</c:v>
                </c:pt>
                <c:pt idx="124">
                  <c:v>15.027141944074394</c:v>
                </c:pt>
                <c:pt idx="125">
                  <c:v>15.044943181534322</c:v>
                </c:pt>
                <c:pt idx="126">
                  <c:v>15.06237684357615</c:v>
                </c:pt>
                <c:pt idx="127">
                  <c:v>15.079448054201492</c:v>
                </c:pt>
                <c:pt idx="128">
                  <c:v>15.096161837656975</c:v>
                </c:pt>
                <c:pt idx="129">
                  <c:v>15.112523121113153</c:v>
                </c:pt>
                <c:pt idx="130">
                  <c:v>15.128536737251121</c:v>
                </c:pt>
                <c:pt idx="131">
                  <c:v>15.144207426760794</c:v>
                </c:pt>
                <c:pt idx="132">
                  <c:v>15.159539840754498</c:v>
                </c:pt>
                <c:pt idx="133">
                  <c:v>15.174538543099338</c:v>
                </c:pt>
                <c:pt idx="134">
                  <c:v>15.189208012671724</c:v>
                </c:pt>
                <c:pt idx="135">
                  <c:v>15.203552645537151</c:v>
                </c:pt>
                <c:pt idx="136">
                  <c:v>15.217576757058339</c:v>
                </c:pt>
                <c:pt idx="137">
                  <c:v>15.231284583934425</c:v>
                </c:pt>
                <c:pt idx="138">
                  <c:v>15.244680286174233</c:v>
                </c:pt>
                <c:pt idx="139">
                  <c:v>15.257767949005888</c:v>
                </c:pt>
                <c:pt idx="140">
                  <c:v>15.270551584725546</c:v>
                </c:pt>
                <c:pt idx="141">
                  <c:v>15.283035134487498</c:v>
                </c:pt>
                <c:pt idx="142">
                  <c:v>15.295222470037711</c:v>
                </c:pt>
                <c:pt idx="143">
                  <c:v>15.307117395393504</c:v>
                </c:pt>
                <c:pt idx="144">
                  <c:v>15.318723648470765</c:v>
                </c:pt>
                <c:pt idx="145">
                  <c:v>15.330044902661207</c:v>
                </c:pt>
                <c:pt idx="146">
                  <c:v>15.341084768361164</c:v>
                </c:pt>
                <c:pt idx="147">
                  <c:v>15.351846794454129</c:v>
                </c:pt>
                <c:pt idx="148">
                  <c:v>15.362334469748273</c:v>
                </c:pt>
                <c:pt idx="149">
                  <c:v>15.372551224370987</c:v>
                </c:pt>
                <c:pt idx="150">
                  <c:v>15.38250043112194</c:v>
                </c:pt>
                <c:pt idx="151">
                  <c:v>15.392185406785892</c:v>
                </c:pt>
                <c:pt idx="152">
                  <c:v>15.401609413407119</c:v>
                </c:pt>
                <c:pt idx="153">
                  <c:v>15.410775659526518</c:v>
                </c:pt>
                <c:pt idx="154">
                  <c:v>15.419687301382865</c:v>
                </c:pt>
                <c:pt idx="155">
                  <c:v>15.428347444079421</c:v>
                </c:pt>
                <c:pt idx="156">
                  <c:v>15.436759142717207</c:v>
                </c:pt>
                <c:pt idx="157">
                  <c:v>15.444925403495915</c:v>
                </c:pt>
                <c:pt idx="158">
                  <c:v>15.452849184783815</c:v>
                </c:pt>
                <c:pt idx="159">
                  <c:v>15.460533398157587</c:v>
                </c:pt>
                <c:pt idx="160">
                  <c:v>15.467980909413036</c:v>
                </c:pt>
                <c:pt idx="161">
                  <c:v>15.47519453954796</c:v>
                </c:pt>
                <c:pt idx="162">
                  <c:v>15.482177065717782</c:v>
                </c:pt>
                <c:pt idx="163">
                  <c:v>15.488931222165071</c:v>
                </c:pt>
                <c:pt idx="164">
                  <c:v>15.495459701123654</c:v>
                </c:pt>
                <c:pt idx="165">
                  <c:v>15.501765153698507</c:v>
                </c:pt>
                <c:pt idx="166">
                  <c:v>15.507850190721737</c:v>
                </c:pt>
                <c:pt idx="167">
                  <c:v>15.513717383585782</c:v>
                </c:pt>
                <c:pt idx="168">
                  <c:v>15.519369265054557</c:v>
                </c:pt>
                <c:pt idx="169">
                  <c:v>15.524808330053073</c:v>
                </c:pt>
                <c:pt idx="170">
                  <c:v>15.53003703643634</c:v>
                </c:pt>
                <c:pt idx="171">
                  <c:v>15.535057805738283</c:v>
                </c:pt>
                <c:pt idx="172">
                  <c:v>15.539873023901119</c:v>
                </c:pt>
                <c:pt idx="173">
                  <c:v>15.544485041986068</c:v>
                </c:pt>
                <c:pt idx="174">
                  <c:v>15.548896176865693</c:v>
                </c:pt>
                <c:pt idx="175">
                  <c:v>15.553108711898723</c:v>
                </c:pt>
                <c:pt idx="176">
                  <c:v>15.557124897587627</c:v>
                </c:pt>
                <c:pt idx="177">
                  <c:v>15.560946952219805</c:v>
                </c:pt>
                <c:pt idx="178">
                  <c:v>15.564577062492592</c:v>
                </c:pt>
                <c:pt idx="179">
                  <c:v>15.568017384122669</c:v>
                </c:pt>
                <c:pt idx="180">
                  <c:v>15.571270042440414</c:v>
                </c:pt>
                <c:pt idx="181">
                  <c:v>15.574337132969703</c:v>
                </c:pt>
                <c:pt idx="182">
                  <c:v>15.577220721993385</c:v>
                </c:pt>
                <c:pt idx="183">
                  <c:v>15.579922847104982</c:v>
                </c:pt>
                <c:pt idx="184">
                  <c:v>15.582445517747104</c:v>
                </c:pt>
                <c:pt idx="185">
                  <c:v>15.584790715736855</c:v>
                </c:pt>
                <c:pt idx="186">
                  <c:v>15.586960395778618</c:v>
                </c:pt>
                <c:pt idx="187">
                  <c:v>15.588956485964633</c:v>
                </c:pt>
                <c:pt idx="188">
                  <c:v>15.590780888263783</c:v>
                </c:pt>
                <c:pt idx="189">
                  <c:v>15.592435478998691</c:v>
                </c:pt>
                <c:pt idx="190">
                  <c:v>15.593922109311837</c:v>
                </c:pt>
                <c:pt idx="191">
                  <c:v>15.595242605620584</c:v>
                </c:pt>
                <c:pt idx="192">
                  <c:v>15.596398770061857</c:v>
                </c:pt>
                <c:pt idx="193">
                  <c:v>15.59739238092634</c:v>
                </c:pt>
                <c:pt idx="194">
                  <c:v>15.598225193082914</c:v>
                </c:pt>
                <c:pt idx="195">
                  <c:v>15.598898938393244</c:v>
                </c:pt>
                <c:pt idx="196">
                  <c:v>15.599415326117015</c:v>
                </c:pt>
                <c:pt idx="197">
                  <c:v>15.599776043308026</c:v>
                </c:pt>
                <c:pt idx="198">
                  <c:v>15.599982755201236</c:v>
                </c:pt>
                <c:pt idx="199">
                  <c:v>15.600037105591404</c:v>
                </c:pt>
                <c:pt idx="200">
                  <c:v>15.599940717202998</c:v>
                </c:pt>
                <c:pt idx="201">
                  <c:v>15.599695192052149</c:v>
                </c:pt>
                <c:pt idx="202">
                  <c:v>15.599302111800512</c:v>
                </c:pt>
                <c:pt idx="203">
                  <c:v>15.598763038101396</c:v>
                </c:pt>
                <c:pt idx="204">
                  <c:v>15.598079512938298</c:v>
                </c:pt>
                <c:pt idx="205">
                  <c:v>15.597253058956166</c:v>
                </c:pt>
                <c:pt idx="206">
                  <c:v>15.596285179785443</c:v>
                </c:pt>
                <c:pt idx="207">
                  <c:v>15.595177360359163</c:v>
                </c:pt>
                <c:pt idx="208">
                  <c:v>15.593931067223213</c:v>
                </c:pt>
                <c:pt idx="209">
                  <c:v>15.592547748840154</c:v>
                </c:pt>
                <c:pt idx="210">
                  <c:v>15.591028835886309</c:v>
                </c:pt>
                <c:pt idx="211">
                  <c:v>15.589375741542902</c:v>
                </c:pt>
                <c:pt idx="212">
                  <c:v>15.587589861780888</c:v>
                </c:pt>
                <c:pt idx="213">
                  <c:v>15.585672575639883</c:v>
                </c:pt>
                <c:pt idx="214">
                  <c:v>15.583625245501334</c:v>
                </c:pt>
                <c:pt idx="215">
                  <c:v>15.581449217355949</c:v>
                </c:pt>
                <c:pt idx="216">
                  <c:v>15.579145821065715</c:v>
                </c:pt>
                <c:pt idx="217">
                  <c:v>15.576716370620517</c:v>
                </c:pt>
                <c:pt idx="218">
                  <c:v>15.574162164389417</c:v>
                </c:pt>
                <c:pt idx="219">
                  <c:v>15.571484485367037</c:v>
                </c:pt>
                <c:pt idx="220">
                  <c:v>15.568684601414798</c:v>
                </c:pt>
                <c:pt idx="221">
                  <c:v>15.565763765497294</c:v>
                </c:pt>
                <c:pt idx="222">
                  <c:v>15.562723215914076</c:v>
                </c:pt>
                <c:pt idx="223">
                  <c:v>15.559564176526656</c:v>
                </c:pt>
                <c:pt idx="224">
                  <c:v>15.556287856981122</c:v>
                </c:pt>
                <c:pt idx="225">
                  <c:v>15.552895452926286</c:v>
                </c:pt>
                <c:pt idx="226">
                  <c:v>15.54938814622756</c:v>
                </c:pt>
                <c:pt idx="227">
                  <c:v>15.545767105176619</c:v>
                </c:pt>
                <c:pt idx="228">
                  <c:v>15.542033484697072</c:v>
                </c:pt>
                <c:pt idx="229">
                  <c:v>15.538188426546007</c:v>
                </c:pt>
                <c:pt idx="230">
                  <c:v>15.534233059511703</c:v>
                </c:pt>
                <c:pt idx="231">
                  <c:v>15.53016849960758</c:v>
                </c:pt>
                <c:pt idx="232">
                  <c:v>15.525995850262387</c:v>
                </c:pt>
                <c:pt idx="233">
                  <c:v>15.521716202506727</c:v>
                </c:pt>
                <c:pt idx="234">
                  <c:v>15.517330635156075</c:v>
                </c:pt>
                <c:pt idx="235">
                  <c:v>15.512840214990451</c:v>
                </c:pt>
                <c:pt idx="236">
                  <c:v>15.508245996930462</c:v>
                </c:pt>
                <c:pt idx="237">
                  <c:v>15.503549024210248</c:v>
                </c:pt>
                <c:pt idx="238">
                  <c:v>15.498750328547136</c:v>
                </c:pt>
                <c:pt idx="239">
                  <c:v>15.493850930308152</c:v>
                </c:pt>
                <c:pt idx="240">
                  <c:v>15.488851838673334</c:v>
                </c:pt>
                <c:pt idx="241">
                  <c:v>15.483754051796321</c:v>
                </c:pt>
                <c:pt idx="242">
                  <c:v>15.47855855696162</c:v>
                </c:pt>
                <c:pt idx="243">
                  <c:v>15.47326633073931</c:v>
                </c:pt>
                <c:pt idx="244">
                  <c:v>15.467878339136785</c:v>
                </c:pt>
                <c:pt idx="245">
                  <c:v>15.462395537747724</c:v>
                </c:pt>
                <c:pt idx="246">
                  <c:v>15.456818871898484</c:v>
                </c:pt>
                <c:pt idx="247">
                  <c:v>15.451149276791774</c:v>
                </c:pt>
                <c:pt idx="248">
                  <c:v>15.445387677647773</c:v>
                </c:pt>
                <c:pt idx="249">
                  <c:v>15.439534989842656</c:v>
                </c:pt>
                <c:pt idx="250">
                  <c:v>15.433592119044935</c:v>
                </c:pt>
                <c:pt idx="251">
                  <c:v>15.427559961348983</c:v>
                </c:pt>
                <c:pt idx="252">
                  <c:v>15.421439403406584</c:v>
                </c:pt>
                <c:pt idx="253">
                  <c:v>15.415231322555858</c:v>
                </c:pt>
                <c:pt idx="254">
                  <c:v>15.408936586948226</c:v>
                </c:pt>
                <c:pt idx="255">
                  <c:v>15.402556055672921</c:v>
                </c:pt>
                <c:pt idx="256">
                  <c:v>15.396090578879456</c:v>
                </c:pt>
                <c:pt idx="257">
                  <c:v>15.389540997898017</c:v>
                </c:pt>
                <c:pt idx="258">
                  <c:v>15.382908145357675</c:v>
                </c:pt>
                <c:pt idx="259">
                  <c:v>15.376192845302604</c:v>
                </c:pt>
                <c:pt idx="260">
                  <c:v>15.369395913306427</c:v>
                </c:pt>
                <c:pt idx="261">
                  <c:v>15.362518156584443</c:v>
                </c:pt>
                <c:pt idx="262">
                  <c:v>15.355560374104101</c:v>
                </c:pt>
                <c:pt idx="263">
                  <c:v>15.348523356693491</c:v>
                </c:pt>
                <c:pt idx="264">
                  <c:v>15.341407887148112</c:v>
                </c:pt>
                <c:pt idx="265">
                  <c:v>15.334214740335796</c:v>
                </c:pt>
                <c:pt idx="266">
                  <c:v>15.32694468329991</c:v>
                </c:pt>
                <c:pt idx="267">
                  <c:v>15.319598475360763</c:v>
                </c:pt>
                <c:pt idx="268">
                  <c:v>15.312176868215523</c:v>
                </c:pt>
                <c:pt idx="269">
                  <c:v>15.304680606036232</c:v>
                </c:pt>
                <c:pt idx="270">
                  <c:v>15.297110425566455</c:v>
                </c:pt>
                <c:pt idx="271">
                  <c:v>15.289467056216129</c:v>
                </c:pt>
                <c:pt idx="272">
                  <c:v>15.281751220155058</c:v>
                </c:pt>
                <c:pt idx="273">
                  <c:v>15.273963632404758</c:v>
                </c:pt>
                <c:pt idx="274">
                  <c:v>15.266105000928878</c:v>
                </c:pt>
                <c:pt idx="275">
                  <c:v>15.258176026722136</c:v>
                </c:pt>
                <c:pt idx="276">
                  <c:v>15.250177403897823</c:v>
                </c:pt>
                <c:pt idx="277">
                  <c:v>15.24210981977394</c:v>
                </c:pt>
                <c:pt idx="278">
                  <c:v>15.233973954957918</c:v>
                </c:pt>
                <c:pt idx="279">
                  <c:v>15.225770483430058</c:v>
                </c:pt>
                <c:pt idx="280">
                  <c:v>15.217500072625533</c:v>
                </c:pt>
                <c:pt idx="281">
                  <c:v>15.209163383515211</c:v>
                </c:pt>
                <c:pt idx="282">
                  <c:v>15.200761070685171</c:v>
                </c:pt>
                <c:pt idx="283">
                  <c:v>15.192293782414943</c:v>
                </c:pt>
                <c:pt idx="284">
                  <c:v>15.183762160754558</c:v>
                </c:pt>
                <c:pt idx="285">
                  <c:v>15.175166841600408</c:v>
                </c:pt>
                <c:pt idx="286">
                  <c:v>15.166508454769879</c:v>
                </c:pt>
                <c:pt idx="287">
                  <c:v>15.157787624074899</c:v>
                </c:pt>
                <c:pt idx="288">
                  <c:v>15.149004967394323</c:v>
                </c:pt>
                <c:pt idx="289">
                  <c:v>15.14016109674515</c:v>
                </c:pt>
                <c:pt idx="290">
                  <c:v>15.131256618352815</c:v>
                </c:pt>
                <c:pt idx="291">
                  <c:v>15.122292132720151</c:v>
                </c:pt>
                <c:pt idx="292">
                  <c:v>15.113268234695656</c:v>
                </c:pt>
                <c:pt idx="293">
                  <c:v>15.10418551354029</c:v>
                </c:pt>
                <c:pt idx="294">
                  <c:v>15.095044552993752</c:v>
                </c:pt>
                <c:pt idx="295">
                  <c:v>15.085845931339318</c:v>
                </c:pt>
                <c:pt idx="296">
                  <c:v>15.076590221467995</c:v>
                </c:pt>
                <c:pt idx="297">
                  <c:v>15.067277990941609</c:v>
                </c:pt>
                <c:pt idx="298">
                  <c:v>15.057909802054979</c:v>
                </c:pt>
                <c:pt idx="299">
                  <c:v>15.048486211897149</c:v>
                </c:pt>
                <c:pt idx="300">
                  <c:v>15.039007772411743</c:v>
                </c:pt>
                <c:pt idx="301">
                  <c:v>15.029475030456393</c:v>
                </c:pt>
                <c:pt idx="302">
                  <c:v>15.019888527861372</c:v>
                </c:pt>
                <c:pt idx="303">
                  <c:v>15.010248801487254</c:v>
                </c:pt>
                <c:pt idx="304">
                  <c:v>15.000556383281868</c:v>
                </c:pt>
                <c:pt idx="305">
                  <c:v>14.990811800336283</c:v>
                </c:pt>
                <c:pt idx="306">
                  <c:v>14.981015574940105</c:v>
                </c:pt>
                <c:pt idx="307">
                  <c:v>14.971168224635909</c:v>
                </c:pt>
                <c:pt idx="308">
                  <c:v>14.961270262272915</c:v>
                </c:pt>
                <c:pt idx="309">
                  <c:v>14.951322196059852</c:v>
                </c:pt>
                <c:pt idx="310">
                  <c:v>14.941324529617184</c:v>
                </c:pt>
                <c:pt idx="311">
                  <c:v>14.93127776202836</c:v>
                </c:pt>
                <c:pt idx="312">
                  <c:v>14.921182387890639</c:v>
                </c:pt>
                <c:pt idx="313">
                  <c:v>14.911038897364962</c:v>
                </c:pt>
                <c:pt idx="314">
                  <c:v>14.900847776225199</c:v>
                </c:pt>
                <c:pt idx="315">
                  <c:v>14.890609505906724</c:v>
                </c:pt>
                <c:pt idx="316">
                  <c:v>14.880324563554289</c:v>
                </c:pt>
                <c:pt idx="317">
                  <c:v>14.869993422069202</c:v>
                </c:pt>
                <c:pt idx="318">
                  <c:v>14.859616550155941</c:v>
                </c:pt>
                <c:pt idx="319">
                  <c:v>14.849194412368</c:v>
                </c:pt>
                <c:pt idx="320">
                  <c:v>14.838727469153127</c:v>
                </c:pt>
                <c:pt idx="321">
                  <c:v>14.828216176898069</c:v>
                </c:pt>
                <c:pt idx="322">
                  <c:v>14.81766098797252</c:v>
                </c:pt>
                <c:pt idx="323">
                  <c:v>14.807062350772572</c:v>
                </c:pt>
                <c:pt idx="324">
                  <c:v>14.796420709763552</c:v>
                </c:pt>
                <c:pt idx="325">
                  <c:v>14.785736505522237</c:v>
                </c:pt>
                <c:pt idx="326">
                  <c:v>14.775010174778579</c:v>
                </c:pt>
                <c:pt idx="327">
                  <c:v>14.764242150456795</c:v>
                </c:pt>
                <c:pt idx="328">
                  <c:v>14.753432861715922</c:v>
                </c:pt>
                <c:pt idx="329">
                  <c:v>14.742582733989837</c:v>
                </c:pt>
                <c:pt idx="330">
                  <c:v>14.731692189026678</c:v>
                </c:pt>
                <c:pt idx="331">
                  <c:v>14.72076164492786</c:v>
                </c:pt>
                <c:pt idx="332">
                  <c:v>14.70979151618649</c:v>
                </c:pt>
                <c:pt idx="333">
                  <c:v>14.698782213725247</c:v>
                </c:pt>
                <c:pt idx="334">
                  <c:v>14.687734144933788</c:v>
                </c:pt>
                <c:pt idx="335">
                  <c:v>14.676647713705762</c:v>
                </c:pt>
                <c:pt idx="336">
                  <c:v>14.665523320475085</c:v>
                </c:pt>
                <c:pt idx="337">
                  <c:v>14.654361362252057</c:v>
                </c:pt>
                <c:pt idx="338">
                  <c:v>14.643162232658726</c:v>
                </c:pt>
                <c:pt idx="339">
                  <c:v>14.631926321963979</c:v>
                </c:pt>
                <c:pt idx="340">
                  <c:v>14.620654017118046</c:v>
                </c:pt>
                <c:pt idx="341">
                  <c:v>14.609345701786687</c:v>
                </c:pt>
                <c:pt idx="342">
                  <c:v>14.598001756384772</c:v>
                </c:pt>
                <c:pt idx="343">
                  <c:v>14.586622558109626</c:v>
                </c:pt>
                <c:pt idx="344">
                  <c:v>14.575208480973769</c:v>
                </c:pt>
                <c:pt idx="345">
                  <c:v>14.563759895837341</c:v>
                </c:pt>
                <c:pt idx="346">
                  <c:v>14.552277170440002</c:v>
                </c:pt>
                <c:pt idx="347">
                  <c:v>14.540760669432643</c:v>
                </c:pt>
                <c:pt idx="348">
                  <c:v>14.529210754408437</c:v>
                </c:pt>
                <c:pt idx="349">
                  <c:v>14.517627783933643</c:v>
                </c:pt>
                <c:pt idx="350">
                  <c:v>14.506012113577981</c:v>
                </c:pt>
                <c:pt idx="351">
                  <c:v>14.494364095944652</c:v>
                </c:pt>
                <c:pt idx="352">
                  <c:v>14.482684080699972</c:v>
                </c:pt>
                <c:pt idx="353">
                  <c:v>14.470972414602549</c:v>
                </c:pt>
                <c:pt idx="354">
                  <c:v>14.459229441532278</c:v>
                </c:pt>
                <c:pt idx="355">
                  <c:v>14.447455502518762</c:v>
                </c:pt>
                <c:pt idx="356">
                  <c:v>14.435650935769557</c:v>
                </c:pt>
                <c:pt idx="357">
                  <c:v>14.423816076697948</c:v>
                </c:pt>
                <c:pt idx="358">
                  <c:v>14.411951257950459</c:v>
                </c:pt>
                <c:pt idx="359">
                  <c:v>14.400056809433957</c:v>
                </c:pt>
                <c:pt idx="360">
                  <c:v>14.38813305834249</c:v>
                </c:pt>
                <c:pt idx="361">
                  <c:v>14.376180329183748</c:v>
                </c:pt>
                <c:pt idx="362">
                  <c:v>14.364198943805206</c:v>
                </c:pt>
                <c:pt idx="363">
                  <c:v>14.352189221419987</c:v>
                </c:pt>
                <c:pt idx="364">
                  <c:v>14.340151478632352</c:v>
                </c:pt>
                <c:pt idx="365">
                  <c:v>14.328086029462931</c:v>
                </c:pt>
                <c:pt idx="366">
                  <c:v>14.315993185373598</c:v>
                </c:pt>
                <c:pt idx="367">
                  <c:v>14.303873255292135</c:v>
                </c:pt>
                <c:pt idx="368">
                  <c:v>14.291726545636489</c:v>
                </c:pt>
                <c:pt idx="369">
                  <c:v>14.279553360338774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4-4B57-B551-566B9F5B3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9030432"/>
        <c:axId val="1899031680"/>
      </c:lineChart>
      <c:catAx>
        <c:axId val="1899030432"/>
        <c:scaling>
          <c:orientation val="minMax"/>
        </c:scaling>
        <c:delete val="0"/>
        <c:axPos val="b"/>
        <c:numFmt formatCode="#,##0.00_);[Red]\(#,##0.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9031680"/>
        <c:crosses val="autoZero"/>
        <c:auto val="1"/>
        <c:lblAlgn val="ctr"/>
        <c:lblOffset val="100"/>
        <c:tickLblSkip val="15"/>
        <c:noMultiLvlLbl val="0"/>
      </c:catAx>
      <c:valAx>
        <c:axId val="1899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903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执行价格对期权价格的影响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执行价格!$B$16</c:f>
              <c:strCache>
                <c:ptCount val="1"/>
                <c:pt idx="0">
                  <c:v>看涨期权B-S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执行价格!$A$17:$A$115</c:f>
              <c:numCache>
                <c:formatCode>General</c:formatCode>
                <c:ptCount val="99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</c:numCache>
            </c:numRef>
          </c:cat>
          <c:val>
            <c:numRef>
              <c:f>执行价格!$B$17:$B$115</c:f>
              <c:numCache>
                <c:formatCode>General</c:formatCode>
                <c:ptCount val="99"/>
                <c:pt idx="0">
                  <c:v>50.123135797587395</c:v>
                </c:pt>
                <c:pt idx="1">
                  <c:v>49.125598513539146</c:v>
                </c:pt>
                <c:pt idx="2">
                  <c:v>48.128061229490896</c:v>
                </c:pt>
                <c:pt idx="3">
                  <c:v>47.13052394544264</c:v>
                </c:pt>
                <c:pt idx="4">
                  <c:v>46.132986661394391</c:v>
                </c:pt>
                <c:pt idx="5">
                  <c:v>45.135449377346141</c:v>
                </c:pt>
                <c:pt idx="6">
                  <c:v>44.137912093297878</c:v>
                </c:pt>
                <c:pt idx="7">
                  <c:v>43.140374809249636</c:v>
                </c:pt>
                <c:pt idx="8">
                  <c:v>42.142837525201394</c:v>
                </c:pt>
                <c:pt idx="9">
                  <c:v>41.14530024115318</c:v>
                </c:pt>
                <c:pt idx="10">
                  <c:v>40.147762957105179</c:v>
                </c:pt>
                <c:pt idx="11">
                  <c:v>39.150225673058245</c:v>
                </c:pt>
                <c:pt idx="12">
                  <c:v>38.152688389016546</c:v>
                </c:pt>
                <c:pt idx="13">
                  <c:v>37.155151104998353</c:v>
                </c:pt>
                <c:pt idx="14">
                  <c:v>36.157613821078598</c:v>
                </c:pt>
                <c:pt idx="15">
                  <c:v>35.160076537542665</c:v>
                </c:pt>
                <c:pt idx="16">
                  <c:v>34.1625392554066</c:v>
                </c:pt>
                <c:pt idx="17">
                  <c:v>33.165001978056935</c:v>
                </c:pt>
                <c:pt idx="18">
                  <c:v>32.167464716090137</c:v>
                </c:pt>
                <c:pt idx="19">
                  <c:v>31.169927500705526</c:v>
                </c:pt>
                <c:pt idx="20">
                  <c:v>30.172390418538313</c:v>
                </c:pt>
                <c:pt idx="21">
                  <c:v>29.174853696960355</c:v>
                </c:pt>
                <c:pt idx="22">
                  <c:v>28.177317901105894</c:v>
                </c:pt>
                <c:pt idx="23">
                  <c:v>27.179784363798902</c:v>
                </c:pt>
                <c:pt idx="24">
                  <c:v>26.182256073093768</c:v>
                </c:pt>
                <c:pt idx="25">
                  <c:v>25.184739407869046</c:v>
                </c:pt>
                <c:pt idx="26">
                  <c:v>24.187247356194305</c:v>
                </c:pt>
                <c:pt idx="27">
                  <c:v>23.189805179243521</c:v>
                </c:pt>
                <c:pt idx="28">
                  <c:v>22.192459876844197</c:v>
                </c:pt>
                <c:pt idx="29">
                  <c:v>21.195295213390779</c:v>
                </c:pt>
                <c:pt idx="30">
                  <c:v>20.198454371884395</c:v>
                </c:pt>
                <c:pt idx="31">
                  <c:v>19.202172370849794</c:v>
                </c:pt>
                <c:pt idx="32">
                  <c:v>18.206820029105131</c:v>
                </c:pt>
                <c:pt idx="33">
                  <c:v>17.212960335662643</c:v>
                </c:pt>
                <c:pt idx="34">
                  <c:v>16.221416485200805</c:v>
                </c:pt>
                <c:pt idx="35">
                  <c:v>15.233348612644804</c:v>
                </c:pt>
                <c:pt idx="36">
                  <c:v>14.25033361756185</c:v>
                </c:pt>
                <c:pt idx="37">
                  <c:v>13.274439807710507</c:v>
                </c:pt>
                <c:pt idx="38">
                  <c:v>12.308285948455932</c:v>
                </c:pt>
                <c:pt idx="39">
                  <c:v>11.355073261771594</c:v>
                </c:pt>
                <c:pt idx="40">
                  <c:v>10.418579466641916</c:v>
                </c:pt>
                <c:pt idx="41">
                  <c:v>9.5031063554981046</c:v>
                </c:pt>
                <c:pt idx="42">
                  <c:v>8.6133765899918444</c:v>
                </c:pt>
                <c:pt idx="43">
                  <c:v>7.7543809358365365</c:v>
                </c:pt>
                <c:pt idx="44">
                  <c:v>6.9311832827261242</c:v>
                </c:pt>
                <c:pt idx="45">
                  <c:v>6.1486965642761362</c:v>
                </c:pt>
                <c:pt idx="46">
                  <c:v>5.4114471512957891</c:v>
                </c:pt>
                <c:pt idx="47">
                  <c:v>4.7233476727604682</c:v>
                </c:pt>
                <c:pt idx="48">
                  <c:v>4.0874980974605322</c:v>
                </c:pt>
                <c:pt idx="49">
                  <c:v>3.5060322832912263</c:v>
                </c:pt>
                <c:pt idx="50">
                  <c:v>2.9800224824696073</c:v>
                </c:pt>
                <c:pt idx="51">
                  <c:v>2.5094482131327283</c:v>
                </c:pt>
                <c:pt idx="52">
                  <c:v>2.09322937572923</c:v>
                </c:pt>
                <c:pt idx="53">
                  <c:v>1.7293174121751917</c:v>
                </c:pt>
                <c:pt idx="54">
                  <c:v>1.4148334303201082</c:v>
                </c:pt>
                <c:pt idx="55">
                  <c:v>1.1462390399274689</c:v>
                </c:pt>
                <c:pt idx="56">
                  <c:v>0.91952435802527788</c:v>
                </c:pt>
                <c:pt idx="57">
                  <c:v>0.73039813961069555</c:v>
                </c:pt>
                <c:pt idx="58">
                  <c:v>0.57446694463057035</c:v>
                </c:pt>
                <c:pt idx="59">
                  <c:v>0.44739319557951163</c:v>
                </c:pt>
                <c:pt idx="60">
                  <c:v>0.34502540011754412</c:v>
                </c:pt>
                <c:pt idx="61">
                  <c:v>0.26349723711461515</c:v>
                </c:pt>
                <c:pt idx="62">
                  <c:v>0.19929525750102961</c:v>
                </c:pt>
                <c:pt idx="63">
                  <c:v>0.14929738605747023</c:v>
                </c:pt>
                <c:pt idx="64">
                  <c:v>0.11078611096332924</c:v>
                </c:pt>
                <c:pt idx="65">
                  <c:v>8.1441213170591276E-2</c:v>
                </c:pt>
                <c:pt idx="66">
                  <c:v>5.9317201490109106E-2</c:v>
                </c:pt>
                <c:pt idx="67">
                  <c:v>4.2810417620734231E-2</c:v>
                </c:pt>
                <c:pt idx="68">
                  <c:v>3.0620214761612807E-2</c:v>
                </c:pt>
                <c:pt idx="69">
                  <c:v>2.1707845920035274E-2</c:v>
                </c:pt>
                <c:pt idx="70">
                  <c:v>1.5255853955120968E-2</c:v>
                </c:pt>
                <c:pt idx="71">
                  <c:v>1.0629934590137169E-2</c:v>
                </c:pt>
                <c:pt idx="72">
                  <c:v>7.3445131117125806E-3</c:v>
                </c:pt>
                <c:pt idx="73">
                  <c:v>5.0326721999938151E-3</c:v>
                </c:pt>
                <c:pt idx="74">
                  <c:v>3.4206047508229809E-3</c:v>
                </c:pt>
                <c:pt idx="75">
                  <c:v>2.306436346698193E-3</c:v>
                </c:pt>
                <c:pt idx="76">
                  <c:v>1.5430507113099595E-3</c:v>
                </c:pt>
                <c:pt idx="77">
                  <c:v>1.0244359807652648E-3</c:v>
                </c:pt>
                <c:pt idx="78">
                  <c:v>6.7502658823267309E-4</c:v>
                </c:pt>
                <c:pt idx="79">
                  <c:v>4.4152321848973941E-4</c:v>
                </c:pt>
                <c:pt idx="80">
                  <c:v>2.8671310232680075E-4</c:v>
                </c:pt>
                <c:pt idx="81">
                  <c:v>1.8487024085533585E-4</c:v>
                </c:pt>
                <c:pt idx="82">
                  <c:v>1.1837921249018436E-4</c:v>
                </c:pt>
                <c:pt idx="83">
                  <c:v>7.5289711831031704E-5</c:v>
                </c:pt>
                <c:pt idx="84">
                  <c:v>4.7567416638202333E-5</c:v>
                </c:pt>
                <c:pt idx="85">
                  <c:v>2.9857840857235073E-5</c:v>
                </c:pt>
                <c:pt idx="86">
                  <c:v>1.8622690181589871E-5</c:v>
                </c:pt>
                <c:pt idx="87">
                  <c:v>1.1543061157046259E-5</c:v>
                </c:pt>
                <c:pt idx="88">
                  <c:v>7.1113584394920295E-6</c:v>
                </c:pt>
                <c:pt idx="89">
                  <c:v>4.3550646962375655E-6</c:v>
                </c:pt>
                <c:pt idx="90">
                  <c:v>2.6515731964062725E-6</c:v>
                </c:pt>
                <c:pt idx="91">
                  <c:v>1.6052220150870286E-6</c:v>
                </c:pt>
                <c:pt idx="92">
                  <c:v>9.6637032738373918E-7</c:v>
                </c:pt>
                <c:pt idx="93">
                  <c:v>5.7860551869543328E-7</c:v>
                </c:pt>
                <c:pt idx="94">
                  <c:v>3.4459151219380852E-7</c:v>
                </c:pt>
                <c:pt idx="95">
                  <c:v>2.0415551330283754E-7</c:v>
                </c:pt>
                <c:pt idx="96">
                  <c:v>1.2033797521055263E-7</c:v>
                </c:pt>
                <c:pt idx="97">
                  <c:v>7.0579546843627804E-8</c:v>
                </c:pt>
                <c:pt idx="98">
                  <c:v>4.1194397636837939E-8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06D-88D8-F928A02E5638}"/>
            </c:ext>
          </c:extLst>
        </c:ser>
        <c:ser>
          <c:idx val="1"/>
          <c:order val="1"/>
          <c:tx>
            <c:strRef>
              <c:f>执行价格!$C$16</c:f>
              <c:strCache>
                <c:ptCount val="1"/>
                <c:pt idx="0">
                  <c:v>看跌期权B-S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执行价格!$A$17:$A$115</c:f>
              <c:numCache>
                <c:formatCode>General</c:formatCode>
                <c:ptCount val="99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</c:numCache>
            </c:numRef>
          </c:cat>
          <c:val>
            <c:numRef>
              <c:f>执行价格!$C$17:$C$115</c:f>
              <c:numCache>
                <c:formatCode>General</c:formatCode>
                <c:ptCount val="99"/>
                <c:pt idx="0">
                  <c:v>7.3016987714618369E-23</c:v>
                </c:pt>
                <c:pt idx="1">
                  <c:v>1.0965793206633851E-21</c:v>
                </c:pt>
                <c:pt idx="2">
                  <c:v>1.4530267520211344E-20</c:v>
                </c:pt>
                <c:pt idx="3">
                  <c:v>1.7093305751103268E-19</c:v>
                </c:pt>
                <c:pt idx="4">
                  <c:v>1.7956680250395304E-18</c:v>
                </c:pt>
                <c:pt idx="5">
                  <c:v>1.693726884436959E-17</c:v>
                </c:pt>
                <c:pt idx="6">
                  <c:v>1.4417888668192808E-16</c:v>
                </c:pt>
                <c:pt idx="7">
                  <c:v>1.112986200514394E-15</c:v>
                </c:pt>
                <c:pt idx="8">
                  <c:v>7.8265838225472788E-15</c:v>
                </c:pt>
                <c:pt idx="9">
                  <c:v>5.0349907447550559E-14</c:v>
                </c:pt>
                <c:pt idx="10">
                  <c:v>2.9751743355319521E-13</c:v>
                </c:pt>
                <c:pt idx="11">
                  <c:v>1.620907970308065E-12</c:v>
                </c:pt>
                <c:pt idx="12">
                  <c:v>8.1712803920389409E-12</c:v>
                </c:pt>
                <c:pt idx="13">
                  <c:v>3.8245170729946088E-11</c:v>
                </c:pt>
                <c:pt idx="14">
                  <c:v>1.6672781824257839E-10</c:v>
                </c:pt>
                <c:pt idx="15">
                  <c:v>6.7904974163558684E-10</c:v>
                </c:pt>
                <c:pt idx="16">
                  <c:v>2.5912313414980523E-9</c:v>
                </c:pt>
                <c:pt idx="17">
                  <c:v>9.2898244614350642E-9</c:v>
                </c:pt>
                <c:pt idx="18">
                  <c:v>3.1371272549146075E-8</c:v>
                </c:pt>
                <c:pt idx="19">
                  <c:v>1.0003491430372157E-7</c:v>
                </c:pt>
                <c:pt idx="20">
                  <c:v>3.0191597364476809E-7</c:v>
                </c:pt>
                <c:pt idx="21">
                  <c:v>8.6438625296901864E-7</c:v>
                </c:pt>
                <c:pt idx="22">
                  <c:v>2.3525800328738167E-6</c:v>
                </c:pt>
                <c:pt idx="23">
                  <c:v>6.0993212921444436E-6</c:v>
                </c:pt>
                <c:pt idx="24">
                  <c:v>1.5092664401477598E-5</c:v>
                </c:pt>
                <c:pt idx="25">
                  <c:v>3.5711487961649722E-5</c:v>
                </c:pt>
                <c:pt idx="26">
                  <c:v>8.0943861450317317E-5</c:v>
                </c:pt>
                <c:pt idx="27">
                  <c:v>1.7605095891747025E-4</c:v>
                </c:pt>
                <c:pt idx="28">
                  <c:v>3.6803260786386766E-4</c:v>
                </c:pt>
                <c:pt idx="29">
                  <c:v>7.4065320268439094E-4</c:v>
                </c:pt>
                <c:pt idx="30">
                  <c:v>1.4370957445616894E-3</c:v>
                </c:pt>
                <c:pt idx="31">
                  <c:v>2.6923787582130154E-3</c:v>
                </c:pt>
                <c:pt idx="32">
                  <c:v>4.8773210618067442E-3</c:v>
                </c:pt>
                <c:pt idx="33">
                  <c:v>8.5549116675681658E-3</c:v>
                </c:pt>
                <c:pt idx="34">
                  <c:v>1.4548345253972306E-2</c:v>
                </c:pt>
                <c:pt idx="35">
                  <c:v>2.401775674622908E-2</c:v>
                </c:pt>
                <c:pt idx="36">
                  <c:v>3.8540045711516147E-2</c:v>
                </c:pt>
                <c:pt idx="37">
                  <c:v>6.0183519908443728E-2</c:v>
                </c:pt>
                <c:pt idx="38">
                  <c:v>9.1566944702116793E-2</c:v>
                </c:pt>
                <c:pt idx="39">
                  <c:v>0.13589154206601783</c:v>
                </c:pt>
                <c:pt idx="40">
                  <c:v>0.19693503098461118</c:v>
                </c:pt>
                <c:pt idx="41">
                  <c:v>0.27899920388903965</c:v>
                </c:pt>
                <c:pt idx="42">
                  <c:v>0.38680672243104475</c:v>
                </c:pt>
                <c:pt idx="43">
                  <c:v>0.52534835232398081</c:v>
                </c:pt>
                <c:pt idx="44">
                  <c:v>0.69968798326179993</c:v>
                </c:pt>
                <c:pt idx="45">
                  <c:v>0.91473854886007189</c:v>
                </c:pt>
                <c:pt idx="46">
                  <c:v>1.1750264199279847</c:v>
                </c:pt>
                <c:pt idx="47">
                  <c:v>1.4844642254409273</c:v>
                </c:pt>
                <c:pt idx="48">
                  <c:v>1.8461519341892298</c:v>
                </c:pt>
                <c:pt idx="49">
                  <c:v>2.2622234040681732</c:v>
                </c:pt>
                <c:pt idx="50">
                  <c:v>2.7337508872948177</c:v>
                </c:pt>
                <c:pt idx="51">
                  <c:v>3.2607139020062021</c:v>
                </c:pt>
                <c:pt idx="52">
                  <c:v>3.8420323486509318</c:v>
                </c:pt>
                <c:pt idx="53">
                  <c:v>4.4756576691451571</c:v>
                </c:pt>
                <c:pt idx="54">
                  <c:v>5.1587109713383228</c:v>
                </c:pt>
                <c:pt idx="55">
                  <c:v>5.8876538649939221</c:v>
                </c:pt>
                <c:pt idx="56">
                  <c:v>6.6584764671400194</c:v>
                </c:pt>
                <c:pt idx="57">
                  <c:v>7.4668875327736686</c:v>
                </c:pt>
                <c:pt idx="58">
                  <c:v>8.3084936218417909</c:v>
                </c:pt>
                <c:pt idx="59">
                  <c:v>9.1789571568389903</c:v>
                </c:pt>
                <c:pt idx="60">
                  <c:v>10.074126645425281</c:v>
                </c:pt>
                <c:pt idx="61">
                  <c:v>10.990135766470601</c:v>
                </c:pt>
                <c:pt idx="62">
                  <c:v>11.923471070905265</c:v>
                </c:pt>
                <c:pt idx="63">
                  <c:v>12.871010483509949</c:v>
                </c:pt>
                <c:pt idx="64">
                  <c:v>13.830036492464075</c:v>
                </c:pt>
                <c:pt idx="65">
                  <c:v>14.798228878719556</c:v>
                </c:pt>
                <c:pt idx="66">
                  <c:v>15.773642151087344</c:v>
                </c:pt>
                <c:pt idx="67">
                  <c:v>16.754672651266219</c:v>
                </c:pt>
                <c:pt idx="68">
                  <c:v>17.740019732455352</c:v>
                </c:pt>
                <c:pt idx="69">
                  <c:v>18.728644647662023</c:v>
                </c:pt>
                <c:pt idx="70">
                  <c:v>19.719729939745349</c:v>
                </c:pt>
                <c:pt idx="71">
                  <c:v>20.712641304428629</c:v>
                </c:pt>
                <c:pt idx="72">
                  <c:v>21.706893166998455</c:v>
                </c:pt>
                <c:pt idx="73">
                  <c:v>22.702118610134988</c:v>
                </c:pt>
                <c:pt idx="74">
                  <c:v>23.698043826734079</c:v>
                </c:pt>
                <c:pt idx="75">
                  <c:v>24.694466942378199</c:v>
                </c:pt>
                <c:pt idx="76">
                  <c:v>25.691240840791068</c:v>
                </c:pt>
                <c:pt idx="77">
                  <c:v>26.688259510108779</c:v>
                </c:pt>
                <c:pt idx="78">
                  <c:v>27.685447384764487</c:v>
                </c:pt>
                <c:pt idx="79">
                  <c:v>28.68275116544298</c:v>
                </c:pt>
                <c:pt idx="80">
                  <c:v>29.6801336393751</c:v>
                </c:pt>
                <c:pt idx="81">
                  <c:v>30.677569080561881</c:v>
                </c:pt>
                <c:pt idx="82">
                  <c:v>31.675039873581767</c:v>
                </c:pt>
                <c:pt idx="83">
                  <c:v>32.672534068129352</c:v>
                </c:pt>
                <c:pt idx="84">
                  <c:v>33.6700436298824</c:v>
                </c:pt>
                <c:pt idx="85">
                  <c:v>34.667563204354906</c:v>
                </c:pt>
                <c:pt idx="86">
                  <c:v>35.665089253252461</c:v>
                </c:pt>
                <c:pt idx="87">
                  <c:v>36.662619457671695</c:v>
                </c:pt>
                <c:pt idx="88">
                  <c:v>37.66015231001721</c:v>
                </c:pt>
                <c:pt idx="89">
                  <c:v>38.657686837771735</c:v>
                </c:pt>
                <c:pt idx="90">
                  <c:v>39.655222418328478</c:v>
                </c:pt>
                <c:pt idx="91">
                  <c:v>40.652758656025554</c:v>
                </c:pt>
                <c:pt idx="92">
                  <c:v>41.650295301222116</c:v>
                </c:pt>
                <c:pt idx="93">
                  <c:v>42.647832197505537</c:v>
                </c:pt>
                <c:pt idx="94">
                  <c:v>43.645369247539804</c:v>
                </c:pt>
                <c:pt idx="95">
                  <c:v>44.642906391152081</c:v>
                </c:pt>
                <c:pt idx="96">
                  <c:v>45.640443591382748</c:v>
                </c:pt>
                <c:pt idx="97">
                  <c:v>46.637980825672614</c:v>
                </c:pt>
                <c:pt idx="98">
                  <c:v>47.635518080335686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06D-88D8-F928A02E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4271888"/>
        <c:axId val="1844278128"/>
      </c:lineChart>
      <c:catAx>
        <c:axId val="184427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4278128"/>
        <c:crosses val="autoZero"/>
        <c:auto val="1"/>
        <c:lblAlgn val="ctr"/>
        <c:lblOffset val="100"/>
        <c:tickLblSkip val="10"/>
        <c:noMultiLvlLbl val="0"/>
      </c:catAx>
      <c:valAx>
        <c:axId val="18442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427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152943</xdr:colOff>
      <xdr:row>16</xdr:row>
      <xdr:rowOff>214993</xdr:rowOff>
    </xdr:from>
    <xdr:to>
      <xdr:col>10</xdr:col>
      <xdr:colOff>705938</xdr:colOff>
      <xdr:row>25</xdr:row>
      <xdr:rowOff>9254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15673BF-5B6C-70FB-535F-224C7CD4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14</xdr:row>
      <xdr:rowOff>278130</xdr:rowOff>
    </xdr:from>
    <xdr:to>
      <xdr:col>12</xdr:col>
      <xdr:colOff>362587</xdr:colOff>
      <xdr:row>30</xdr:row>
      <xdr:rowOff>228600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E49C64A-3C2B-BA3C-07A2-A74517DAE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461010</xdr:colOff>
      <xdr:row>14</xdr:row>
      <xdr:rowOff>194310</xdr:rowOff>
    </xdr:from>
    <xdr:to>
      <xdr:col>10</xdr:col>
      <xdr:colOff>1009650</xdr:colOff>
      <xdr:row>22</xdr:row>
      <xdr:rowOff>316230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9B26303-96DB-C50C-B18E-D921680F1B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537210</xdr:colOff>
      <xdr:row>16</xdr:row>
      <xdr:rowOff>140970</xdr:rowOff>
    </xdr:from>
    <xdr:to>
      <xdr:col>10</xdr:col>
      <xdr:colOff>415290</xdr:colOff>
      <xdr:row>24</xdr:row>
      <xdr:rowOff>262890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9490B95-2B3A-2ABE-ADA0-AEA36AD64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588819</xdr:colOff>
      <xdr:row>15</xdr:row>
      <xdr:rowOff>103909</xdr:rowOff>
    </xdr:from>
    <xdr:to>
      <xdr:col>14</xdr:col>
      <xdr:colOff>124691</xdr:colOff>
      <xdr:row>30</xdr:row>
      <xdr:rowOff>49875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5E80C10-6676-B817-91A0-7F6DFD6D1C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511661</xdr:colOff>
      <xdr:row>15</xdr:row>
      <xdr:rowOff>226583</xdr:rowOff>
    </xdr:from>
    <xdr:to>
      <xdr:col>11</xdr:col>
      <xdr:colOff>701713</xdr:colOff>
      <xdr:row>24</xdr:row>
      <xdr:rowOff>16808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7632AB-27B4-9105-2C4B-6AF1236F0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workbookViewId="0">
      <selection activeCell="D16" sqref="A1:XFD1048576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v>1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52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1"/>
      <c r="B16" s="1"/>
    </row>
    <row r="17" spans="1:2" ht="25.8" x14ac:dyDescent="0.25">
      <c r="A17" s="1"/>
      <c r="B17" s="1"/>
    </row>
    <row r="18" spans="1:2" ht="25.8" x14ac:dyDescent="0.25">
      <c r="A18" s="1"/>
      <c r="B18" s="1"/>
    </row>
    <row r="19" spans="1:2" ht="25.8" x14ac:dyDescent="0.25">
      <c r="A19" s="1"/>
      <c r="B19" s="1"/>
    </row>
    <row r="20" spans="1:2" ht="25.8" x14ac:dyDescent="0.25">
      <c r="A20" s="1"/>
      <c r="B20" s="1"/>
    </row>
    <row r="21" spans="1:2" ht="25.8" x14ac:dyDescent="0.25">
      <c r="A21" s="1"/>
      <c r="B21" s="1"/>
    </row>
  </sheetData>
  <mergeCells count="1">
    <mergeCell ref="E1:J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7"/>
  <sheetViews>
    <sheetView zoomScale="55" zoomScaleNormal="55" workbookViewId="0">
      <selection activeCell="A117" sqref="A17:A117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0.25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f>30/365</f>
        <v>8.2191780821917804E-2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2" t="s">
        <v>2</v>
      </c>
      <c r="B16" s="1" t="s">
        <v>0</v>
      </c>
      <c r="C16" s="1" t="s">
        <v>1</v>
      </c>
    </row>
    <row r="17" spans="1:3" ht="25.8" x14ac:dyDescent="0.25">
      <c r="A17" s="1">
        <v>50</v>
      </c>
      <c r="B17" s="1">
        <f>BS_call(A17,$B$2,$B$3,$B$4,$B$5,$B$6)</f>
        <v>1.4401500673917444E-22</v>
      </c>
      <c r="C17" s="1">
        <f>BS_put(A17,$B$2,$B$3,$B$4,$B$5,$B$6)</f>
        <v>49.75372840482521</v>
      </c>
    </row>
    <row r="18" spans="1:3" ht="25.8" x14ac:dyDescent="0.25">
      <c r="A18" s="1">
        <v>51</v>
      </c>
      <c r="B18" s="1">
        <f t="shared" ref="B18:B81" si="0">BS_call(A18,$B$2,$B$3,$B$4,$B$5,$B$6)</f>
        <v>2.1229192639847816E-21</v>
      </c>
      <c r="C18" s="1">
        <f t="shared" ref="C18:C81" si="1">BS_put(A18,$B$2,$B$3,$B$4,$B$5,$B$6)</f>
        <v>48.75372840482521</v>
      </c>
    </row>
    <row r="19" spans="1:3" ht="25.8" x14ac:dyDescent="0.25">
      <c r="A19" s="1">
        <v>52</v>
      </c>
      <c r="B19" s="1">
        <f t="shared" si="0"/>
        <v>2.7621203542030496E-20</v>
      </c>
      <c r="C19" s="1">
        <f t="shared" si="1"/>
        <v>47.75372840482521</v>
      </c>
    </row>
    <row r="20" spans="1:3" ht="25.8" x14ac:dyDescent="0.25">
      <c r="A20" s="1">
        <v>53</v>
      </c>
      <c r="B20" s="1">
        <f t="shared" si="0"/>
        <v>3.1917640544431284E-19</v>
      </c>
      <c r="C20" s="1">
        <f t="shared" si="1"/>
        <v>46.75372840482521</v>
      </c>
    </row>
    <row r="21" spans="1:3" ht="25.8" x14ac:dyDescent="0.25">
      <c r="A21" s="1">
        <v>54</v>
      </c>
      <c r="B21" s="1">
        <f t="shared" si="0"/>
        <v>3.2947405862850582E-18</v>
      </c>
      <c r="C21" s="1">
        <f t="shared" si="1"/>
        <v>45.75372840482521</v>
      </c>
    </row>
    <row r="22" spans="1:3" ht="25.8" x14ac:dyDescent="0.25">
      <c r="A22" s="1">
        <v>55</v>
      </c>
      <c r="B22" s="1">
        <f t="shared" si="0"/>
        <v>3.054770868722037E-17</v>
      </c>
      <c r="C22" s="1">
        <f t="shared" si="1"/>
        <v>44.753728404825218</v>
      </c>
    </row>
    <row r="23" spans="1:3" ht="25.8" x14ac:dyDescent="0.25">
      <c r="A23" s="1">
        <v>56</v>
      </c>
      <c r="B23" s="1">
        <f t="shared" si="0"/>
        <v>2.5569477233719365E-16</v>
      </c>
      <c r="C23" s="1">
        <f t="shared" si="1"/>
        <v>43.75372840482521</v>
      </c>
    </row>
    <row r="24" spans="1:3" ht="25.8" x14ac:dyDescent="0.25">
      <c r="A24" s="1">
        <v>57</v>
      </c>
      <c r="B24" s="1">
        <f t="shared" si="0"/>
        <v>1.9414903440066773E-15</v>
      </c>
      <c r="C24" s="1">
        <f t="shared" si="1"/>
        <v>42.753728404825203</v>
      </c>
    </row>
    <row r="25" spans="1:3" ht="25.8" x14ac:dyDescent="0.25">
      <c r="A25" s="1">
        <v>58</v>
      </c>
      <c r="B25" s="1">
        <f t="shared" si="0"/>
        <v>1.3433188699429353E-14</v>
      </c>
      <c r="C25" s="1">
        <f t="shared" si="1"/>
        <v>41.753728404825225</v>
      </c>
    </row>
    <row r="26" spans="1:3" ht="25.8" x14ac:dyDescent="0.25">
      <c r="A26" s="1">
        <v>59</v>
      </c>
      <c r="B26" s="1">
        <f t="shared" si="0"/>
        <v>8.5054868071316189E-14</v>
      </c>
      <c r="C26" s="1">
        <f t="shared" si="1"/>
        <v>40.753728404825303</v>
      </c>
    </row>
    <row r="27" spans="1:3" ht="25.8" x14ac:dyDescent="0.25">
      <c r="A27" s="1">
        <v>60</v>
      </c>
      <c r="B27" s="1">
        <f t="shared" si="0"/>
        <v>4.9480611493055367E-13</v>
      </c>
      <c r="C27" s="1">
        <f t="shared" si="1"/>
        <v>39.753728404825708</v>
      </c>
    </row>
    <row r="28" spans="1:3" ht="25.8" x14ac:dyDescent="0.25">
      <c r="A28" s="1">
        <v>61</v>
      </c>
      <c r="B28" s="1">
        <f t="shared" si="0"/>
        <v>2.6547779668819539E-12</v>
      </c>
      <c r="C28" s="1">
        <f t="shared" si="1"/>
        <v>38.753728404827868</v>
      </c>
    </row>
    <row r="29" spans="1:3" ht="25.8" x14ac:dyDescent="0.25">
      <c r="A29" s="1">
        <v>62</v>
      </c>
      <c r="B29" s="1">
        <f t="shared" si="0"/>
        <v>1.3183448153000418E-11</v>
      </c>
      <c r="C29" s="1">
        <f t="shared" si="1"/>
        <v>37.753728404838391</v>
      </c>
    </row>
    <row r="30" spans="1:3" ht="25.8" x14ac:dyDescent="0.25">
      <c r="A30" s="1">
        <v>63</v>
      </c>
      <c r="B30" s="1">
        <f t="shared" si="0"/>
        <v>6.0799976195841807E-11</v>
      </c>
      <c r="C30" s="1">
        <f t="shared" si="1"/>
        <v>36.753728404886004</v>
      </c>
    </row>
    <row r="31" spans="1:3" ht="25.8" x14ac:dyDescent="0.25">
      <c r="A31" s="1">
        <v>64</v>
      </c>
      <c r="B31" s="1">
        <f t="shared" si="0"/>
        <v>2.6123949397293713E-10</v>
      </c>
      <c r="C31" s="1">
        <f t="shared" si="1"/>
        <v>35.753728405086449</v>
      </c>
    </row>
    <row r="32" spans="1:3" ht="25.8" x14ac:dyDescent="0.25">
      <c r="A32" s="1">
        <v>65</v>
      </c>
      <c r="B32" s="1">
        <f t="shared" si="0"/>
        <v>1.0489379301221229E-9</v>
      </c>
      <c r="C32" s="1">
        <f t="shared" si="1"/>
        <v>34.753728405874142</v>
      </c>
    </row>
    <row r="33" spans="1:3" ht="25.8" x14ac:dyDescent="0.25">
      <c r="A33" s="1">
        <v>66</v>
      </c>
      <c r="B33" s="1">
        <f t="shared" si="0"/>
        <v>3.9471434578490398E-9</v>
      </c>
      <c r="C33" s="1">
        <f t="shared" si="1"/>
        <v>33.753728408772346</v>
      </c>
    </row>
    <row r="34" spans="1:3" ht="25.8" x14ac:dyDescent="0.25">
      <c r="A34" s="1">
        <v>67</v>
      </c>
      <c r="B34" s="1">
        <f t="shared" si="0"/>
        <v>1.3957950190362954E-8</v>
      </c>
      <c r="C34" s="1">
        <f t="shared" si="1"/>
        <v>32.753728418783155</v>
      </c>
    </row>
    <row r="35" spans="1:3" ht="25.8" x14ac:dyDescent="0.25">
      <c r="A35" s="1">
        <v>68</v>
      </c>
      <c r="B35" s="1">
        <f t="shared" si="0"/>
        <v>4.6504028033465107E-8</v>
      </c>
      <c r="C35" s="1">
        <f t="shared" si="1"/>
        <v>31.753728451329224</v>
      </c>
    </row>
    <row r="36" spans="1:3" ht="25.8" x14ac:dyDescent="0.25">
      <c r="A36" s="1">
        <v>69</v>
      </c>
      <c r="B36" s="1">
        <f t="shared" si="0"/>
        <v>1.4633877157558929E-7</v>
      </c>
      <c r="C36" s="1">
        <f t="shared" si="1"/>
        <v>30.753728551163988</v>
      </c>
    </row>
    <row r="37" spans="1:3" ht="25.8" x14ac:dyDescent="0.25">
      <c r="A37" s="1">
        <v>70</v>
      </c>
      <c r="B37" s="1">
        <f t="shared" si="0"/>
        <v>4.3596003989449742E-7</v>
      </c>
      <c r="C37" s="1">
        <f t="shared" si="1"/>
        <v>29.753728840785257</v>
      </c>
    </row>
    <row r="38" spans="1:3" ht="25.8" x14ac:dyDescent="0.25">
      <c r="A38" s="1">
        <v>71</v>
      </c>
      <c r="B38" s="1">
        <f t="shared" si="0"/>
        <v>1.2323191737194275E-6</v>
      </c>
      <c r="C38" s="1">
        <f t="shared" si="1"/>
        <v>28.753729637144389</v>
      </c>
    </row>
    <row r="39" spans="1:3" ht="25.8" x14ac:dyDescent="0.25">
      <c r="A39" s="1">
        <v>72</v>
      </c>
      <c r="B39" s="1">
        <f t="shared" si="0"/>
        <v>3.3121898020517591E-6</v>
      </c>
      <c r="C39" s="1">
        <f t="shared" si="1"/>
        <v>27.753731717015015</v>
      </c>
    </row>
    <row r="40" spans="1:3" ht="25.8" x14ac:dyDescent="0.25">
      <c r="A40" s="1">
        <v>73</v>
      </c>
      <c r="B40" s="1">
        <f t="shared" si="0"/>
        <v>8.4821777624132736E-6</v>
      </c>
      <c r="C40" s="1">
        <f t="shared" si="1"/>
        <v>26.753736887002972</v>
      </c>
    </row>
    <row r="41" spans="1:3" ht="25.8" x14ac:dyDescent="0.25">
      <c r="A41" s="1">
        <v>74</v>
      </c>
      <c r="B41" s="1">
        <f t="shared" si="0"/>
        <v>2.0736979625139403E-5</v>
      </c>
      <c r="C41" s="1">
        <f t="shared" si="1"/>
        <v>25.753749141804832</v>
      </c>
    </row>
    <row r="42" spans="1:3" ht="25.8" x14ac:dyDescent="0.25">
      <c r="A42" s="1">
        <v>75</v>
      </c>
      <c r="B42" s="1">
        <f t="shared" si="0"/>
        <v>4.8488550242054788E-5</v>
      </c>
      <c r="C42" s="1">
        <f t="shared" si="1"/>
        <v>24.753776893375459</v>
      </c>
    </row>
    <row r="43" spans="1:3" ht="25.8" x14ac:dyDescent="0.25">
      <c r="A43" s="1">
        <v>76</v>
      </c>
      <c r="B43" s="1">
        <f t="shared" si="0"/>
        <v>1.0863361344654651E-4</v>
      </c>
      <c r="C43" s="1">
        <f t="shared" si="1"/>
        <v>23.753837038438647</v>
      </c>
    </row>
    <row r="44" spans="1:3" ht="25.8" x14ac:dyDescent="0.25">
      <c r="A44" s="1">
        <v>77</v>
      </c>
      <c r="B44" s="1">
        <f t="shared" si="0"/>
        <v>2.3359566027583364E-4</v>
      </c>
      <c r="C44" s="1">
        <f t="shared" si="1"/>
        <v>22.753962000485487</v>
      </c>
    </row>
    <row r="45" spans="1:3" ht="25.8" x14ac:dyDescent="0.25">
      <c r="A45" s="1">
        <v>78</v>
      </c>
      <c r="B45" s="1">
        <f t="shared" si="0"/>
        <v>4.8289818421509006E-4</v>
      </c>
      <c r="C45" s="1">
        <f t="shared" si="1"/>
        <v>21.754211303009427</v>
      </c>
    </row>
    <row r="46" spans="1:3" ht="25.8" x14ac:dyDescent="0.25">
      <c r="A46" s="1">
        <v>79</v>
      </c>
      <c r="B46" s="1">
        <f t="shared" si="0"/>
        <v>9.6122245643826681E-4</v>
      </c>
      <c r="C46" s="1">
        <f t="shared" si="1"/>
        <v>20.75468962728165</v>
      </c>
    </row>
    <row r="47" spans="1:3" ht="25.8" x14ac:dyDescent="0.25">
      <c r="A47" s="1">
        <v>80</v>
      </c>
      <c r="B47" s="1">
        <f t="shared" si="0"/>
        <v>1.8451490773585405E-3</v>
      </c>
      <c r="C47" s="1">
        <f t="shared" si="1"/>
        <v>19.755573553902565</v>
      </c>
    </row>
    <row r="48" spans="1:3" ht="25.8" x14ac:dyDescent="0.25">
      <c r="A48" s="1">
        <v>81</v>
      </c>
      <c r="B48" s="1">
        <f t="shared" si="0"/>
        <v>3.4207085466828324E-3</v>
      </c>
      <c r="C48" s="1">
        <f t="shared" si="1"/>
        <v>18.757149113371895</v>
      </c>
    </row>
    <row r="49" spans="1:3" ht="25.8" x14ac:dyDescent="0.25">
      <c r="A49" s="1">
        <v>82</v>
      </c>
      <c r="B49" s="1">
        <f t="shared" si="0"/>
        <v>6.133288639838641E-3</v>
      </c>
      <c r="C49" s="1">
        <f t="shared" si="1"/>
        <v>17.759861693465055</v>
      </c>
    </row>
    <row r="50" spans="1:3" ht="25.8" x14ac:dyDescent="0.25">
      <c r="A50" s="1">
        <v>83</v>
      </c>
      <c r="B50" s="1">
        <f t="shared" si="0"/>
        <v>1.0650217493472725E-2</v>
      </c>
      <c r="C50" s="1">
        <f t="shared" si="1"/>
        <v>16.764378622318688</v>
      </c>
    </row>
    <row r="51" spans="1:3" ht="25.8" x14ac:dyDescent="0.25">
      <c r="A51" s="1">
        <v>84</v>
      </c>
      <c r="B51" s="1">
        <f t="shared" si="0"/>
        <v>1.7934411846273424E-2</v>
      </c>
      <c r="C51" s="1">
        <f t="shared" si="1"/>
        <v>15.77166281667148</v>
      </c>
    </row>
    <row r="52" spans="1:3" ht="25.8" x14ac:dyDescent="0.25">
      <c r="A52" s="1">
        <v>85</v>
      </c>
      <c r="B52" s="1">
        <f t="shared" si="0"/>
        <v>2.9324959567668785E-2</v>
      </c>
      <c r="C52" s="1">
        <f t="shared" si="1"/>
        <v>14.783053364392885</v>
      </c>
    </row>
    <row r="53" spans="1:3" ht="25.8" x14ac:dyDescent="0.25">
      <c r="A53" s="1">
        <v>86</v>
      </c>
      <c r="B53" s="1">
        <f t="shared" si="0"/>
        <v>4.6617697472820963E-2</v>
      </c>
      <c r="C53" s="1">
        <f t="shared" si="1"/>
        <v>13.800346102298036</v>
      </c>
    </row>
    <row r="54" spans="1:3" ht="25.8" x14ac:dyDescent="0.25">
      <c r="A54" s="1">
        <v>87</v>
      </c>
      <c r="B54" s="1">
        <f t="shared" si="0"/>
        <v>7.213623382479506E-2</v>
      </c>
      <c r="C54" s="1">
        <f t="shared" si="1"/>
        <v>12.825864638650003</v>
      </c>
    </row>
    <row r="55" spans="1:3" ht="25.8" x14ac:dyDescent="0.25">
      <c r="A55" s="1">
        <v>88</v>
      </c>
      <c r="B55" s="1">
        <f t="shared" si="0"/>
        <v>0.10878204614458742</v>
      </c>
      <c r="C55" s="1">
        <f t="shared" si="1"/>
        <v>11.862510450969793</v>
      </c>
    </row>
    <row r="56" spans="1:3" ht="25.8" x14ac:dyDescent="0.25">
      <c r="A56" s="1">
        <v>89</v>
      </c>
      <c r="B56" s="1">
        <f t="shared" si="0"/>
        <v>0.16005184633414782</v>
      </c>
      <c r="C56" s="1">
        <f t="shared" si="1"/>
        <v>10.913780251159366</v>
      </c>
    </row>
    <row r="57" spans="1:3" ht="25.8" x14ac:dyDescent="0.25">
      <c r="A57" s="1">
        <v>90</v>
      </c>
      <c r="B57" s="1">
        <f t="shared" si="0"/>
        <v>0.2300117773596444</v>
      </c>
      <c r="C57" s="1">
        <f t="shared" si="1"/>
        <v>9.9837401821848601</v>
      </c>
    </row>
    <row r="58" spans="1:3" ht="25.8" x14ac:dyDescent="0.25">
      <c r="A58" s="1">
        <v>91</v>
      </c>
      <c r="B58" s="1">
        <f t="shared" si="0"/>
        <v>0.32322132658116942</v>
      </c>
      <c r="C58" s="1">
        <f t="shared" si="1"/>
        <v>9.0769497314063727</v>
      </c>
    </row>
    <row r="59" spans="1:3" ht="25.8" x14ac:dyDescent="0.25">
      <c r="A59" s="1">
        <v>92</v>
      </c>
      <c r="B59" s="1">
        <f t="shared" si="0"/>
        <v>0.44460487127064852</v>
      </c>
      <c r="C59" s="1">
        <f t="shared" si="1"/>
        <v>8.1983332760958518</v>
      </c>
    </row>
    <row r="60" spans="1:3" ht="25.8" x14ac:dyDescent="0.25">
      <c r="A60" s="1">
        <v>93</v>
      </c>
      <c r="B60" s="1">
        <f t="shared" si="0"/>
        <v>0.5992748956273406</v>
      </c>
      <c r="C60" s="1">
        <f t="shared" si="1"/>
        <v>7.3530033004525421</v>
      </c>
    </row>
    <row r="61" spans="1:3" ht="25.8" x14ac:dyDescent="0.25">
      <c r="A61" s="1">
        <v>94</v>
      </c>
      <c r="B61" s="1">
        <f t="shared" si="0"/>
        <v>0.79231723380804908</v>
      </c>
      <c r="C61" s="1">
        <f t="shared" si="1"/>
        <v>6.5460456386332595</v>
      </c>
    </row>
    <row r="62" spans="1:3" ht="25.8" x14ac:dyDescent="0.25">
      <c r="A62" s="1">
        <v>95</v>
      </c>
      <c r="B62" s="1">
        <f t="shared" si="0"/>
        <v>1.0285541800971778</v>
      </c>
      <c r="C62" s="1">
        <f t="shared" si="1"/>
        <v>5.7822825849223989</v>
      </c>
    </row>
    <row r="63" spans="1:3" ht="25.8" x14ac:dyDescent="0.25">
      <c r="A63" s="1">
        <v>96</v>
      </c>
      <c r="B63" s="1">
        <f t="shared" si="0"/>
        <v>1.3123050314399229</v>
      </c>
      <c r="C63" s="1">
        <f t="shared" si="1"/>
        <v>5.0660334362651156</v>
      </c>
    </row>
    <row r="64" spans="1:3" ht="25.8" x14ac:dyDescent="0.25">
      <c r="A64" s="1">
        <v>97</v>
      </c>
      <c r="B64" s="1">
        <f t="shared" si="0"/>
        <v>1.6471649328138511</v>
      </c>
      <c r="C64" s="1">
        <f t="shared" si="1"/>
        <v>4.4008933376390615</v>
      </c>
    </row>
    <row r="65" spans="1:3" ht="25.8" x14ac:dyDescent="0.25">
      <c r="A65" s="1">
        <v>98</v>
      </c>
      <c r="B65" s="1">
        <f t="shared" si="0"/>
        <v>2.0358215357562699</v>
      </c>
      <c r="C65" s="1">
        <f t="shared" si="1"/>
        <v>3.7895499405814803</v>
      </c>
    </row>
    <row r="66" spans="1:3" ht="25.8" x14ac:dyDescent="0.25">
      <c r="A66" s="1">
        <v>99</v>
      </c>
      <c r="B66" s="1">
        <f t="shared" si="0"/>
        <v>2.4799251608856494</v>
      </c>
      <c r="C66" s="1">
        <f t="shared" si="1"/>
        <v>3.2336535657108527</v>
      </c>
    </row>
    <row r="67" spans="1:3" ht="25.8" x14ac:dyDescent="0.25">
      <c r="A67" s="1">
        <v>100</v>
      </c>
      <c r="B67" s="1">
        <f t="shared" si="0"/>
        <v>2.9800224824696073</v>
      </c>
      <c r="C67" s="1">
        <f t="shared" si="1"/>
        <v>2.7337508872948177</v>
      </c>
    </row>
    <row r="68" spans="1:3" ht="25.8" x14ac:dyDescent="0.25">
      <c r="A68" s="1">
        <v>101</v>
      </c>
      <c r="B68" s="1">
        <f t="shared" si="0"/>
        <v>3.5355571021214516</v>
      </c>
      <c r="C68" s="1">
        <f t="shared" si="1"/>
        <v>2.2892855069466762</v>
      </c>
    </row>
    <row r="69" spans="1:3" ht="25.8" x14ac:dyDescent="0.25">
      <c r="A69" s="1">
        <v>102</v>
      </c>
      <c r="B69" s="1">
        <f t="shared" si="0"/>
        <v>4.1449337196520659</v>
      </c>
      <c r="C69" s="1">
        <f t="shared" si="1"/>
        <v>1.8986621244772763</v>
      </c>
    </row>
    <row r="70" spans="1:3" ht="25.8" x14ac:dyDescent="0.25">
      <c r="A70" s="1">
        <v>103</v>
      </c>
      <c r="B70" s="1">
        <f t="shared" si="0"/>
        <v>4.8056368308697017</v>
      </c>
      <c r="C70" s="1">
        <f t="shared" si="1"/>
        <v>1.559365235694905</v>
      </c>
    </row>
    <row r="71" spans="1:3" ht="25.8" x14ac:dyDescent="0.25">
      <c r="A71" s="1">
        <v>104</v>
      </c>
      <c r="B71" s="1">
        <f t="shared" si="0"/>
        <v>5.5143906511035681</v>
      </c>
      <c r="C71" s="1">
        <f t="shared" si="1"/>
        <v>1.2681190559287749</v>
      </c>
    </row>
    <row r="72" spans="1:3" ht="25.8" x14ac:dyDescent="0.25">
      <c r="A72" s="1">
        <v>105</v>
      </c>
      <c r="B72" s="1">
        <f t="shared" si="0"/>
        <v>6.2673446408903573</v>
      </c>
      <c r="C72" s="1">
        <f t="shared" si="1"/>
        <v>1.0210730457155677</v>
      </c>
    </row>
    <row r="73" spans="1:3" ht="25.8" x14ac:dyDescent="0.25">
      <c r="A73" s="1">
        <v>106</v>
      </c>
      <c r="B73" s="1">
        <f t="shared" si="0"/>
        <v>7.060268637313257</v>
      </c>
      <c r="C73" s="1">
        <f t="shared" si="1"/>
        <v>0.81399704213847102</v>
      </c>
    </row>
    <row r="74" spans="1:3" ht="25.8" x14ac:dyDescent="0.25">
      <c r="A74" s="1">
        <v>107</v>
      </c>
      <c r="B74" s="1">
        <f t="shared" si="0"/>
        <v>7.888742933833484</v>
      </c>
      <c r="C74" s="1">
        <f t="shared" si="1"/>
        <v>0.64247133865870154</v>
      </c>
    </row>
    <row r="75" spans="1:3" ht="25.8" x14ac:dyDescent="0.25">
      <c r="A75" s="1">
        <v>108</v>
      </c>
      <c r="B75" s="1">
        <f t="shared" si="0"/>
        <v>8.7483312714496151</v>
      </c>
      <c r="C75" s="1">
        <f t="shared" si="1"/>
        <v>0.50205967627481662</v>
      </c>
    </row>
    <row r="76" spans="1:3" ht="25.8" x14ac:dyDescent="0.25">
      <c r="A76" s="1">
        <v>109</v>
      </c>
      <c r="B76" s="1">
        <f t="shared" si="0"/>
        <v>9.6347280788241818</v>
      </c>
      <c r="C76" s="1">
        <f t="shared" si="1"/>
        <v>0.38845648364938867</v>
      </c>
    </row>
    <row r="77" spans="1:3" ht="25.8" x14ac:dyDescent="0.25">
      <c r="A77" s="1">
        <v>110</v>
      </c>
      <c r="B77" s="1">
        <f t="shared" si="0"/>
        <v>10.54387490443159</v>
      </c>
      <c r="C77" s="1">
        <f t="shared" si="1"/>
        <v>0.29760330925679845</v>
      </c>
    </row>
    <row r="78" spans="1:3" ht="25.8" x14ac:dyDescent="0.25">
      <c r="A78" s="1">
        <v>111</v>
      </c>
      <c r="B78" s="1">
        <f t="shared" si="0"/>
        <v>11.472044372506076</v>
      </c>
      <c r="C78" s="1">
        <f t="shared" si="1"/>
        <v>0.22577277733128298</v>
      </c>
    </row>
    <row r="79" spans="1:3" ht="25.8" x14ac:dyDescent="0.25">
      <c r="A79" s="1">
        <v>112</v>
      </c>
      <c r="B79" s="1">
        <f t="shared" si="0"/>
        <v>12.415892842500241</v>
      </c>
      <c r="C79" s="1">
        <f t="shared" si="1"/>
        <v>0.16962124732544837</v>
      </c>
    </row>
    <row r="80" spans="1:3" ht="25.8" x14ac:dyDescent="0.25">
      <c r="A80" s="1">
        <v>113</v>
      </c>
      <c r="B80" s="1">
        <f t="shared" si="0"/>
        <v>13.372485074390084</v>
      </c>
      <c r="C80" s="1">
        <f t="shared" si="1"/>
        <v>0.12621347921529136</v>
      </c>
    </row>
    <row r="81" spans="1:3" ht="25.8" x14ac:dyDescent="0.25">
      <c r="A81" s="1">
        <v>114</v>
      </c>
      <c r="B81" s="1">
        <f t="shared" si="0"/>
        <v>14.339295545832442</v>
      </c>
      <c r="C81" s="1">
        <f t="shared" si="1"/>
        <v>9.3023950657642018E-2</v>
      </c>
    </row>
    <row r="82" spans="1:3" ht="25.8" x14ac:dyDescent="0.25">
      <c r="A82" s="1">
        <v>115</v>
      </c>
      <c r="B82" s="1">
        <f t="shared" ref="B82:B116" si="2">BS_call(A82,$B$2,$B$3,$B$4,$B$5,$B$6)</f>
        <v>15.314191683225872</v>
      </c>
      <c r="C82" s="1">
        <f t="shared" ref="C82:C116" si="3">BS_put(A82,$B$2,$B$3,$B$4,$B$5,$B$6)</f>
        <v>6.7920088051088179E-2</v>
      </c>
    </row>
    <row r="83" spans="1:3" ht="25.8" x14ac:dyDescent="0.25">
      <c r="A83" s="1">
        <v>116</v>
      </c>
      <c r="B83" s="1">
        <f t="shared" si="2"/>
        <v>16.295404279237957</v>
      </c>
      <c r="C83" s="1">
        <f t="shared" si="3"/>
        <v>4.9132684063156518E-2</v>
      </c>
    </row>
    <row r="84" spans="1:3" ht="25.8" x14ac:dyDescent="0.25">
      <c r="A84" s="1">
        <v>117</v>
      </c>
      <c r="B84" s="1">
        <f t="shared" si="2"/>
        <v>17.281489932351747</v>
      </c>
      <c r="C84" s="1">
        <f t="shared" si="3"/>
        <v>3.5218337176956105E-2</v>
      </c>
    </row>
    <row r="85" spans="1:3" ht="25.8" x14ac:dyDescent="0.25">
      <c r="A85" s="1">
        <v>118</v>
      </c>
      <c r="B85" s="1">
        <f t="shared" si="2"/>
        <v>18.271289623476733</v>
      </c>
      <c r="C85" s="1">
        <f t="shared" si="3"/>
        <v>2.5018028301947881E-2</v>
      </c>
    </row>
    <row r="86" spans="1:3" ht="25.8" x14ac:dyDescent="0.25">
      <c r="A86" s="1">
        <v>119</v>
      </c>
      <c r="B86" s="1">
        <f t="shared" si="2"/>
        <v>19.263886688772473</v>
      </c>
      <c r="C86" s="1">
        <f t="shared" si="3"/>
        <v>1.7615093597689202E-2</v>
      </c>
    </row>
    <row r="87" spans="1:3" ht="25.8" x14ac:dyDescent="0.25">
      <c r="A87" s="1">
        <v>120</v>
      </c>
      <c r="B87" s="1">
        <f t="shared" si="2"/>
        <v>20.258566575612747</v>
      </c>
      <c r="C87" s="1">
        <f t="shared" si="3"/>
        <v>1.2294980437955627E-2</v>
      </c>
    </row>
    <row r="88" spans="1:3" ht="25.8" x14ac:dyDescent="0.25">
      <c r="A88" s="1">
        <v>121</v>
      </c>
      <c r="B88" s="1">
        <f t="shared" si="2"/>
        <v>21.254779964874302</v>
      </c>
      <c r="C88" s="1">
        <f t="shared" si="3"/>
        <v>8.5083696994949221E-3</v>
      </c>
    </row>
    <row r="89" spans="1:3" ht="25.8" x14ac:dyDescent="0.25">
      <c r="A89" s="1">
        <v>122</v>
      </c>
      <c r="B89" s="1">
        <f t="shared" si="2"/>
        <v>22.252110158915144</v>
      </c>
      <c r="C89" s="1">
        <f t="shared" si="3"/>
        <v>5.8385637403546298E-3</v>
      </c>
    </row>
    <row r="90" spans="1:3" ht="25.8" x14ac:dyDescent="0.25">
      <c r="A90" s="1">
        <v>123</v>
      </c>
      <c r="B90" s="1">
        <f t="shared" si="2"/>
        <v>23.250245093659458</v>
      </c>
      <c r="C90" s="1">
        <f t="shared" si="3"/>
        <v>3.9734984846769017E-3</v>
      </c>
    </row>
    <row r="91" spans="1:3" ht="25.8" x14ac:dyDescent="0.25">
      <c r="A91" s="1">
        <v>124</v>
      </c>
      <c r="B91" s="1">
        <f t="shared" si="2"/>
        <v>24.248953936386371</v>
      </c>
      <c r="C91" s="1">
        <f t="shared" si="3"/>
        <v>2.6823412115811185E-3</v>
      </c>
    </row>
    <row r="92" spans="1:3" ht="25.8" x14ac:dyDescent="0.25">
      <c r="A92" s="1">
        <v>125</v>
      </c>
      <c r="B92" s="1">
        <f t="shared" si="2"/>
        <v>25.248067964855508</v>
      </c>
      <c r="C92" s="1">
        <f t="shared" si="3"/>
        <v>1.7963696807021118E-3</v>
      </c>
    </row>
    <row r="93" spans="1:3" ht="25.8" x14ac:dyDescent="0.25">
      <c r="A93" s="1">
        <v>126</v>
      </c>
      <c r="B93" s="1">
        <f t="shared" si="2"/>
        <v>26.247465266913707</v>
      </c>
      <c r="C93" s="1">
        <f t="shared" si="3"/>
        <v>1.1936717389155124E-3</v>
      </c>
    </row>
    <row r="94" spans="1:3" ht="25.8" x14ac:dyDescent="0.25">
      <c r="A94" s="1">
        <v>127</v>
      </c>
      <c r="B94" s="1">
        <f t="shared" si="2"/>
        <v>27.247058728353124</v>
      </c>
      <c r="C94" s="1">
        <f t="shared" si="3"/>
        <v>7.8713317834598617E-4</v>
      </c>
    </row>
    <row r="95" spans="1:3" ht="25.8" x14ac:dyDescent="0.25">
      <c r="A95" s="1">
        <v>128</v>
      </c>
      <c r="B95" s="1">
        <f t="shared" si="2"/>
        <v>28.246786766803069</v>
      </c>
      <c r="C95" s="1">
        <f t="shared" si="3"/>
        <v>5.1517162829305824E-4</v>
      </c>
    </row>
    <row r="96" spans="1:3" ht="25.8" x14ac:dyDescent="0.25">
      <c r="A96" s="1">
        <v>129</v>
      </c>
      <c r="B96" s="1">
        <f t="shared" si="2"/>
        <v>29.246606299969457</v>
      </c>
      <c r="C96" s="1">
        <f t="shared" si="3"/>
        <v>3.3470479467456737E-4</v>
      </c>
    </row>
    <row r="97" spans="1:3" ht="25.8" x14ac:dyDescent="0.25">
      <c r="A97" s="1">
        <v>130</v>
      </c>
      <c r="B97" s="1">
        <f t="shared" si="2"/>
        <v>30.246487490645819</v>
      </c>
      <c r="C97" s="1">
        <f t="shared" si="3"/>
        <v>2.158954710263835E-4</v>
      </c>
    </row>
    <row r="98" spans="1:3" ht="25.8" x14ac:dyDescent="0.25">
      <c r="A98" s="1">
        <v>131</v>
      </c>
      <c r="B98" s="1">
        <f t="shared" si="2"/>
        <v>31.246409875828277</v>
      </c>
      <c r="C98" s="1">
        <f t="shared" si="3"/>
        <v>1.3828065350135997E-4</v>
      </c>
    </row>
    <row r="99" spans="1:3" ht="25.8" x14ac:dyDescent="0.25">
      <c r="A99" s="1">
        <v>132</v>
      </c>
      <c r="B99" s="1">
        <f t="shared" si="2"/>
        <v>32.246359554033859</v>
      </c>
      <c r="C99" s="1">
        <f t="shared" si="3"/>
        <v>8.7958859068354607E-5</v>
      </c>
    </row>
    <row r="100" spans="1:3" ht="25.8" x14ac:dyDescent="0.25">
      <c r="A100" s="1">
        <v>133</v>
      </c>
      <c r="B100" s="1">
        <f t="shared" si="2"/>
        <v>33.246327167840064</v>
      </c>
      <c r="C100" s="1">
        <f t="shared" si="3"/>
        <v>5.5572665279373084E-5</v>
      </c>
    </row>
    <row r="101" spans="1:3" ht="25.8" x14ac:dyDescent="0.25">
      <c r="A101" s="1">
        <v>134</v>
      </c>
      <c r="B101" s="1">
        <f t="shared" si="2"/>
        <v>34.246306474550906</v>
      </c>
      <c r="C101" s="1">
        <f t="shared" si="3"/>
        <v>3.4879376110096005E-5</v>
      </c>
    </row>
    <row r="102" spans="1:3" ht="25.8" x14ac:dyDescent="0.25">
      <c r="A102" s="1">
        <v>135</v>
      </c>
      <c r="B102" s="1">
        <f t="shared" si="2"/>
        <v>35.246293345388167</v>
      </c>
      <c r="C102" s="1">
        <f t="shared" si="3"/>
        <v>2.1750213381508928E-5</v>
      </c>
    </row>
    <row r="103" spans="1:3" ht="25.8" x14ac:dyDescent="0.25">
      <c r="A103" s="1">
        <v>136</v>
      </c>
      <c r="B103" s="1">
        <f t="shared" si="2"/>
        <v>36.246285072578544</v>
      </c>
      <c r="C103" s="1">
        <f t="shared" si="3"/>
        <v>1.3477403753446603E-5</v>
      </c>
    </row>
    <row r="104" spans="1:3" ht="25.8" x14ac:dyDescent="0.25">
      <c r="A104" s="1">
        <v>137</v>
      </c>
      <c r="B104" s="1">
        <f t="shared" si="2"/>
        <v>37.246279894761798</v>
      </c>
      <c r="C104" s="1">
        <f t="shared" si="3"/>
        <v>8.2995870096594371E-6</v>
      </c>
    </row>
    <row r="105" spans="1:3" ht="25.8" x14ac:dyDescent="0.25">
      <c r="A105" s="1">
        <v>138</v>
      </c>
      <c r="B105" s="1">
        <f t="shared" si="2"/>
        <v>38.246276675282274</v>
      </c>
      <c r="C105" s="1">
        <f t="shared" si="3"/>
        <v>5.0801074943755144E-6</v>
      </c>
    </row>
    <row r="106" spans="1:3" ht="25.8" x14ac:dyDescent="0.25">
      <c r="A106" s="1">
        <v>139</v>
      </c>
      <c r="B106" s="1">
        <f t="shared" si="2"/>
        <v>39.246274686275527</v>
      </c>
      <c r="C106" s="1">
        <f t="shared" si="3"/>
        <v>3.0911007297086061E-6</v>
      </c>
    </row>
    <row r="107" spans="1:3" ht="25.8" x14ac:dyDescent="0.25">
      <c r="A107" s="1">
        <v>140</v>
      </c>
      <c r="B107" s="1">
        <f t="shared" si="2"/>
        <v>40.246273465141613</v>
      </c>
      <c r="C107" s="1">
        <f t="shared" si="3"/>
        <v>1.8699668347820126E-6</v>
      </c>
    </row>
    <row r="108" spans="1:3" ht="25.8" x14ac:dyDescent="0.25">
      <c r="A108" s="1">
        <v>141</v>
      </c>
      <c r="B108" s="1">
        <f t="shared" si="2"/>
        <v>41.246272720014872</v>
      </c>
      <c r="C108" s="1">
        <f t="shared" si="3"/>
        <v>1.1248400793506996E-6</v>
      </c>
    </row>
    <row r="109" spans="1:3" ht="25.8" x14ac:dyDescent="0.25">
      <c r="A109" s="1">
        <v>142</v>
      </c>
      <c r="B109" s="1">
        <f t="shared" si="2"/>
        <v>42.246272268056046</v>
      </c>
      <c r="C109" s="1">
        <f t="shared" si="3"/>
        <v>6.7288123101745496E-7</v>
      </c>
    </row>
    <row r="110" spans="1:3" ht="25.8" x14ac:dyDescent="0.25">
      <c r="A110" s="1">
        <v>143</v>
      </c>
      <c r="B110" s="1">
        <f t="shared" si="2"/>
        <v>43.246271995516096</v>
      </c>
      <c r="C110" s="1">
        <f t="shared" si="3"/>
        <v>4.0034130575870988E-7</v>
      </c>
    </row>
    <row r="111" spans="1:3" ht="25.8" x14ac:dyDescent="0.25">
      <c r="A111" s="1">
        <v>144</v>
      </c>
      <c r="B111" s="1">
        <f t="shared" si="2"/>
        <v>44.246271832104412</v>
      </c>
      <c r="C111" s="1">
        <f t="shared" si="3"/>
        <v>2.369296012592568E-7</v>
      </c>
    </row>
    <row r="112" spans="1:3" ht="25.8" x14ac:dyDescent="0.25">
      <c r="A112" s="1">
        <v>145</v>
      </c>
      <c r="B112" s="1">
        <f t="shared" si="2"/>
        <v>45.246271734669165</v>
      </c>
      <c r="C112" s="1">
        <f t="shared" si="3"/>
        <v>1.3949439091493903E-7</v>
      </c>
    </row>
    <row r="113" spans="1:3" ht="25.8" x14ac:dyDescent="0.25">
      <c r="A113" s="1">
        <v>146</v>
      </c>
      <c r="B113" s="1">
        <f t="shared" si="2"/>
        <v>46.246271676888171</v>
      </c>
      <c r="C113" s="1">
        <f t="shared" si="3"/>
        <v>8.1713388114654661E-8</v>
      </c>
    </row>
    <row r="114" spans="1:3" ht="25.8" x14ac:dyDescent="0.25">
      <c r="A114" s="1">
        <v>147</v>
      </c>
      <c r="B114" s="1">
        <f t="shared" si="2"/>
        <v>47.246271642804544</v>
      </c>
      <c r="C114" s="1">
        <f t="shared" si="3"/>
        <v>4.7629748942497051E-8</v>
      </c>
    </row>
    <row r="115" spans="1:3" ht="25.8" x14ac:dyDescent="0.25">
      <c r="A115" s="1">
        <v>148</v>
      </c>
      <c r="B115" s="1">
        <f t="shared" si="2"/>
        <v>48.246271622803491</v>
      </c>
      <c r="C115" s="1">
        <f t="shared" si="3"/>
        <v>2.7628704523458633E-8</v>
      </c>
    </row>
    <row r="116" spans="1:3" ht="25.8" x14ac:dyDescent="0.25">
      <c r="A116" s="1">
        <v>149</v>
      </c>
      <c r="B116" s="1">
        <f t="shared" si="2"/>
        <v>49.246271611125763</v>
      </c>
      <c r="C116" s="1">
        <f t="shared" si="3"/>
        <v>1.5950983919792124E-8</v>
      </c>
    </row>
    <row r="117" spans="1:3" ht="25.8" x14ac:dyDescent="0.25">
      <c r="A117" s="1">
        <v>150</v>
      </c>
      <c r="B117" s="1">
        <f t="shared" ref="B117" si="4">BS_call(A117,$B$2,$B$3,$B$4,$B$5,$B$6)</f>
        <v>50.246271604341331</v>
      </c>
      <c r="C117" s="1">
        <f t="shared" ref="C117" si="5">BS_put(A117,$B$2,$B$3,$B$4,$B$5,$B$6)</f>
        <v>9.1665467281209956E-9</v>
      </c>
    </row>
  </sheetData>
  <mergeCells count="1">
    <mergeCell ref="E1:J8"/>
  </mergeCells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1BCC0-B9E0-45AB-85FD-E2294164E78A}">
  <sheetPr codeName="Sheet3"/>
  <dimension ref="A1:L116"/>
  <sheetViews>
    <sheetView zoomScale="70" zoomScaleNormal="70" workbookViewId="0">
      <selection activeCell="R16" sqref="R16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0.25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f>30/365</f>
        <v>8.2191780821917804E-2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  <c r="G13" s="3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2" t="s">
        <v>3</v>
      </c>
      <c r="B16" s="1" t="s">
        <v>0</v>
      </c>
      <c r="C16" s="1" t="s">
        <v>1</v>
      </c>
    </row>
    <row r="17" spans="1:3" ht="25.8" x14ac:dyDescent="0.25">
      <c r="A17" s="1">
        <v>0.01</v>
      </c>
      <c r="B17" s="1">
        <f>BS_call($B$1,A17,$B$3,$B$4,$B$5,$B$6)</f>
        <v>0.27719454073226757</v>
      </c>
      <c r="C17" s="1">
        <f>BS_put($B$1,A17,$B$3,$B$4,$B$5,$B$6)</f>
        <v>3.0922945557470882E-2</v>
      </c>
    </row>
    <row r="18" spans="1:3" ht="25.8" x14ac:dyDescent="0.25">
      <c r="A18" s="1">
        <v>0.03</v>
      </c>
      <c r="B18" s="1">
        <f t="shared" ref="B18:B81" si="0">BS_call($B$1,A18,$B$3,$B$4,$B$5,$B$6)</f>
        <v>0.47981945829319983</v>
      </c>
      <c r="C18" s="1">
        <f t="shared" ref="C18:C81" si="1">BS_put($B$1,A18,$B$3,$B$4,$B$5,$B$6)</f>
        <v>0.23354786311841025</v>
      </c>
    </row>
    <row r="19" spans="1:3" ht="25.8" x14ac:dyDescent="0.25">
      <c r="A19" s="1">
        <v>0.05</v>
      </c>
      <c r="B19" s="1">
        <f t="shared" si="0"/>
        <v>0.70272179001584334</v>
      </c>
      <c r="C19" s="1">
        <f t="shared" si="1"/>
        <v>0.45645019484105376</v>
      </c>
    </row>
    <row r="20" spans="1:3" ht="25.8" x14ac:dyDescent="0.25">
      <c r="A20" s="1">
        <v>6.9999999999999993E-2</v>
      </c>
      <c r="B20" s="1">
        <f t="shared" si="0"/>
        <v>0.92877678998303281</v>
      </c>
      <c r="C20" s="1">
        <f t="shared" si="1"/>
        <v>0.68250519480824323</v>
      </c>
    </row>
    <row r="21" spans="1:3" ht="25.8" x14ac:dyDescent="0.25">
      <c r="A21" s="1">
        <v>0.09</v>
      </c>
      <c r="B21" s="1">
        <f t="shared" si="0"/>
        <v>1.1558890614086224</v>
      </c>
      <c r="C21" s="1">
        <f t="shared" si="1"/>
        <v>0.90961746623384698</v>
      </c>
    </row>
    <row r="22" spans="1:3" ht="25.8" x14ac:dyDescent="0.25">
      <c r="A22" s="1">
        <v>0.11</v>
      </c>
      <c r="B22" s="1">
        <f t="shared" si="0"/>
        <v>1.383478222927792</v>
      </c>
      <c r="C22" s="1">
        <f t="shared" si="1"/>
        <v>1.1372066277529953</v>
      </c>
    </row>
    <row r="23" spans="1:3" ht="25.8" x14ac:dyDescent="0.25">
      <c r="A23" s="1">
        <v>0.13</v>
      </c>
      <c r="B23" s="1">
        <f t="shared" si="0"/>
        <v>1.6113188428526328</v>
      </c>
      <c r="C23" s="1">
        <f t="shared" si="1"/>
        <v>1.3650472476778432</v>
      </c>
    </row>
    <row r="24" spans="1:3" ht="25.8" x14ac:dyDescent="0.25">
      <c r="A24" s="1">
        <v>0.15000000000000002</v>
      </c>
      <c r="B24" s="1">
        <f t="shared" si="0"/>
        <v>1.8393044790354338</v>
      </c>
      <c r="C24" s="1">
        <f t="shared" si="1"/>
        <v>1.5930328838606442</v>
      </c>
    </row>
    <row r="25" spans="1:3" ht="25.8" x14ac:dyDescent="0.25">
      <c r="A25" s="1">
        <v>0.17</v>
      </c>
      <c r="B25" s="1">
        <f t="shared" si="0"/>
        <v>2.0673778245332457</v>
      </c>
      <c r="C25" s="1">
        <f t="shared" si="1"/>
        <v>1.8211062293584561</v>
      </c>
    </row>
    <row r="26" spans="1:3" ht="25.8" x14ac:dyDescent="0.25">
      <c r="A26" s="1">
        <v>0.19</v>
      </c>
      <c r="B26" s="1">
        <f t="shared" si="0"/>
        <v>2.295504885603151</v>
      </c>
      <c r="C26" s="1">
        <f t="shared" si="1"/>
        <v>2.0492332904283543</v>
      </c>
    </row>
    <row r="27" spans="1:3" ht="25.8" x14ac:dyDescent="0.25">
      <c r="A27" s="1">
        <v>0.21000000000000002</v>
      </c>
      <c r="B27" s="1">
        <f t="shared" si="0"/>
        <v>2.5236638932336177</v>
      </c>
      <c r="C27" s="1">
        <f t="shared" si="1"/>
        <v>2.2773922980588281</v>
      </c>
    </row>
    <row r="28" spans="1:3" ht="25.8" x14ac:dyDescent="0.25">
      <c r="A28" s="1">
        <v>0.23</v>
      </c>
      <c r="B28" s="1">
        <f t="shared" si="0"/>
        <v>2.7518399931972368</v>
      </c>
      <c r="C28" s="1">
        <f t="shared" si="1"/>
        <v>2.5055683980224543</v>
      </c>
    </row>
    <row r="29" spans="1:3" ht="25.8" x14ac:dyDescent="0.25">
      <c r="A29" s="1">
        <v>0.25</v>
      </c>
      <c r="B29" s="1">
        <f t="shared" si="0"/>
        <v>2.9800224824696073</v>
      </c>
      <c r="C29" s="1">
        <f t="shared" si="1"/>
        <v>2.7337508872948177</v>
      </c>
    </row>
    <row r="30" spans="1:3" ht="25.8" x14ac:dyDescent="0.25">
      <c r="A30" s="1">
        <v>0.27</v>
      </c>
      <c r="B30" s="1">
        <f t="shared" si="0"/>
        <v>3.208203272954762</v>
      </c>
      <c r="C30" s="1">
        <f t="shared" si="1"/>
        <v>2.9619316777799654</v>
      </c>
    </row>
    <row r="31" spans="1:3" ht="25.8" x14ac:dyDescent="0.25">
      <c r="A31" s="1">
        <v>0.29000000000000004</v>
      </c>
      <c r="B31" s="1">
        <f t="shared" si="0"/>
        <v>3.4363759905048141</v>
      </c>
      <c r="C31" s="1">
        <f t="shared" si="1"/>
        <v>3.1901043953300245</v>
      </c>
    </row>
    <row r="32" spans="1:3" ht="25.8" x14ac:dyDescent="0.25">
      <c r="A32" s="1">
        <v>0.31</v>
      </c>
      <c r="B32" s="1">
        <f t="shared" si="0"/>
        <v>3.6645354225242883</v>
      </c>
      <c r="C32" s="1">
        <f t="shared" si="1"/>
        <v>3.4182638273494987</v>
      </c>
    </row>
    <row r="33" spans="1:3" ht="25.8" x14ac:dyDescent="0.25">
      <c r="A33" s="1">
        <v>0.33</v>
      </c>
      <c r="B33" s="1">
        <f t="shared" si="0"/>
        <v>3.892677166362958</v>
      </c>
      <c r="C33" s="1">
        <f t="shared" si="1"/>
        <v>3.6464055711881755</v>
      </c>
    </row>
    <row r="34" spans="1:3" ht="25.8" x14ac:dyDescent="0.25">
      <c r="A34" s="1">
        <v>0.35000000000000003</v>
      </c>
      <c r="B34" s="1">
        <f t="shared" si="0"/>
        <v>4.1207973982229902</v>
      </c>
      <c r="C34" s="1">
        <f t="shared" si="1"/>
        <v>3.8745258030481935</v>
      </c>
    </row>
    <row r="35" spans="1:3" ht="25.8" x14ac:dyDescent="0.25">
      <c r="A35" s="1">
        <v>0.37</v>
      </c>
      <c r="B35" s="1">
        <f t="shared" si="0"/>
        <v>4.3488927170015401</v>
      </c>
      <c r="C35" s="1">
        <f t="shared" si="1"/>
        <v>4.1026211218267434</v>
      </c>
    </row>
    <row r="36" spans="1:3" ht="25.8" x14ac:dyDescent="0.25">
      <c r="A36" s="1">
        <v>0.39</v>
      </c>
      <c r="B36" s="1">
        <f t="shared" si="0"/>
        <v>4.5769600361793863</v>
      </c>
      <c r="C36" s="1">
        <f t="shared" si="1"/>
        <v>4.3306884410045967</v>
      </c>
    </row>
    <row r="37" spans="1:3" ht="25.8" x14ac:dyDescent="0.25">
      <c r="A37" s="1">
        <v>0.41000000000000003</v>
      </c>
      <c r="B37" s="1">
        <f t="shared" si="0"/>
        <v>4.8049965073558951</v>
      </c>
      <c r="C37" s="1">
        <f t="shared" si="1"/>
        <v>4.5587249121811126</v>
      </c>
    </row>
    <row r="38" spans="1:3" ht="25.8" x14ac:dyDescent="0.25">
      <c r="A38" s="1">
        <v>0.43</v>
      </c>
      <c r="B38" s="1">
        <f t="shared" si="0"/>
        <v>5.0329994651297909</v>
      </c>
      <c r="C38" s="1">
        <f t="shared" si="1"/>
        <v>4.7867278699549871</v>
      </c>
    </row>
    <row r="39" spans="1:3" ht="25.8" x14ac:dyDescent="0.25">
      <c r="A39" s="1">
        <v>0.45</v>
      </c>
      <c r="B39" s="1">
        <f t="shared" si="0"/>
        <v>5.2609663866870662</v>
      </c>
      <c r="C39" s="1">
        <f t="shared" si="1"/>
        <v>5.0146947915122837</v>
      </c>
    </row>
    <row r="40" spans="1:3" ht="25.8" x14ac:dyDescent="0.25">
      <c r="A40" s="1">
        <v>0.47000000000000003</v>
      </c>
      <c r="B40" s="1">
        <f t="shared" si="0"/>
        <v>5.4888948617162754</v>
      </c>
      <c r="C40" s="1">
        <f t="shared" si="1"/>
        <v>5.2426232665414858</v>
      </c>
    </row>
    <row r="41" spans="1:3" ht="25.8" x14ac:dyDescent="0.25">
      <c r="A41" s="1">
        <v>0.49</v>
      </c>
      <c r="B41" s="1">
        <f t="shared" si="0"/>
        <v>5.7167825697010173</v>
      </c>
      <c r="C41" s="1">
        <f t="shared" si="1"/>
        <v>5.4705109745262277</v>
      </c>
    </row>
    <row r="42" spans="1:3" ht="25.8" x14ac:dyDescent="0.25">
      <c r="A42" s="1">
        <v>0.51</v>
      </c>
      <c r="B42" s="1">
        <f t="shared" si="0"/>
        <v>5.9446272625652767</v>
      </c>
      <c r="C42" s="1">
        <f t="shared" si="1"/>
        <v>5.6983556673904872</v>
      </c>
    </row>
    <row r="43" spans="1:3" ht="25.8" x14ac:dyDescent="0.25">
      <c r="A43" s="1">
        <v>0.53</v>
      </c>
      <c r="B43" s="1">
        <f t="shared" si="0"/>
        <v>6.1724267512575963</v>
      </c>
      <c r="C43" s="1">
        <f t="shared" si="1"/>
        <v>5.9261551560827996</v>
      </c>
    </row>
    <row r="44" spans="1:3" ht="25.8" x14ac:dyDescent="0.25">
      <c r="A44" s="1">
        <v>0.55000000000000004</v>
      </c>
      <c r="B44" s="1">
        <f t="shared" si="0"/>
        <v>6.4001788952719139</v>
      </c>
      <c r="C44" s="1">
        <f t="shared" si="1"/>
        <v>6.1539073000971243</v>
      </c>
    </row>
    <row r="45" spans="1:3" ht="25.8" x14ac:dyDescent="0.25">
      <c r="A45" s="1">
        <v>0.57000000000000006</v>
      </c>
      <c r="B45" s="1">
        <f t="shared" si="0"/>
        <v>6.6278815943837515</v>
      </c>
      <c r="C45" s="1">
        <f t="shared" si="1"/>
        <v>6.3816099992089619</v>
      </c>
    </row>
    <row r="46" spans="1:3" ht="25.8" x14ac:dyDescent="0.25">
      <c r="A46" s="1">
        <v>0.59</v>
      </c>
      <c r="B46" s="1">
        <f t="shared" si="0"/>
        <v>6.8555327820761534</v>
      </c>
      <c r="C46" s="1">
        <f t="shared" si="1"/>
        <v>6.6092611869013638</v>
      </c>
    </row>
    <row r="47" spans="1:3" ht="25.8" x14ac:dyDescent="0.25">
      <c r="A47" s="1">
        <v>0.61</v>
      </c>
      <c r="B47" s="1">
        <f t="shared" si="0"/>
        <v>7.0831304202676719</v>
      </c>
      <c r="C47" s="1">
        <f t="shared" si="1"/>
        <v>6.8368588250928823</v>
      </c>
    </row>
    <row r="48" spans="1:3" ht="25.8" x14ac:dyDescent="0.25">
      <c r="A48" s="1">
        <v>0.63</v>
      </c>
      <c r="B48" s="1">
        <f t="shared" si="0"/>
        <v>7.3106724950530335</v>
      </c>
      <c r="C48" s="1">
        <f t="shared" si="1"/>
        <v>7.0644008998782439</v>
      </c>
    </row>
    <row r="49" spans="1:3" ht="25.8" x14ac:dyDescent="0.25">
      <c r="A49" s="1">
        <v>0.65</v>
      </c>
      <c r="B49" s="1">
        <f t="shared" si="0"/>
        <v>7.5381570132383828</v>
      </c>
      <c r="C49" s="1">
        <f t="shared" si="1"/>
        <v>7.2918854180635861</v>
      </c>
    </row>
    <row r="50" spans="1:3" ht="25.8" x14ac:dyDescent="0.25">
      <c r="A50" s="1">
        <v>0.67</v>
      </c>
      <c r="B50" s="1">
        <f t="shared" si="0"/>
        <v>7.7655819995051019</v>
      </c>
      <c r="C50" s="1">
        <f t="shared" si="1"/>
        <v>7.5193104043303123</v>
      </c>
    </row>
    <row r="51" spans="1:3" ht="25.8" x14ac:dyDescent="0.25">
      <c r="A51" s="1">
        <v>0.69000000000000006</v>
      </c>
      <c r="B51" s="1">
        <f t="shared" si="0"/>
        <v>7.9929454940747178</v>
      </c>
      <c r="C51" s="1">
        <f t="shared" si="1"/>
        <v>7.7466738988999282</v>
      </c>
    </row>
    <row r="52" spans="1:3" ht="25.8" x14ac:dyDescent="0.25">
      <c r="A52" s="1">
        <v>0.71000000000000008</v>
      </c>
      <c r="B52" s="1">
        <f t="shared" si="0"/>
        <v>8.2202455507759495</v>
      </c>
      <c r="C52" s="1">
        <f t="shared" si="1"/>
        <v>7.97397395560116</v>
      </c>
    </row>
    <row r="53" spans="1:3" ht="25.8" x14ac:dyDescent="0.25">
      <c r="A53" s="1">
        <v>0.73</v>
      </c>
      <c r="B53" s="1">
        <f t="shared" si="0"/>
        <v>8.447480235436899</v>
      </c>
      <c r="C53" s="1">
        <f t="shared" si="1"/>
        <v>8.2012086402621094</v>
      </c>
    </row>
    <row r="54" spans="1:3" ht="25.8" x14ac:dyDescent="0.25">
      <c r="A54" s="1">
        <v>0.75</v>
      </c>
      <c r="B54" s="1">
        <f t="shared" si="0"/>
        <v>8.6746476245416417</v>
      </c>
      <c r="C54" s="1">
        <f t="shared" si="1"/>
        <v>8.4283760293668522</v>
      </c>
    </row>
    <row r="55" spans="1:3" ht="25.8" x14ac:dyDescent="0.25">
      <c r="A55" s="1">
        <v>0.77</v>
      </c>
      <c r="B55" s="1">
        <f t="shared" si="0"/>
        <v>8.9017458041031077</v>
      </c>
      <c r="C55" s="1">
        <f t="shared" si="1"/>
        <v>8.6554742089283181</v>
      </c>
    </row>
    <row r="56" spans="1:3" ht="25.8" x14ac:dyDescent="0.25">
      <c r="A56" s="1">
        <v>0.79</v>
      </c>
      <c r="B56" s="1">
        <f t="shared" si="0"/>
        <v>9.1287728687139591</v>
      </c>
      <c r="C56" s="1">
        <f t="shared" si="1"/>
        <v>8.8825012735391695</v>
      </c>
    </row>
    <row r="57" spans="1:3" ht="25.8" x14ac:dyDescent="0.25">
      <c r="A57" s="1">
        <v>0.81</v>
      </c>
      <c r="B57" s="1">
        <f t="shared" si="0"/>
        <v>9.3557269207446296</v>
      </c>
      <c r="C57" s="1">
        <f t="shared" si="1"/>
        <v>9.1094553255698401</v>
      </c>
    </row>
    <row r="58" spans="1:3" ht="25.8" x14ac:dyDescent="0.25">
      <c r="A58" s="1">
        <v>0.83000000000000007</v>
      </c>
      <c r="B58" s="1">
        <f t="shared" si="0"/>
        <v>9.5826060696637754</v>
      </c>
      <c r="C58" s="1">
        <f t="shared" si="1"/>
        <v>9.3363344744889858</v>
      </c>
    </row>
    <row r="59" spans="1:3" ht="25.8" x14ac:dyDescent="0.25">
      <c r="A59" s="1">
        <v>0.85</v>
      </c>
      <c r="B59" s="1">
        <f t="shared" si="0"/>
        <v>9.8094084314608949</v>
      </c>
      <c r="C59" s="1">
        <f t="shared" si="1"/>
        <v>9.5631368362861053</v>
      </c>
    </row>
    <row r="60" spans="1:3" ht="25.8" x14ac:dyDescent="0.25">
      <c r="A60" s="1">
        <v>0.87</v>
      </c>
      <c r="B60" s="1">
        <f t="shared" si="0"/>
        <v>10.036132128154662</v>
      </c>
      <c r="C60" s="1">
        <f t="shared" si="1"/>
        <v>9.7898605329798727</v>
      </c>
    </row>
    <row r="61" spans="1:3" ht="25.8" x14ac:dyDescent="0.25">
      <c r="A61" s="1">
        <v>0.89</v>
      </c>
      <c r="B61" s="1">
        <f t="shared" si="0"/>
        <v>10.262775287373501</v>
      </c>
      <c r="C61" s="1">
        <f t="shared" si="1"/>
        <v>10.016503692198711</v>
      </c>
    </row>
    <row r="62" spans="1:3" ht="25.8" x14ac:dyDescent="0.25">
      <c r="A62" s="1">
        <v>0.91</v>
      </c>
      <c r="B62" s="1">
        <f t="shared" si="0"/>
        <v>10.489336041997355</v>
      </c>
      <c r="C62" s="1">
        <f t="shared" si="1"/>
        <v>10.243064446822572</v>
      </c>
    </row>
    <row r="63" spans="1:3" ht="25.8" x14ac:dyDescent="0.25">
      <c r="A63" s="1">
        <v>0.93</v>
      </c>
      <c r="B63" s="1">
        <f t="shared" si="0"/>
        <v>10.715812529851185</v>
      </c>
      <c r="C63" s="1">
        <f t="shared" si="1"/>
        <v>10.469540934676395</v>
      </c>
    </row>
    <row r="64" spans="1:3" ht="25.8" x14ac:dyDescent="0.25">
      <c r="A64" s="1">
        <v>0.95000000000000007</v>
      </c>
      <c r="B64" s="1">
        <f t="shared" si="0"/>
        <v>10.942202893442882</v>
      </c>
      <c r="C64" s="1">
        <f t="shared" si="1"/>
        <v>10.6959312982681</v>
      </c>
    </row>
    <row r="65" spans="1:3" ht="25.8" x14ac:dyDescent="0.25">
      <c r="A65" s="1">
        <v>0.97</v>
      </c>
      <c r="B65" s="1">
        <f t="shared" si="0"/>
        <v>11.168505279738916</v>
      </c>
      <c r="C65" s="1">
        <f t="shared" si="1"/>
        <v>10.922233684564119</v>
      </c>
    </row>
    <row r="66" spans="1:3" ht="25.8" x14ac:dyDescent="0.25">
      <c r="A66" s="1">
        <v>0.99</v>
      </c>
      <c r="B66" s="1">
        <f t="shared" si="0"/>
        <v>11.394717839972436</v>
      </c>
      <c r="C66" s="1">
        <f t="shared" si="1"/>
        <v>11.148446244797647</v>
      </c>
    </row>
    <row r="67" spans="1:3" ht="25.8" x14ac:dyDescent="0.25">
      <c r="A67" s="1">
        <v>1.01</v>
      </c>
      <c r="B67" s="1">
        <f t="shared" si="0"/>
        <v>11.620838729479473</v>
      </c>
      <c r="C67" s="1">
        <f t="shared" si="1"/>
        <v>11.374567134304684</v>
      </c>
    </row>
    <row r="68" spans="1:3" ht="25.8" x14ac:dyDescent="0.25">
      <c r="A68" s="1">
        <v>1.03</v>
      </c>
      <c r="B68" s="1">
        <f t="shared" si="0"/>
        <v>11.846866107559102</v>
      </c>
      <c r="C68" s="1">
        <f t="shared" si="1"/>
        <v>11.600594512384312</v>
      </c>
    </row>
    <row r="69" spans="1:3" ht="25.8" x14ac:dyDescent="0.25">
      <c r="A69" s="1">
        <v>1.05</v>
      </c>
      <c r="B69" s="1">
        <f t="shared" si="0"/>
        <v>12.072798137354638</v>
      </c>
      <c r="C69" s="1">
        <f t="shared" si="1"/>
        <v>11.826526542179849</v>
      </c>
    </row>
    <row r="70" spans="1:3" ht="25.8" x14ac:dyDescent="0.25">
      <c r="A70" s="1">
        <v>1.07</v>
      </c>
      <c r="B70" s="1">
        <f t="shared" si="0"/>
        <v>12.298632985752946</v>
      </c>
      <c r="C70" s="1">
        <f t="shared" si="1"/>
        <v>12.052361390578149</v>
      </c>
    </row>
    <row r="71" spans="1:3" ht="25.8" x14ac:dyDescent="0.25">
      <c r="A71" s="1">
        <v>1.0900000000000001</v>
      </c>
      <c r="B71" s="1">
        <f t="shared" si="0"/>
        <v>12.524368823299568</v>
      </c>
      <c r="C71" s="1">
        <f t="shared" si="1"/>
        <v>12.278097228124778</v>
      </c>
    </row>
    <row r="72" spans="1:3" ht="25.8" x14ac:dyDescent="0.25">
      <c r="A72" s="1">
        <v>1.1100000000000001</v>
      </c>
      <c r="B72" s="1">
        <f t="shared" si="0"/>
        <v>12.750003824127781</v>
      </c>
      <c r="C72" s="1">
        <f t="shared" si="1"/>
        <v>12.503732228952991</v>
      </c>
    </row>
    <row r="73" spans="1:3" ht="25.8" x14ac:dyDescent="0.25">
      <c r="A73" s="1">
        <v>1.1300000000000001</v>
      </c>
      <c r="B73" s="1">
        <f t="shared" si="0"/>
        <v>12.975536165899435</v>
      </c>
      <c r="C73" s="1">
        <f t="shared" si="1"/>
        <v>12.729264570724645</v>
      </c>
    </row>
    <row r="74" spans="1:3" ht="25.8" x14ac:dyDescent="0.25">
      <c r="A74" s="1">
        <v>1.1500000000000001</v>
      </c>
      <c r="B74" s="1">
        <f t="shared" si="0"/>
        <v>13.20096402975674</v>
      </c>
      <c r="C74" s="1">
        <f t="shared" si="1"/>
        <v>12.954692434581943</v>
      </c>
    </row>
    <row r="75" spans="1:3" ht="25.8" x14ac:dyDescent="0.25">
      <c r="A75" s="1">
        <v>1.17</v>
      </c>
      <c r="B75" s="1">
        <f t="shared" si="0"/>
        <v>13.426285600283137</v>
      </c>
      <c r="C75" s="1">
        <f t="shared" si="1"/>
        <v>13.18001400510834</v>
      </c>
    </row>
    <row r="76" spans="1:3" ht="25.8" x14ac:dyDescent="0.25">
      <c r="A76" s="1">
        <v>1.19</v>
      </c>
      <c r="B76" s="1">
        <f t="shared" si="0"/>
        <v>13.651499065472471</v>
      </c>
      <c r="C76" s="1">
        <f t="shared" si="1"/>
        <v>13.405227470297696</v>
      </c>
    </row>
    <row r="77" spans="1:3" ht="25.8" x14ac:dyDescent="0.25">
      <c r="A77" s="1">
        <v>1.21</v>
      </c>
      <c r="B77" s="1">
        <f t="shared" si="0"/>
        <v>13.876602616705405</v>
      </c>
      <c r="C77" s="1">
        <f t="shared" si="1"/>
        <v>13.630331021530608</v>
      </c>
    </row>
    <row r="78" spans="1:3" ht="25.8" x14ac:dyDescent="0.25">
      <c r="A78" s="1">
        <v>1.23</v>
      </c>
      <c r="B78" s="1">
        <f t="shared" si="0"/>
        <v>14.101594448732151</v>
      </c>
      <c r="C78" s="1">
        <f t="shared" si="1"/>
        <v>13.855322853557361</v>
      </c>
    </row>
    <row r="79" spans="1:3" ht="25.8" x14ac:dyDescent="0.25">
      <c r="A79" s="1">
        <v>1.25</v>
      </c>
      <c r="B79" s="1">
        <f t="shared" si="0"/>
        <v>14.326472759661016</v>
      </c>
      <c r="C79" s="1">
        <f t="shared" si="1"/>
        <v>14.080201164486226</v>
      </c>
    </row>
    <row r="80" spans="1:3" ht="25.8" x14ac:dyDescent="0.25">
      <c r="A80" s="1">
        <v>1.27</v>
      </c>
      <c r="B80" s="1">
        <f t="shared" si="0"/>
        <v>14.551235750951868</v>
      </c>
      <c r="C80" s="1">
        <f t="shared" si="1"/>
        <v>14.304964155777085</v>
      </c>
    </row>
    <row r="81" spans="1:3" ht="25.8" x14ac:dyDescent="0.25">
      <c r="A81" s="1">
        <v>1.29</v>
      </c>
      <c r="B81" s="1">
        <f t="shared" si="0"/>
        <v>14.775881627414144</v>
      </c>
      <c r="C81" s="1">
        <f t="shared" si="1"/>
        <v>14.529610032239354</v>
      </c>
    </row>
    <row r="82" spans="1:3" ht="25.8" x14ac:dyDescent="0.25">
      <c r="A82" s="1">
        <v>1.31</v>
      </c>
      <c r="B82" s="1">
        <f t="shared" ref="B82:B116" si="2">BS_call($B$1,A82,$B$3,$B$4,$B$5,$B$6)</f>
        <v>15.000408597208803</v>
      </c>
      <c r="C82" s="1">
        <f t="shared" ref="C82:C116" si="3">BS_put($B$1,A82,$B$3,$B$4,$B$5,$B$6)</f>
        <v>14.754137002034014</v>
      </c>
    </row>
    <row r="83" spans="1:3" ht="25.8" x14ac:dyDescent="0.25">
      <c r="A83" s="1">
        <v>1.33</v>
      </c>
      <c r="B83" s="1">
        <f t="shared" si="2"/>
        <v>15.224814871853837</v>
      </c>
      <c r="C83" s="1">
        <f t="shared" si="3"/>
        <v>14.978543276679041</v>
      </c>
    </row>
    <row r="84" spans="1:3" ht="25.8" x14ac:dyDescent="0.25">
      <c r="A84" s="1">
        <v>1.35</v>
      </c>
      <c r="B84" s="1">
        <f t="shared" si="2"/>
        <v>15.449098666232956</v>
      </c>
      <c r="C84" s="1">
        <f t="shared" si="3"/>
        <v>15.202827071058167</v>
      </c>
    </row>
    <row r="85" spans="1:3" ht="25.8" x14ac:dyDescent="0.25">
      <c r="A85" s="1">
        <v>1.37</v>
      </c>
      <c r="B85" s="1">
        <f t="shared" si="2"/>
        <v>15.673258198607087</v>
      </c>
      <c r="C85" s="1">
        <f t="shared" si="3"/>
        <v>15.426986603432312</v>
      </c>
    </row>
    <row r="86" spans="1:3" ht="25.8" x14ac:dyDescent="0.25">
      <c r="A86" s="1">
        <v>1.3900000000000001</v>
      </c>
      <c r="B86" s="1">
        <f t="shared" si="2"/>
        <v>15.897291690628478</v>
      </c>
      <c r="C86" s="1">
        <f t="shared" si="3"/>
        <v>15.651020095453696</v>
      </c>
    </row>
    <row r="87" spans="1:3" ht="25.8" x14ac:dyDescent="0.25">
      <c r="A87" s="1">
        <v>1.4100000000000001</v>
      </c>
      <c r="B87" s="1">
        <f t="shared" si="2"/>
        <v>16.121197367356935</v>
      </c>
      <c r="C87" s="1">
        <f t="shared" si="3"/>
        <v>15.874925772182138</v>
      </c>
    </row>
    <row r="88" spans="1:3" ht="25.8" x14ac:dyDescent="0.25">
      <c r="A88" s="1">
        <v>1.43</v>
      </c>
      <c r="B88" s="1">
        <f t="shared" si="2"/>
        <v>16.344973457278165</v>
      </c>
      <c r="C88" s="1">
        <f t="shared" si="3"/>
        <v>16.098701862103376</v>
      </c>
    </row>
    <row r="89" spans="1:3" ht="25.8" x14ac:dyDescent="0.25">
      <c r="A89" s="1">
        <v>1.45</v>
      </c>
      <c r="B89" s="1">
        <f t="shared" si="2"/>
        <v>16.568618192324038</v>
      </c>
      <c r="C89" s="1">
        <f t="shared" si="3"/>
        <v>16.322346597149249</v>
      </c>
    </row>
    <row r="90" spans="1:3" ht="25.8" x14ac:dyDescent="0.25">
      <c r="A90" s="1">
        <v>1.47</v>
      </c>
      <c r="B90" s="1">
        <f t="shared" si="2"/>
        <v>16.79212980789427</v>
      </c>
      <c r="C90" s="1">
        <f t="shared" si="3"/>
        <v>16.54585821271948</v>
      </c>
    </row>
    <row r="91" spans="1:3" ht="25.8" x14ac:dyDescent="0.25">
      <c r="A91" s="1">
        <v>1.49</v>
      </c>
      <c r="B91" s="1">
        <f t="shared" si="2"/>
        <v>17.01550654287972</v>
      </c>
      <c r="C91" s="1">
        <f t="shared" si="3"/>
        <v>16.769234947704931</v>
      </c>
    </row>
    <row r="92" spans="1:3" ht="25.8" x14ac:dyDescent="0.25">
      <c r="A92" s="1">
        <v>1.51</v>
      </c>
      <c r="B92" s="1">
        <f t="shared" si="2"/>
        <v>17.238746639687029</v>
      </c>
      <c r="C92" s="1">
        <f t="shared" si="3"/>
        <v>16.992475044512247</v>
      </c>
    </row>
    <row r="93" spans="1:3" ht="25.8" x14ac:dyDescent="0.25">
      <c r="A93" s="1">
        <v>1.53</v>
      </c>
      <c r="B93" s="1">
        <f t="shared" si="2"/>
        <v>17.461848344264304</v>
      </c>
      <c r="C93" s="1">
        <f t="shared" si="3"/>
        <v>17.215576749089514</v>
      </c>
    </row>
    <row r="94" spans="1:3" ht="25.8" x14ac:dyDescent="0.25">
      <c r="A94" s="1">
        <v>1.55</v>
      </c>
      <c r="B94" s="1">
        <f t="shared" si="2"/>
        <v>17.684809906127988</v>
      </c>
      <c r="C94" s="1">
        <f t="shared" si="3"/>
        <v>17.438538310953192</v>
      </c>
    </row>
    <row r="95" spans="1:3" ht="25.8" x14ac:dyDescent="0.25">
      <c r="A95" s="1">
        <v>1.57</v>
      </c>
      <c r="B95" s="1">
        <f t="shared" si="2"/>
        <v>17.90762957839064</v>
      </c>
      <c r="C95" s="1">
        <f t="shared" si="3"/>
        <v>17.661357983215851</v>
      </c>
    </row>
    <row r="96" spans="1:3" ht="25.8" x14ac:dyDescent="0.25">
      <c r="A96" s="1">
        <v>1.59</v>
      </c>
      <c r="B96" s="1">
        <f t="shared" si="2"/>
        <v>18.130305617789567</v>
      </c>
      <c r="C96" s="1">
        <f t="shared" si="3"/>
        <v>17.884034022614784</v>
      </c>
    </row>
    <row r="97" spans="1:3" ht="25.8" x14ac:dyDescent="0.25">
      <c r="A97" s="1">
        <v>1.61</v>
      </c>
      <c r="B97" s="1">
        <f t="shared" si="2"/>
        <v>18.35283628471624</v>
      </c>
      <c r="C97" s="1">
        <f t="shared" si="3"/>
        <v>18.10656468954145</v>
      </c>
    </row>
    <row r="98" spans="1:3" ht="25.8" x14ac:dyDescent="0.25">
      <c r="A98" s="1">
        <v>1.6300000000000001</v>
      </c>
      <c r="B98" s="1">
        <f t="shared" si="2"/>
        <v>18.575219843246359</v>
      </c>
      <c r="C98" s="1">
        <f t="shared" si="3"/>
        <v>18.328948248071569</v>
      </c>
    </row>
    <row r="99" spans="1:3" ht="25.8" x14ac:dyDescent="0.25">
      <c r="A99" s="1">
        <v>1.6500000000000001</v>
      </c>
      <c r="B99" s="1">
        <f t="shared" si="2"/>
        <v>18.797454561170618</v>
      </c>
      <c r="C99" s="1">
        <f t="shared" si="3"/>
        <v>18.551182965995828</v>
      </c>
    </row>
    <row r="100" spans="1:3" ht="25.8" x14ac:dyDescent="0.25">
      <c r="A100" s="1">
        <v>1.6700000000000002</v>
      </c>
      <c r="B100" s="1">
        <f t="shared" si="2"/>
        <v>19.019538710025891</v>
      </c>
      <c r="C100" s="1">
        <f t="shared" si="3"/>
        <v>18.773267114851109</v>
      </c>
    </row>
    <row r="101" spans="1:3" ht="25.8" x14ac:dyDescent="0.25">
      <c r="A101" s="1">
        <v>1.69</v>
      </c>
      <c r="B101" s="1">
        <f t="shared" si="2"/>
        <v>19.241470565127109</v>
      </c>
      <c r="C101" s="1">
        <f t="shared" si="3"/>
        <v>18.995198969952327</v>
      </c>
    </row>
    <row r="102" spans="1:3" ht="25.8" x14ac:dyDescent="0.25">
      <c r="A102" s="1">
        <v>1.71</v>
      </c>
      <c r="B102" s="1">
        <f t="shared" si="2"/>
        <v>19.463248405599352</v>
      </c>
      <c r="C102" s="1">
        <f t="shared" si="3"/>
        <v>19.216976810424562</v>
      </c>
    </row>
    <row r="103" spans="1:3" ht="25.8" x14ac:dyDescent="0.25">
      <c r="A103" s="1">
        <v>1.73</v>
      </c>
      <c r="B103" s="1">
        <f t="shared" si="2"/>
        <v>19.684870514410449</v>
      </c>
      <c r="C103" s="1">
        <f t="shared" si="3"/>
        <v>19.438598919235659</v>
      </c>
    </row>
    <row r="104" spans="1:3" ht="25.8" x14ac:dyDescent="0.25">
      <c r="A104" s="1">
        <v>1.75</v>
      </c>
      <c r="B104" s="1">
        <f t="shared" si="2"/>
        <v>19.906335178403971</v>
      </c>
      <c r="C104" s="1">
        <f t="shared" si="3"/>
        <v>19.660063583229174</v>
      </c>
    </row>
    <row r="105" spans="1:3" ht="25.8" x14ac:dyDescent="0.25">
      <c r="A105" s="1">
        <v>1.77</v>
      </c>
      <c r="B105" s="1">
        <f t="shared" si="2"/>
        <v>20.127640688332413</v>
      </c>
      <c r="C105" s="1">
        <f t="shared" si="3"/>
        <v>19.881369093157623</v>
      </c>
    </row>
    <row r="106" spans="1:3" ht="25.8" x14ac:dyDescent="0.25">
      <c r="A106" s="1">
        <v>1.79</v>
      </c>
      <c r="B106" s="1">
        <f t="shared" si="2"/>
        <v>20.348785338890714</v>
      </c>
      <c r="C106" s="1">
        <f t="shared" si="3"/>
        <v>20.102513743715924</v>
      </c>
    </row>
    <row r="107" spans="1:3" ht="25.8" x14ac:dyDescent="0.25">
      <c r="A107" s="1">
        <v>1.81</v>
      </c>
      <c r="B107" s="1">
        <f t="shared" si="2"/>
        <v>20.569767428750005</v>
      </c>
      <c r="C107" s="1">
        <f t="shared" si="3"/>
        <v>20.323495833575208</v>
      </c>
    </row>
    <row r="108" spans="1:3" ht="25.8" x14ac:dyDescent="0.25">
      <c r="A108" s="1">
        <v>1.83</v>
      </c>
      <c r="B108" s="1">
        <f t="shared" si="2"/>
        <v>20.790585260591506</v>
      </c>
      <c r="C108" s="1">
        <f t="shared" si="3"/>
        <v>20.544313665416716</v>
      </c>
    </row>
    <row r="109" spans="1:3" ht="25.8" x14ac:dyDescent="0.25">
      <c r="A109" s="1">
        <v>1.85</v>
      </c>
      <c r="B109" s="1">
        <f t="shared" si="2"/>
        <v>21.011237141140725</v>
      </c>
      <c r="C109" s="1">
        <f t="shared" si="3"/>
        <v>20.764965545965929</v>
      </c>
    </row>
    <row r="110" spans="1:3" ht="25.8" x14ac:dyDescent="0.25">
      <c r="A110" s="1">
        <v>1.87</v>
      </c>
      <c r="B110" s="1">
        <f t="shared" si="2"/>
        <v>21.231721381201595</v>
      </c>
      <c r="C110" s="1">
        <f t="shared" si="3"/>
        <v>20.985449786026805</v>
      </c>
    </row>
    <row r="111" spans="1:3" ht="25.8" x14ac:dyDescent="0.25">
      <c r="A111" s="1">
        <v>1.8900000000000001</v>
      </c>
      <c r="B111" s="1">
        <f t="shared" si="2"/>
        <v>21.452036295691016</v>
      </c>
      <c r="C111" s="1">
        <f t="shared" si="3"/>
        <v>21.20576470051622</v>
      </c>
    </row>
    <row r="112" spans="1:3" ht="25.8" x14ac:dyDescent="0.25">
      <c r="A112" s="1">
        <v>1.9100000000000001</v>
      </c>
      <c r="B112" s="1">
        <f t="shared" si="2"/>
        <v>21.672180203673179</v>
      </c>
      <c r="C112" s="1">
        <f t="shared" si="3"/>
        <v>21.425908608498389</v>
      </c>
    </row>
    <row r="113" spans="1:3" ht="25.8" x14ac:dyDescent="0.25">
      <c r="A113" s="1">
        <v>1.93</v>
      </c>
      <c r="B113" s="1">
        <f t="shared" si="2"/>
        <v>21.892151428394229</v>
      </c>
      <c r="C113" s="1">
        <f t="shared" si="3"/>
        <v>21.645879833219439</v>
      </c>
    </row>
    <row r="114" spans="1:3" ht="25.8" x14ac:dyDescent="0.25">
      <c r="A114" s="1">
        <v>1.95</v>
      </c>
      <c r="B114" s="1">
        <f t="shared" si="2"/>
        <v>22.111948297316893</v>
      </c>
      <c r="C114" s="1">
        <f t="shared" si="3"/>
        <v>21.865676702142096</v>
      </c>
    </row>
    <row r="115" spans="1:3" ht="25.8" x14ac:dyDescent="0.25">
      <c r="A115" s="1">
        <v>1.97</v>
      </c>
      <c r="B115" s="1">
        <f t="shared" si="2"/>
        <v>22.331569142155061</v>
      </c>
      <c r="C115" s="1">
        <f t="shared" si="3"/>
        <v>22.085297546980257</v>
      </c>
    </row>
    <row r="116" spans="1:3" ht="25.8" x14ac:dyDescent="0.25">
      <c r="A116" s="1">
        <v>1.99</v>
      </c>
      <c r="B116" s="1">
        <f t="shared" si="2"/>
        <v>22.551012298908603</v>
      </c>
      <c r="C116" s="1">
        <f t="shared" si="3"/>
        <v>22.304740703733813</v>
      </c>
    </row>
  </sheetData>
  <mergeCells count="1">
    <mergeCell ref="E1:J8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85917-5DA9-41C1-AF7B-F7B34AA65697}">
  <sheetPr codeName="Sheet4"/>
  <dimension ref="A1:L116"/>
  <sheetViews>
    <sheetView zoomScale="55" zoomScaleNormal="55" workbookViewId="0">
      <selection activeCell="A116" sqref="A17:A116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0.25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f>30/365</f>
        <v>8.2191780821917804E-2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  <c r="G13" s="3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2" t="s">
        <v>6</v>
      </c>
      <c r="B16" s="1" t="s">
        <v>0</v>
      </c>
      <c r="C16" s="1" t="s">
        <v>1</v>
      </c>
    </row>
    <row r="17" spans="1:3" ht="25.8" x14ac:dyDescent="0.25">
      <c r="A17" s="1">
        <v>0.01</v>
      </c>
      <c r="B17" s="1">
        <f>BS_call($B$1,$B$2,A17,$B$4,$B$5,$B$6)</f>
        <v>2.898810513716974</v>
      </c>
      <c r="C17" s="1">
        <f>BS_put($B$1,$B$2,A17,$B$4,$B$5,$B$6)</f>
        <v>2.8166525010870203</v>
      </c>
    </row>
    <row r="18" spans="1:3" ht="25.8" x14ac:dyDescent="0.25">
      <c r="A18" s="1">
        <v>0.02</v>
      </c>
      <c r="B18" s="1">
        <f t="shared" ref="B18:B81" si="0">BS_call($B$1,$B$2,A18,$B$4,$B$5,$B$6)</f>
        <v>2.9392455012418779</v>
      </c>
      <c r="C18" s="1">
        <f t="shared" ref="C18:C81" si="1">BS_put($B$1,$B$2,A18,$B$4,$B$5,$B$6)</f>
        <v>2.7749969753724031</v>
      </c>
    </row>
    <row r="19" spans="1:3" ht="25.8" x14ac:dyDescent="0.25">
      <c r="A19" s="1">
        <v>0.03</v>
      </c>
      <c r="B19" s="1">
        <f t="shared" si="0"/>
        <v>2.9800224824696073</v>
      </c>
      <c r="C19" s="1">
        <f t="shared" si="1"/>
        <v>2.7337508872948177</v>
      </c>
    </row>
    <row r="20" spans="1:3" ht="25.8" x14ac:dyDescent="0.25">
      <c r="A20" s="1">
        <v>0.04</v>
      </c>
      <c r="B20" s="1">
        <f t="shared" si="0"/>
        <v>3.0211408989744513</v>
      </c>
      <c r="C20" s="1">
        <f t="shared" si="1"/>
        <v>2.6929136230179935</v>
      </c>
    </row>
    <row r="21" spans="1:3" ht="25.8" x14ac:dyDescent="0.25">
      <c r="A21" s="1">
        <v>0.05</v>
      </c>
      <c r="B21" s="1">
        <f t="shared" si="0"/>
        <v>3.0626001437287442</v>
      </c>
      <c r="C21" s="1">
        <f t="shared" si="1"/>
        <v>2.6524845201491729</v>
      </c>
    </row>
    <row r="22" spans="1:3" ht="25.8" x14ac:dyDescent="0.25">
      <c r="A22" s="1">
        <v>6.0000000000000005E-2</v>
      </c>
      <c r="B22" s="1">
        <f t="shared" si="0"/>
        <v>3.1043995612712152</v>
      </c>
      <c r="C22" s="1">
        <f t="shared" si="1"/>
        <v>2.6124628679075315</v>
      </c>
    </row>
    <row r="23" spans="1:3" ht="25.8" x14ac:dyDescent="0.25">
      <c r="A23" s="1">
        <v>6.9999999999999993E-2</v>
      </c>
      <c r="B23" s="1">
        <f t="shared" si="0"/>
        <v>3.1465384478946206</v>
      </c>
      <c r="C23" s="1">
        <f t="shared" si="1"/>
        <v>2.5728479073116617</v>
      </c>
    </row>
    <row r="24" spans="1:3" ht="25.8" x14ac:dyDescent="0.25">
      <c r="A24" s="1">
        <v>0.08</v>
      </c>
      <c r="B24" s="1">
        <f t="shared" si="0"/>
        <v>3.1890160518520929</v>
      </c>
      <c r="C24" s="1">
        <f t="shared" si="1"/>
        <v>2.5336388313859786</v>
      </c>
    </row>
    <row r="25" spans="1:3" ht="25.8" x14ac:dyDescent="0.25">
      <c r="A25" s="1">
        <v>0.09</v>
      </c>
      <c r="B25" s="1">
        <f t="shared" si="0"/>
        <v>3.231831573582447</v>
      </c>
      <c r="C25" s="1">
        <f t="shared" si="1"/>
        <v>2.4948347853859687</v>
      </c>
    </row>
    <row r="26" spans="1:3" ht="25.8" x14ac:dyDescent="0.25">
      <c r="A26" s="1">
        <v>9.9999999999999992E-2</v>
      </c>
      <c r="B26" s="1">
        <f t="shared" si="0"/>
        <v>3.2749841659540806</v>
      </c>
      <c r="C26" s="1">
        <f t="shared" si="1"/>
        <v>2.4564348670419918</v>
      </c>
    </row>
    <row r="27" spans="1:3" ht="25.8" x14ac:dyDescent="0.25">
      <c r="A27" s="1">
        <v>0.11</v>
      </c>
      <c r="B27" s="1">
        <f t="shared" si="0"/>
        <v>3.3184729345273425</v>
      </c>
      <c r="C27" s="1">
        <f t="shared" si="1"/>
        <v>2.4184381268217052</v>
      </c>
    </row>
    <row r="28" spans="1:3" ht="25.8" x14ac:dyDescent="0.25">
      <c r="A28" s="1">
        <v>0.12</v>
      </c>
      <c r="B28" s="1">
        <f t="shared" si="0"/>
        <v>3.362296937835346</v>
      </c>
      <c r="C28" s="1">
        <f t="shared" si="1"/>
        <v>2.3808435682107429</v>
      </c>
    </row>
    <row r="29" spans="1:3" ht="25.8" x14ac:dyDescent="0.25">
      <c r="A29" s="1">
        <v>0.13</v>
      </c>
      <c r="B29" s="1">
        <f t="shared" si="0"/>
        <v>3.4064551876828375</v>
      </c>
      <c r="C29" s="1">
        <f t="shared" si="1"/>
        <v>2.3436501480116831</v>
      </c>
    </row>
    <row r="30" spans="1:3" ht="25.8" x14ac:dyDescent="0.25">
      <c r="A30" s="1">
        <v>0.14000000000000001</v>
      </c>
      <c r="B30" s="1">
        <f t="shared" si="0"/>
        <v>3.4509466494632832</v>
      </c>
      <c r="C30" s="1">
        <f t="shared" si="1"/>
        <v>2.3068567766609149</v>
      </c>
    </row>
    <row r="31" spans="1:3" ht="25.8" x14ac:dyDescent="0.25">
      <c r="A31" s="1">
        <v>0.15000000000000002</v>
      </c>
      <c r="B31" s="1">
        <f t="shared" si="0"/>
        <v>3.4957702424933927</v>
      </c>
      <c r="C31" s="1">
        <f t="shared" si="1"/>
        <v>2.2704623185632897</v>
      </c>
    </row>
    <row r="32" spans="1:3" ht="25.8" x14ac:dyDescent="0.25">
      <c r="A32" s="1">
        <v>0.16</v>
      </c>
      <c r="B32" s="1">
        <f t="shared" si="0"/>
        <v>3.5409248403656122</v>
      </c>
      <c r="C32" s="1">
        <f t="shared" si="1"/>
        <v>2.2344655924444652</v>
      </c>
    </row>
    <row r="33" spans="1:3" ht="25.8" x14ac:dyDescent="0.25">
      <c r="A33" s="1">
        <v>0.17</v>
      </c>
      <c r="B33" s="1">
        <f t="shared" si="0"/>
        <v>3.5864092713177058</v>
      </c>
      <c r="C33" s="1">
        <f t="shared" si="1"/>
        <v>2.1988653717205437</v>
      </c>
    </row>
    <row r="34" spans="1:3" ht="25.8" x14ac:dyDescent="0.25">
      <c r="A34" s="1">
        <v>0.18000000000000002</v>
      </c>
      <c r="B34" s="1">
        <f t="shared" si="0"/>
        <v>3.6322223186196609</v>
      </c>
      <c r="C34" s="1">
        <f t="shared" si="1"/>
        <v>2.1636603848848353</v>
      </c>
    </row>
    <row r="35" spans="1:3" ht="25.8" x14ac:dyDescent="0.25">
      <c r="A35" s="1">
        <v>0.19</v>
      </c>
      <c r="B35" s="1">
        <f t="shared" si="0"/>
        <v>3.67836272097734</v>
      </c>
      <c r="C35" s="1">
        <f t="shared" si="1"/>
        <v>2.1288493159115731</v>
      </c>
    </row>
    <row r="36" spans="1:3" ht="25.8" x14ac:dyDescent="0.25">
      <c r="A36" s="1">
        <v>0.2</v>
      </c>
      <c r="B36" s="1">
        <f t="shared" si="0"/>
        <v>3.7248291729529512</v>
      </c>
      <c r="C36" s="1">
        <f t="shared" si="1"/>
        <v>2.0944308046762785</v>
      </c>
    </row>
    <row r="37" spans="1:3" ht="25.8" x14ac:dyDescent="0.25">
      <c r="A37" s="1">
        <v>0.21000000000000002</v>
      </c>
      <c r="B37" s="1">
        <f t="shared" si="0"/>
        <v>3.7716203254016989</v>
      </c>
      <c r="C37" s="1">
        <f t="shared" si="1"/>
        <v>2.0604034473924031</v>
      </c>
    </row>
    <row r="38" spans="1:3" ht="25.8" x14ac:dyDescent="0.25">
      <c r="A38" s="1">
        <v>0.22</v>
      </c>
      <c r="B38" s="1">
        <f t="shared" si="0"/>
        <v>3.8187347859247893</v>
      </c>
      <c r="C38" s="1">
        <f t="shared" si="1"/>
        <v>2.0267657970643285</v>
      </c>
    </row>
    <row r="39" spans="1:3" ht="25.8" x14ac:dyDescent="0.25">
      <c r="A39" s="1">
        <v>0.23</v>
      </c>
      <c r="B39" s="1">
        <f t="shared" si="0"/>
        <v>3.8661711193380697</v>
      </c>
      <c r="C39" s="1">
        <f t="shared" si="1"/>
        <v>1.9935163639558624</v>
      </c>
    </row>
    <row r="40" spans="1:3" ht="25.8" x14ac:dyDescent="0.25">
      <c r="A40" s="1">
        <v>0.24000000000000002</v>
      </c>
      <c r="B40" s="1">
        <f t="shared" si="0"/>
        <v>3.9139278481563338</v>
      </c>
      <c r="C40" s="1">
        <f t="shared" si="1"/>
        <v>1.9606536160746373</v>
      </c>
    </row>
    <row r="41" spans="1:3" ht="25.8" x14ac:dyDescent="0.25">
      <c r="A41" s="1">
        <v>0.25</v>
      </c>
      <c r="B41" s="1">
        <f t="shared" si="0"/>
        <v>3.962003453092791</v>
      </c>
      <c r="C41" s="1">
        <f t="shared" si="1"/>
        <v>1.928175979671451</v>
      </c>
    </row>
    <row r="42" spans="1:3" ht="25.8" x14ac:dyDescent="0.25">
      <c r="A42" s="1">
        <v>0.26</v>
      </c>
      <c r="B42" s="1">
        <f t="shared" si="0"/>
        <v>4.0103963735735562</v>
      </c>
      <c r="C42" s="1">
        <f t="shared" si="1"/>
        <v>1.896081839754757</v>
      </c>
    </row>
    <row r="43" spans="1:3" ht="25.8" x14ac:dyDescent="0.25">
      <c r="A43" s="1">
        <v>0.27</v>
      </c>
      <c r="B43" s="1">
        <f t="shared" si="0"/>
        <v>4.0591050082666555</v>
      </c>
      <c r="C43" s="1">
        <f t="shared" si="1"/>
        <v>1.8643695406196485</v>
      </c>
    </row>
    <row r="44" spans="1:3" ht="25.8" x14ac:dyDescent="0.25">
      <c r="A44" s="1">
        <v>0.28000000000000003</v>
      </c>
      <c r="B44" s="1">
        <f t="shared" si="0"/>
        <v>4.108127715625443</v>
      </c>
      <c r="C44" s="1">
        <f t="shared" si="1"/>
        <v>1.8330373863912044</v>
      </c>
    </row>
    <row r="45" spans="1:3" ht="25.8" x14ac:dyDescent="0.25">
      <c r="A45" s="1">
        <v>0.29000000000000004</v>
      </c>
      <c r="B45" s="1">
        <f t="shared" si="0"/>
        <v>4.1574628144458572</v>
      </c>
      <c r="C45" s="1">
        <f t="shared" si="1"/>
        <v>1.8020836415817101</v>
      </c>
    </row>
    <row r="46" spans="1:3" ht="25.8" x14ac:dyDescent="0.25">
      <c r="A46" s="1">
        <v>0.3</v>
      </c>
      <c r="B46" s="1">
        <f t="shared" si="0"/>
        <v>4.207108584437357</v>
      </c>
      <c r="C46" s="1">
        <f t="shared" si="1"/>
        <v>1.7715065316616005</v>
      </c>
    </row>
    <row r="47" spans="1:3" ht="25.8" x14ac:dyDescent="0.25">
      <c r="A47" s="1">
        <v>0.31</v>
      </c>
      <c r="B47" s="1">
        <f t="shared" si="0"/>
        <v>4.2570632668071298</v>
      </c>
      <c r="C47" s="1">
        <f t="shared" si="1"/>
        <v>1.7413042436435688</v>
      </c>
    </row>
    <row r="48" spans="1:3" ht="25.8" x14ac:dyDescent="0.25">
      <c r="A48" s="1">
        <v>0.32</v>
      </c>
      <c r="B48" s="1">
        <f t="shared" si="0"/>
        <v>4.3073250648571459</v>
      </c>
      <c r="C48" s="1">
        <f t="shared" si="1"/>
        <v>1.7114749266796352</v>
      </c>
    </row>
    <row r="49" spans="1:3" ht="25.8" x14ac:dyDescent="0.25">
      <c r="A49" s="1">
        <v>0.33</v>
      </c>
      <c r="B49" s="1">
        <f t="shared" si="0"/>
        <v>4.357892144593805</v>
      </c>
      <c r="C49" s="1">
        <f t="shared" si="1"/>
        <v>1.6820166926707287</v>
      </c>
    </row>
    <row r="50" spans="1:3" ht="25.8" x14ac:dyDescent="0.25">
      <c r="A50" s="1">
        <v>0.34</v>
      </c>
      <c r="B50" s="1">
        <f t="shared" si="0"/>
        <v>4.408762635349774</v>
      </c>
      <c r="C50" s="1">
        <f t="shared" si="1"/>
        <v>1.652927616888519</v>
      </c>
    </row>
    <row r="51" spans="1:3" ht="25.8" x14ac:dyDescent="0.25">
      <c r="A51" s="1">
        <v>0.35000000000000003</v>
      </c>
      <c r="B51" s="1">
        <f t="shared" si="0"/>
        <v>4.4599346304174858</v>
      </c>
      <c r="C51" s="1">
        <f t="shared" si="1"/>
        <v>1.6242057386088149</v>
      </c>
    </row>
    <row r="52" spans="1:3" ht="25.8" x14ac:dyDescent="0.25">
      <c r="A52" s="1">
        <v>0.36000000000000004</v>
      </c>
      <c r="B52" s="1">
        <f t="shared" si="0"/>
        <v>4.5114061876942557</v>
      </c>
      <c r="C52" s="1">
        <f t="shared" si="1"/>
        <v>1.595849061756752</v>
      </c>
    </row>
    <row r="53" spans="1:3" ht="25.8" x14ac:dyDescent="0.25">
      <c r="A53" s="1">
        <v>0.37</v>
      </c>
      <c r="B53" s="1">
        <f t="shared" si="0"/>
        <v>4.5631753303382467</v>
      </c>
      <c r="C53" s="1">
        <f t="shared" si="1"/>
        <v>1.5678555555625522</v>
      </c>
    </row>
    <row r="54" spans="1:3" ht="25.8" x14ac:dyDescent="0.25">
      <c r="A54" s="1">
        <v>0.38</v>
      </c>
      <c r="B54" s="1">
        <f t="shared" si="0"/>
        <v>4.6152400474350515</v>
      </c>
      <c r="C54" s="1">
        <f t="shared" si="1"/>
        <v>1.5402231552282721</v>
      </c>
    </row>
    <row r="55" spans="1:3" ht="25.8" x14ac:dyDescent="0.25">
      <c r="A55" s="1">
        <v>0.39</v>
      </c>
      <c r="B55" s="1">
        <f t="shared" si="0"/>
        <v>4.6675982946746402</v>
      </c>
      <c r="C55" s="1">
        <f t="shared" si="1"/>
        <v>1.5129497626046025</v>
      </c>
    </row>
    <row r="56" spans="1:3" ht="25.8" x14ac:dyDescent="0.25">
      <c r="A56" s="1">
        <v>0.4</v>
      </c>
      <c r="B56" s="1">
        <f t="shared" si="0"/>
        <v>4.7202479950380223</v>
      </c>
      <c r="C56" s="1">
        <f t="shared" si="1"/>
        <v>1.4860332468774722</v>
      </c>
    </row>
    <row r="57" spans="1:3" ht="25.8" x14ac:dyDescent="0.25">
      <c r="A57" s="1">
        <v>0.41000000000000003</v>
      </c>
      <c r="B57" s="1">
        <f t="shared" si="0"/>
        <v>4.7731870394933651</v>
      </c>
      <c r="C57" s="1">
        <f t="shared" si="1"/>
        <v>1.4594714452641497</v>
      </c>
    </row>
    <row r="58" spans="1:3" ht="25.8" x14ac:dyDescent="0.25">
      <c r="A58" s="1">
        <v>0.42000000000000004</v>
      </c>
      <c r="B58" s="1">
        <f t="shared" si="0"/>
        <v>4.8264132877010439</v>
      </c>
      <c r="C58" s="1">
        <f t="shared" si="1"/>
        <v>1.4332621637183003</v>
      </c>
    </row>
    <row r="59" spans="1:3" ht="25.8" x14ac:dyDescent="0.25">
      <c r="A59" s="1">
        <v>0.43</v>
      </c>
      <c r="B59" s="1">
        <f t="shared" si="0"/>
        <v>4.8799245687272617</v>
      </c>
      <c r="C59" s="1">
        <f t="shared" si="1"/>
        <v>1.4074031776435802</v>
      </c>
    </row>
    <row r="60" spans="1:3" ht="25.8" x14ac:dyDescent="0.25">
      <c r="A60" s="1">
        <v>0.44</v>
      </c>
      <c r="B60" s="1">
        <f t="shared" si="0"/>
        <v>4.9337186817659955</v>
      </c>
      <c r="C60" s="1">
        <f t="shared" si="1"/>
        <v>1.3818922326154421</v>
      </c>
    </row>
    <row r="61" spans="1:3" ht="25.8" x14ac:dyDescent="0.25">
      <c r="A61" s="1">
        <v>0.45</v>
      </c>
      <c r="B61" s="1">
        <f t="shared" si="0"/>
        <v>4.9877933968685113</v>
      </c>
      <c r="C61" s="1">
        <f t="shared" si="1"/>
        <v>1.3567270451106914</v>
      </c>
    </row>
    <row r="62" spans="1:3" ht="25.8" x14ac:dyDescent="0.25">
      <c r="A62" s="1">
        <v>0.46</v>
      </c>
      <c r="B62" s="1">
        <f t="shared" si="0"/>
        <v>5.0421464556801396</v>
      </c>
      <c r="C62" s="1">
        <f t="shared" si="1"/>
        <v>1.331905303244266</v>
      </c>
    </row>
    <row r="63" spans="1:3" ht="25.8" x14ac:dyDescent="0.25">
      <c r="A63" s="1">
        <v>0.47000000000000003</v>
      </c>
      <c r="B63" s="1">
        <f t="shared" si="0"/>
        <v>5.0967755721842138</v>
      </c>
      <c r="C63" s="1">
        <f t="shared" si="1"/>
        <v>1.3074246675130361</v>
      </c>
    </row>
    <row r="64" spans="1:3" ht="25.8" x14ac:dyDescent="0.25">
      <c r="A64" s="1">
        <v>0.48000000000000004</v>
      </c>
      <c r="B64" s="1">
        <f t="shared" si="0"/>
        <v>5.1516784334521475</v>
      </c>
      <c r="C64" s="1">
        <f t="shared" si="1"/>
        <v>1.2832827715458919</v>
      </c>
    </row>
    <row r="65" spans="1:3" ht="25.8" x14ac:dyDescent="0.25">
      <c r="A65" s="1">
        <v>0.49</v>
      </c>
      <c r="B65" s="1">
        <f t="shared" si="0"/>
        <v>5.2068527003996934</v>
      </c>
      <c r="C65" s="1">
        <f t="shared" si="1"/>
        <v>1.2594772228599673</v>
      </c>
    </row>
    <row r="66" spans="1:3" ht="25.8" x14ac:dyDescent="0.25">
      <c r="A66" s="1">
        <v>0.5</v>
      </c>
      <c r="B66" s="1">
        <f t="shared" si="0"/>
        <v>5.2622960085487165</v>
      </c>
      <c r="C66" s="1">
        <f t="shared" si="1"/>
        <v>1.2360056036224378</v>
      </c>
    </row>
    <row r="67" spans="1:3" ht="25.8" x14ac:dyDescent="0.25">
      <c r="A67" s="1">
        <v>0.51</v>
      </c>
      <c r="B67" s="1">
        <f t="shared" si="0"/>
        <v>5.3180059687942247</v>
      </c>
      <c r="C67" s="1">
        <f t="shared" si="1"/>
        <v>1.212865471417409</v>
      </c>
    </row>
    <row r="68" spans="1:3" ht="25.8" x14ac:dyDescent="0.25">
      <c r="A68" s="1">
        <v>0.52</v>
      </c>
      <c r="B68" s="1">
        <f t="shared" si="0"/>
        <v>5.3739801681760753</v>
      </c>
      <c r="C68" s="1">
        <f t="shared" si="1"/>
        <v>1.1900543600176405</v>
      </c>
    </row>
    <row r="69" spans="1:3" ht="25.8" x14ac:dyDescent="0.25">
      <c r="A69" s="1">
        <v>0.53</v>
      </c>
      <c r="B69" s="1">
        <f t="shared" si="0"/>
        <v>5.4302161706548446</v>
      </c>
      <c r="C69" s="1">
        <f t="shared" si="1"/>
        <v>1.1675697801603633</v>
      </c>
    </row>
    <row r="70" spans="1:3" ht="25.8" x14ac:dyDescent="0.25">
      <c r="A70" s="1">
        <v>0.54</v>
      </c>
      <c r="B70" s="1">
        <f t="shared" si="0"/>
        <v>5.4867115178916634</v>
      </c>
      <c r="C70" s="1">
        <f t="shared" si="1"/>
        <v>1.1454092203271422</v>
      </c>
    </row>
    <row r="71" spans="1:3" ht="25.8" x14ac:dyDescent="0.25">
      <c r="A71" s="1">
        <v>0.55000000000000004</v>
      </c>
      <c r="B71" s="1">
        <f t="shared" si="0"/>
        <v>5.5434637300316183</v>
      </c>
      <c r="C71" s="1">
        <f t="shared" si="1"/>
        <v>1.123570147527083</v>
      </c>
    </row>
    <row r="72" spans="1:3" ht="25.8" x14ac:dyDescent="0.25">
      <c r="A72" s="1">
        <v>0.56000000000000005</v>
      </c>
      <c r="B72" s="1">
        <f t="shared" si="0"/>
        <v>5.6004703064896972</v>
      </c>
      <c r="C72" s="1">
        <f t="shared" si="1"/>
        <v>1.1020500080829443</v>
      </c>
    </row>
    <row r="73" spans="1:3" ht="25.8" x14ac:dyDescent="0.25">
      <c r="A73" s="1">
        <v>0.57000000000000006</v>
      </c>
      <c r="B73" s="1">
        <f t="shared" si="0"/>
        <v>5.6577287267397196</v>
      </c>
      <c r="C73" s="1">
        <f t="shared" si="1"/>
        <v>1.0808462284199543</v>
      </c>
    </row>
    <row r="74" spans="1:3" ht="25.8" x14ac:dyDescent="0.25">
      <c r="A74" s="1">
        <v>0.58000000000000007</v>
      </c>
      <c r="B74" s="1">
        <f t="shared" si="0"/>
        <v>5.7152364511052554</v>
      </c>
      <c r="C74" s="1">
        <f t="shared" si="1"/>
        <v>1.0599562158565945</v>
      </c>
    </row>
    <row r="75" spans="1:3" ht="25.8" x14ac:dyDescent="0.25">
      <c r="A75" s="1">
        <v>0.59</v>
      </c>
      <c r="B75" s="1">
        <f t="shared" si="0"/>
        <v>5.7729909215521218</v>
      </c>
      <c r="C75" s="1">
        <f t="shared" si="1"/>
        <v>1.0393773593971396</v>
      </c>
    </row>
    <row r="76" spans="1:3" ht="25.8" x14ac:dyDescent="0.25">
      <c r="A76" s="1">
        <v>0.6</v>
      </c>
      <c r="B76" s="1">
        <f t="shared" si="0"/>
        <v>5.8309895624821735</v>
      </c>
      <c r="C76" s="1">
        <f t="shared" si="1"/>
        <v>1.0191070305255145</v>
      </c>
    </row>
    <row r="77" spans="1:3" ht="25.8" x14ac:dyDescent="0.25">
      <c r="A77" s="1">
        <v>0.61</v>
      </c>
      <c r="B77" s="1">
        <f t="shared" si="0"/>
        <v>5.889229781528158</v>
      </c>
      <c r="C77" s="1">
        <f t="shared" si="1"/>
        <v>0.99914258399989109</v>
      </c>
    </row>
    <row r="78" spans="1:3" ht="25.8" x14ac:dyDescent="0.25">
      <c r="A78" s="1">
        <v>0.62</v>
      </c>
      <c r="B78" s="1">
        <f t="shared" si="0"/>
        <v>5.9477089703486286</v>
      </c>
      <c r="C78" s="1">
        <f t="shared" si="1"/>
        <v>0.97948135864779218</v>
      </c>
    </row>
    <row r="79" spans="1:3" ht="25.8" x14ac:dyDescent="0.25">
      <c r="A79" s="1">
        <v>0.63</v>
      </c>
      <c r="B79" s="1">
        <f t="shared" si="0"/>
        <v>6.0064245054231691</v>
      </c>
      <c r="C79" s="1">
        <f t="shared" si="1"/>
        <v>0.96012067816110047</v>
      </c>
    </row>
    <row r="80" spans="1:3" ht="25.8" x14ac:dyDescent="0.25">
      <c r="A80" s="1">
        <v>0.64</v>
      </c>
      <c r="B80" s="1">
        <f t="shared" si="0"/>
        <v>6.0653737488469801</v>
      </c>
      <c r="C80" s="1">
        <f t="shared" si="1"/>
        <v>0.94105785189072577</v>
      </c>
    </row>
    <row r="81" spans="1:3" ht="25.8" x14ac:dyDescent="0.25">
      <c r="A81" s="1">
        <v>0.65</v>
      </c>
      <c r="B81" s="1">
        <f t="shared" si="0"/>
        <v>6.1245540491248818</v>
      </c>
      <c r="C81" s="1">
        <f t="shared" si="1"/>
        <v>0.92229017564048377</v>
      </c>
    </row>
    <row r="82" spans="1:3" ht="25.8" x14ac:dyDescent="0.25">
      <c r="A82" s="1">
        <v>0.66</v>
      </c>
      <c r="B82" s="1">
        <f t="shared" ref="B82:B116" si="2">BS_call($B$1,$B$2,A82,$B$4,$B$5,$B$6)</f>
        <v>6.1839627419637111</v>
      </c>
      <c r="C82" s="1">
        <f t="shared" ref="C82:C116" si="3">BS_put($B$1,$B$2,A82,$B$4,$B$5,$B$6)</f>
        <v>0.90381493245960698</v>
      </c>
    </row>
    <row r="83" spans="1:3" ht="25.8" x14ac:dyDescent="0.25">
      <c r="A83" s="1">
        <v>0.67</v>
      </c>
      <c r="B83" s="1">
        <f t="shared" si="2"/>
        <v>6.2435971510635682</v>
      </c>
      <c r="C83" s="1">
        <f t="shared" si="3"/>
        <v>0.8856293934337387</v>
      </c>
    </row>
    <row r="84" spans="1:3" ht="25.8" x14ac:dyDescent="0.25">
      <c r="A84" s="1">
        <v>0.68</v>
      </c>
      <c r="B84" s="1">
        <f t="shared" si="2"/>
        <v>6.3034545889065896</v>
      </c>
      <c r="C84" s="1">
        <f t="shared" si="3"/>
        <v>0.86773081847383438</v>
      </c>
    </row>
    <row r="85" spans="1:3" ht="25.8" x14ac:dyDescent="0.25">
      <c r="A85" s="1">
        <v>0.69000000000000006</v>
      </c>
      <c r="B85" s="1">
        <f t="shared" si="2"/>
        <v>6.3635323575434484</v>
      </c>
      <c r="C85" s="1">
        <f t="shared" si="3"/>
        <v>0.85011645710261519</v>
      </c>
    </row>
    <row r="86" spans="1:3" ht="25.8" x14ac:dyDescent="0.25">
      <c r="A86" s="1">
        <v>0.70000000000000007</v>
      </c>
      <c r="B86" s="1">
        <f t="shared" si="2"/>
        <v>6.4238277493773097</v>
      </c>
      <c r="C86" s="1">
        <f t="shared" si="3"/>
        <v>0.83278354923836062</v>
      </c>
    </row>
    <row r="87" spans="1:3" ht="25.8" x14ac:dyDescent="0.25">
      <c r="A87" s="1">
        <v>0.71000000000000008</v>
      </c>
      <c r="B87" s="1">
        <f t="shared" si="2"/>
        <v>6.4843380479439645</v>
      </c>
      <c r="C87" s="1">
        <f t="shared" si="3"/>
        <v>0.81572932597517678</v>
      </c>
    </row>
    <row r="88" spans="1:3" ht="25.8" x14ac:dyDescent="0.25">
      <c r="A88" s="1">
        <v>0.72</v>
      </c>
      <c r="B88" s="1">
        <f t="shared" si="2"/>
        <v>6.5450605286890777</v>
      </c>
      <c r="C88" s="1">
        <f t="shared" si="3"/>
        <v>0.79895101036007787</v>
      </c>
    </row>
    <row r="89" spans="1:3" ht="25.8" x14ac:dyDescent="0.25">
      <c r="A89" s="1">
        <v>0.73</v>
      </c>
      <c r="B89" s="1">
        <f t="shared" si="2"/>
        <v>6.6059924597409463</v>
      </c>
      <c r="C89" s="1">
        <f t="shared" si="3"/>
        <v>0.7824458181658116</v>
      </c>
    </row>
    <row r="90" spans="1:3" ht="25.8" x14ac:dyDescent="0.25">
      <c r="A90" s="1">
        <v>0.74</v>
      </c>
      <c r="B90" s="1">
        <f t="shared" si="2"/>
        <v>6.6671311026792779</v>
      </c>
      <c r="C90" s="1">
        <f t="shared" si="3"/>
        <v>0.7662109586594994</v>
      </c>
    </row>
    <row r="91" spans="1:3" ht="25.8" x14ac:dyDescent="0.25">
      <c r="A91" s="1">
        <v>0.75</v>
      </c>
      <c r="B91" s="1">
        <f t="shared" si="2"/>
        <v>6.7284737132990955</v>
      </c>
      <c r="C91" s="1">
        <f t="shared" si="3"/>
        <v>0.75024363536659777</v>
      </c>
    </row>
    <row r="92" spans="1:3" ht="25.8" x14ac:dyDescent="0.25">
      <c r="A92" s="1">
        <v>0.76</v>
      </c>
      <c r="B92" s="1">
        <f t="shared" si="2"/>
        <v>6.7900175423697675</v>
      </c>
      <c r="C92" s="1">
        <f t="shared" si="3"/>
        <v>0.73454104682978993</v>
      </c>
    </row>
    <row r="93" spans="1:3" ht="25.8" x14ac:dyDescent="0.25">
      <c r="A93" s="1">
        <v>0.77</v>
      </c>
      <c r="B93" s="1">
        <f t="shared" si="2"/>
        <v>6.8517598363884531</v>
      </c>
      <c r="C93" s="1">
        <f t="shared" si="3"/>
        <v>0.71910038736255188</v>
      </c>
    </row>
    <row r="94" spans="1:3" ht="25.8" x14ac:dyDescent="0.25">
      <c r="A94" s="1">
        <v>0.78</v>
      </c>
      <c r="B94" s="1">
        <f t="shared" si="2"/>
        <v>6.9136978383280763</v>
      </c>
      <c r="C94" s="1">
        <f t="shared" si="3"/>
        <v>0.70391884779693115</v>
      </c>
    </row>
    <row r="95" spans="1:3" ht="25.8" x14ac:dyDescent="0.25">
      <c r="A95" s="1">
        <v>0.79</v>
      </c>
      <c r="B95" s="1">
        <f t="shared" si="2"/>
        <v>6.9758287883791041</v>
      </c>
      <c r="C95" s="1">
        <f t="shared" si="3"/>
        <v>0.68899361622535338</v>
      </c>
    </row>
    <row r="96" spans="1:3" ht="25.8" x14ac:dyDescent="0.25">
      <c r="A96" s="1">
        <v>0.8</v>
      </c>
      <c r="B96" s="1">
        <f t="shared" si="2"/>
        <v>7.0381499246849302</v>
      </c>
      <c r="C96" s="1">
        <f t="shared" si="3"/>
        <v>0.67432187873600569</v>
      </c>
    </row>
    <row r="97" spans="1:3" ht="25.8" x14ac:dyDescent="0.25">
      <c r="A97" s="1">
        <v>0.81</v>
      </c>
      <c r="B97" s="1">
        <f t="shared" si="2"/>
        <v>7.1006584840706779</v>
      </c>
      <c r="C97" s="1">
        <f t="shared" si="3"/>
        <v>0.65990082014154794</v>
      </c>
    </row>
    <row r="98" spans="1:3" ht="25.8" x14ac:dyDescent="0.25">
      <c r="A98" s="1">
        <v>0.82000000000000006</v>
      </c>
      <c r="B98" s="1">
        <f t="shared" si="2"/>
        <v>7.1633517027648708</v>
      </c>
      <c r="C98" s="1">
        <f t="shared" si="3"/>
        <v>0.64572762470080747</v>
      </c>
    </row>
    <row r="99" spans="1:3" ht="25.8" x14ac:dyDescent="0.25">
      <c r="A99" s="1">
        <v>0.83000000000000007</v>
      </c>
      <c r="B99" s="1">
        <f t="shared" si="2"/>
        <v>7.2262268171140107</v>
      </c>
      <c r="C99" s="1">
        <f t="shared" si="3"/>
        <v>0.63179947683322268</v>
      </c>
    </row>
    <row r="100" spans="1:3" ht="25.8" x14ac:dyDescent="0.25">
      <c r="A100" s="1">
        <v>0.84000000000000008</v>
      </c>
      <c r="B100" s="1">
        <f t="shared" si="2"/>
        <v>7.289281064289213</v>
      </c>
      <c r="C100" s="1">
        <f t="shared" si="3"/>
        <v>0.61811356182559152</v>
      </c>
    </row>
    <row r="101" spans="1:3" ht="25.8" x14ac:dyDescent="0.25">
      <c r="A101" s="1">
        <v>0.85</v>
      </c>
      <c r="B101" s="1">
        <f t="shared" si="2"/>
        <v>7.3525116829853943</v>
      </c>
      <c r="C101" s="1">
        <f t="shared" si="3"/>
        <v>0.60466706653106783</v>
      </c>
    </row>
    <row r="102" spans="1:3" ht="25.8" x14ac:dyDescent="0.25">
      <c r="A102" s="1">
        <v>0.86</v>
      </c>
      <c r="B102" s="1">
        <f t="shared" si="2"/>
        <v>7.4159159141118494</v>
      </c>
      <c r="C102" s="1">
        <f t="shared" si="3"/>
        <v>0.59145718005983206</v>
      </c>
    </row>
    <row r="103" spans="1:3" ht="25.8" x14ac:dyDescent="0.25">
      <c r="A103" s="1">
        <v>0.87</v>
      </c>
      <c r="B103" s="1">
        <f t="shared" si="2"/>
        <v>7.479491001474841</v>
      </c>
      <c r="C103" s="1">
        <f t="shared" si="3"/>
        <v>0.57848109446152129</v>
      </c>
    </row>
    <row r="104" spans="1:3" ht="25.8" x14ac:dyDescent="0.25">
      <c r="A104" s="1">
        <v>0.88</v>
      </c>
      <c r="B104" s="1">
        <f t="shared" si="2"/>
        <v>7.5432341924510951</v>
      </c>
      <c r="C104" s="1">
        <f t="shared" si="3"/>
        <v>0.56573600539883273</v>
      </c>
    </row>
    <row r="105" spans="1:3" ht="25.8" x14ac:dyDescent="0.25">
      <c r="A105" s="1">
        <v>0.89</v>
      </c>
      <c r="B105" s="1">
        <f t="shared" si="2"/>
        <v>7.6071427386526125</v>
      </c>
      <c r="C105" s="1">
        <f t="shared" si="3"/>
        <v>0.55321911281218838</v>
      </c>
    </row>
    <row r="106" spans="1:3" ht="25.8" x14ac:dyDescent="0.25">
      <c r="A106" s="1">
        <v>0.9</v>
      </c>
      <c r="B106" s="1">
        <f t="shared" si="2"/>
        <v>7.6712138965822589</v>
      </c>
      <c r="C106" s="1">
        <f t="shared" si="3"/>
        <v>0.54092762157532981</v>
      </c>
    </row>
    <row r="107" spans="1:3" ht="25.8" x14ac:dyDescent="0.25">
      <c r="A107" s="1">
        <v>0.91</v>
      </c>
      <c r="B107" s="1">
        <f t="shared" si="2"/>
        <v>7.7354449282798328</v>
      </c>
      <c r="C107" s="1">
        <f t="shared" si="3"/>
        <v>0.52885874214133288</v>
      </c>
    </row>
    <row r="108" spans="1:3" ht="25.8" x14ac:dyDescent="0.25">
      <c r="A108" s="1">
        <v>0.92</v>
      </c>
      <c r="B108" s="1">
        <f t="shared" si="2"/>
        <v>7.7998331019585265</v>
      </c>
      <c r="C108" s="1">
        <f t="shared" si="3"/>
        <v>0.51700969117908535</v>
      </c>
    </row>
    <row r="109" spans="1:3" ht="25.8" x14ac:dyDescent="0.25">
      <c r="A109" s="1">
        <v>0.93</v>
      </c>
      <c r="B109" s="1">
        <f t="shared" si="2"/>
        <v>7.8643756926316399</v>
      </c>
      <c r="C109" s="1">
        <f t="shared" si="3"/>
        <v>0.50537769219990203</v>
      </c>
    </row>
    <row r="110" spans="1:3" ht="25.8" x14ac:dyDescent="0.25">
      <c r="A110" s="1">
        <v>0.94000000000000006</v>
      </c>
      <c r="B110" s="1">
        <f t="shared" si="2"/>
        <v>7.9290699827290325</v>
      </c>
      <c r="C110" s="1">
        <f t="shared" si="3"/>
        <v>0.49395997617399701</v>
      </c>
    </row>
    <row r="111" spans="1:3" ht="25.8" x14ac:dyDescent="0.25">
      <c r="A111" s="1">
        <v>0.95000000000000007</v>
      </c>
      <c r="B111" s="1">
        <f t="shared" si="2"/>
        <v>7.9939132627034724</v>
      </c>
      <c r="C111" s="1">
        <f t="shared" si="3"/>
        <v>0.4827537821367347</v>
      </c>
    </row>
    <row r="112" spans="1:3" ht="25.8" x14ac:dyDescent="0.25">
      <c r="A112" s="1">
        <v>0.96000000000000008</v>
      </c>
      <c r="B112" s="1">
        <f t="shared" si="2"/>
        <v>8.0589028316263978</v>
      </c>
      <c r="C112" s="1">
        <f t="shared" si="3"/>
        <v>0.47175635778441638</v>
      </c>
    </row>
    <row r="113" spans="1:3" ht="25.8" x14ac:dyDescent="0.25">
      <c r="A113" s="1">
        <v>0.97</v>
      </c>
      <c r="B113" s="1">
        <f t="shared" si="2"/>
        <v>8.1240359977731202</v>
      </c>
      <c r="C113" s="1">
        <f t="shared" si="3"/>
        <v>0.46096496005942456</v>
      </c>
    </row>
    <row r="114" spans="1:3" ht="25.8" x14ac:dyDescent="0.25">
      <c r="A114" s="1">
        <v>0.98</v>
      </c>
      <c r="B114" s="1">
        <f t="shared" si="2"/>
        <v>8.1893100791971563</v>
      </c>
      <c r="C114" s="1">
        <f t="shared" si="3"/>
        <v>0.4503768557245369</v>
      </c>
    </row>
    <row r="115" spans="1:3" ht="25.8" x14ac:dyDescent="0.25">
      <c r="A115" s="1">
        <v>0.99</v>
      </c>
      <c r="B115" s="1">
        <f t="shared" si="2"/>
        <v>8.254722404293716</v>
      </c>
      <c r="C115" s="1">
        <f t="shared" si="3"/>
        <v>0.43998932192632978</v>
      </c>
    </row>
    <row r="116" spans="1:3" ht="25.8" x14ac:dyDescent="0.25">
      <c r="A116" s="1">
        <v>1</v>
      </c>
      <c r="B116" s="1">
        <f t="shared" si="2"/>
        <v>8.320270312351866</v>
      </c>
      <c r="C116" s="1">
        <f t="shared" si="3"/>
        <v>0.42979964674734639</v>
      </c>
    </row>
  </sheetData>
  <mergeCells count="1">
    <mergeCell ref="E1:J8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94B15-C7CA-436B-8A03-37151E167226}">
  <sheetPr codeName="Sheet5"/>
  <dimension ref="A1:L116"/>
  <sheetViews>
    <sheetView zoomScale="70" zoomScaleNormal="70" workbookViewId="0">
      <selection activeCell="B1" sqref="B1:B6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0.25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f>30/365</f>
        <v>8.2191780821917804E-2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  <c r="G13" s="3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2" t="s">
        <v>4</v>
      </c>
      <c r="B16" s="1" t="s">
        <v>0</v>
      </c>
      <c r="C16" s="1" t="s">
        <v>1</v>
      </c>
    </row>
    <row r="17" spans="1:3" ht="25.8" x14ac:dyDescent="0.25">
      <c r="A17" s="1">
        <v>0.01</v>
      </c>
      <c r="B17" s="1">
        <f>BS_call($B$1,$B$2,$B$3,A17,$B$5,$B$6)</f>
        <v>2.9368306755517324</v>
      </c>
      <c r="C17" s="1">
        <f>BS_put($B$1,$B$2,$B$3,A17,$B$5,$B$6)</f>
        <v>2.7727170930068965</v>
      </c>
    </row>
    <row r="18" spans="1:3" ht="25.8" x14ac:dyDescent="0.25">
      <c r="A18" s="1">
        <v>0.02</v>
      </c>
      <c r="B18" s="1">
        <f t="shared" ref="B18:B81" si="0">BS_call($B$1,$B$2,$B$3,A18,$B$5,$B$6)</f>
        <v>2.894049260180438</v>
      </c>
      <c r="C18" s="1">
        <f t="shared" ref="C18:C81" si="1">BS_put($B$1,$B$2,$B$3,A18,$B$5,$B$6)</f>
        <v>2.8120261908751232</v>
      </c>
    </row>
    <row r="19" spans="1:3" ht="25.8" x14ac:dyDescent="0.25">
      <c r="A19" s="1">
        <v>0.03</v>
      </c>
      <c r="B19" s="1">
        <f t="shared" si="0"/>
        <v>2.8516778190761727</v>
      </c>
      <c r="C19" s="1">
        <f t="shared" si="1"/>
        <v>2.8516778190761727</v>
      </c>
    </row>
    <row r="20" spans="1:3" ht="25.8" x14ac:dyDescent="0.25">
      <c r="A20" s="1">
        <v>0.04</v>
      </c>
      <c r="B20" s="1">
        <f t="shared" si="0"/>
        <v>2.8097158860420635</v>
      </c>
      <c r="C20" s="1">
        <f t="shared" si="1"/>
        <v>2.8916715668237458</v>
      </c>
    </row>
    <row r="21" spans="1:3" ht="25.8" x14ac:dyDescent="0.25">
      <c r="A21" s="1">
        <v>0.05</v>
      </c>
      <c r="B21" s="1">
        <f t="shared" si="0"/>
        <v>2.7681629460550994</v>
      </c>
      <c r="C21" s="1">
        <f t="shared" si="1"/>
        <v>2.9320069744598669</v>
      </c>
    </row>
    <row r="22" spans="1:3" ht="25.8" x14ac:dyDescent="0.25">
      <c r="A22" s="1">
        <v>6.0000000000000005E-2</v>
      </c>
      <c r="B22" s="1">
        <f t="shared" si="0"/>
        <v>2.7270184353765643</v>
      </c>
      <c r="C22" s="1">
        <f t="shared" si="1"/>
        <v>2.9726835335654656</v>
      </c>
    </row>
    <row r="23" spans="1:3" ht="25.8" x14ac:dyDescent="0.25">
      <c r="A23" s="1">
        <v>6.9999999999999993E-2</v>
      </c>
      <c r="B23" s="1">
        <f t="shared" si="0"/>
        <v>2.6862817416819027</v>
      </c>
      <c r="C23" s="1">
        <f t="shared" si="1"/>
        <v>3.0137006870900649</v>
      </c>
    </row>
    <row r="24" spans="1:3" ht="25.8" x14ac:dyDescent="0.25">
      <c r="A24" s="1">
        <v>0.08</v>
      </c>
      <c r="B24" s="1">
        <f t="shared" si="0"/>
        <v>2.6459522042096353</v>
      </c>
      <c r="C24" s="1">
        <f t="shared" si="1"/>
        <v>3.0550578295009529</v>
      </c>
    </row>
    <row r="25" spans="1:3" ht="25.8" x14ac:dyDescent="0.25">
      <c r="A25" s="1">
        <v>0.09</v>
      </c>
      <c r="B25" s="1">
        <f t="shared" si="0"/>
        <v>2.6060291139293881</v>
      </c>
      <c r="C25" s="1">
        <f t="shared" si="1"/>
        <v>3.0967543069510768</v>
      </c>
    </row>
    <row r="26" spans="1:3" ht="25.8" x14ac:dyDescent="0.25">
      <c r="A26" s="1">
        <v>9.9999999999999992E-2</v>
      </c>
      <c r="B26" s="1">
        <f t="shared" si="0"/>
        <v>2.5665117137289002</v>
      </c>
      <c r="C26" s="1">
        <f t="shared" si="1"/>
        <v>3.1387894174661994</v>
      </c>
    </row>
    <row r="27" spans="1:3" ht="25.8" x14ac:dyDescent="0.25">
      <c r="A27" s="1">
        <v>0.11</v>
      </c>
      <c r="B27" s="1">
        <f t="shared" si="0"/>
        <v>2.5273991986199604</v>
      </c>
      <c r="C27" s="1">
        <f t="shared" si="1"/>
        <v>3.1811624111508152</v>
      </c>
    </row>
    <row r="28" spans="1:3" ht="25.8" x14ac:dyDescent="0.25">
      <c r="A28" s="1">
        <v>0.12</v>
      </c>
      <c r="B28" s="1">
        <f t="shared" si="0"/>
        <v>2.488690715963024</v>
      </c>
      <c r="C28" s="1">
        <f t="shared" si="1"/>
        <v>3.2238724904128162</v>
      </c>
    </row>
    <row r="29" spans="1:3" ht="25.8" x14ac:dyDescent="0.25">
      <c r="A29" s="1">
        <v>0.13</v>
      </c>
      <c r="B29" s="1">
        <f t="shared" si="0"/>
        <v>2.4503853657104955</v>
      </c>
      <c r="C29" s="1">
        <f t="shared" si="1"/>
        <v>3.2669188102068674</v>
      </c>
    </row>
    <row r="30" spans="1:3" ht="25.8" x14ac:dyDescent="0.25">
      <c r="A30" s="1">
        <v>0.14000000000000001</v>
      </c>
      <c r="B30" s="1">
        <f t="shared" si="0"/>
        <v>2.4124822006684568</v>
      </c>
      <c r="C30" s="1">
        <f t="shared" si="1"/>
        <v>3.3103004782960426</v>
      </c>
    </row>
    <row r="31" spans="1:3" ht="25.8" x14ac:dyDescent="0.25">
      <c r="A31" s="1">
        <v>0.15000000000000002</v>
      </c>
      <c r="B31" s="1">
        <f t="shared" si="0"/>
        <v>2.3749802267766924</v>
      </c>
      <c r="C31" s="1">
        <f t="shared" si="1"/>
        <v>3.3540165555320129</v>
      </c>
    </row>
    <row r="32" spans="1:3" ht="25.8" x14ac:dyDescent="0.25">
      <c r="A32" s="1">
        <v>0.16</v>
      </c>
      <c r="B32" s="1">
        <f t="shared" si="0"/>
        <v>2.3378784034068616</v>
      </c>
      <c r="C32" s="1">
        <f t="shared" si="1"/>
        <v>3.398066056153219</v>
      </c>
    </row>
    <row r="33" spans="1:3" ht="25.8" x14ac:dyDescent="0.25">
      <c r="A33" s="1">
        <v>0.17</v>
      </c>
      <c r="B33" s="1">
        <f t="shared" si="0"/>
        <v>2.3011756436786328</v>
      </c>
      <c r="C33" s="1">
        <f t="shared" si="1"/>
        <v>3.4424479481010195</v>
      </c>
    </row>
    <row r="34" spans="1:3" ht="25.8" x14ac:dyDescent="0.25">
      <c r="A34" s="1">
        <v>0.18000000000000002</v>
      </c>
      <c r="B34" s="1">
        <f t="shared" si="0"/>
        <v>2.264870814793511</v>
      </c>
      <c r="C34" s="1">
        <f t="shared" si="1"/>
        <v>3.4871611533535543</v>
      </c>
    </row>
    <row r="35" spans="1:3" ht="25.8" x14ac:dyDescent="0.25">
      <c r="A35" s="1">
        <v>0.19</v>
      </c>
      <c r="B35" s="1">
        <f t="shared" si="0"/>
        <v>2.2289627383863291</v>
      </c>
      <c r="C35" s="1">
        <f t="shared" si="1"/>
        <v>3.5322045482772992</v>
      </c>
    </row>
    <row r="36" spans="1:3" ht="25.8" x14ac:dyDescent="0.25">
      <c r="A36" s="1">
        <v>0.2</v>
      </c>
      <c r="B36" s="1">
        <f t="shared" si="0"/>
        <v>2.1934501908938557</v>
      </c>
      <c r="C36" s="1">
        <f t="shared" si="1"/>
        <v>3.5775769639957389</v>
      </c>
    </row>
    <row r="37" spans="1:3" ht="25.8" x14ac:dyDescent="0.25">
      <c r="A37" s="1">
        <v>0.21000000000000002</v>
      </c>
      <c r="B37" s="1">
        <f t="shared" si="0"/>
        <v>2.1583319039408124</v>
      </c>
      <c r="C37" s="1">
        <f t="shared" si="1"/>
        <v>3.6232771867753186</v>
      </c>
    </row>
    <row r="38" spans="1:3" ht="25.8" x14ac:dyDescent="0.25">
      <c r="A38" s="1">
        <v>0.22</v>
      </c>
      <c r="B38" s="1">
        <f t="shared" si="0"/>
        <v>2.1236065647424098</v>
      </c>
      <c r="C38" s="1">
        <f t="shared" si="1"/>
        <v>3.669303958428074</v>
      </c>
    </row>
    <row r="39" spans="1:3" ht="25.8" x14ac:dyDescent="0.25">
      <c r="A39" s="1">
        <v>0.23</v>
      </c>
      <c r="B39" s="1">
        <f t="shared" si="0"/>
        <v>2.08927281652376</v>
      </c>
      <c r="C39" s="1">
        <f t="shared" si="1"/>
        <v>3.7156559767311848</v>
      </c>
    </row>
    <row r="40" spans="1:3" ht="25.8" x14ac:dyDescent="0.25">
      <c r="A40" s="1">
        <v>0.24000000000000002</v>
      </c>
      <c r="B40" s="1">
        <f t="shared" si="0"/>
        <v>2.0553292589554815</v>
      </c>
      <c r="C40" s="1">
        <f t="shared" si="1"/>
        <v>3.7623318958623884</v>
      </c>
    </row>
    <row r="41" spans="1:3" ht="25.8" x14ac:dyDescent="0.25">
      <c r="A41" s="1">
        <v>0.25</v>
      </c>
      <c r="B41" s="1">
        <f t="shared" si="0"/>
        <v>2.0217744486054343</v>
      </c>
      <c r="C41" s="1">
        <f t="shared" si="1"/>
        <v>3.809330326852006</v>
      </c>
    </row>
    <row r="42" spans="1:3" ht="25.8" x14ac:dyDescent="0.25">
      <c r="A42" s="1">
        <v>0.26</v>
      </c>
      <c r="B42" s="1">
        <f t="shared" si="0"/>
        <v>1.9886068994062853</v>
      </c>
      <c r="C42" s="1">
        <f t="shared" si="1"/>
        <v>3.8566498380502807</v>
      </c>
    </row>
    <row r="43" spans="1:3" ht="25.8" x14ac:dyDescent="0.25">
      <c r="A43" s="1">
        <v>0.27</v>
      </c>
      <c r="B43" s="1">
        <f t="shared" si="0"/>
        <v>1.9558250831384782</v>
      </c>
      <c r="C43" s="1">
        <f t="shared" si="1"/>
        <v>3.9042889556106957</v>
      </c>
    </row>
    <row r="44" spans="1:3" ht="25.8" x14ac:dyDescent="0.25">
      <c r="A44" s="1">
        <v>0.28000000000000003</v>
      </c>
      <c r="B44" s="1">
        <f t="shared" si="0"/>
        <v>1.9234274299285374</v>
      </c>
      <c r="C44" s="1">
        <f t="shared" si="1"/>
        <v>3.9522461639879793</v>
      </c>
    </row>
    <row r="45" spans="1:3" ht="25.8" x14ac:dyDescent="0.25">
      <c r="A45" s="1">
        <v>0.29000000000000004</v>
      </c>
      <c r="B45" s="1">
        <f t="shared" si="0"/>
        <v>1.891412328762172</v>
      </c>
      <c r="C45" s="1">
        <f t="shared" si="1"/>
        <v>4.0005199064515296</v>
      </c>
    </row>
    <row r="46" spans="1:3" ht="25.8" x14ac:dyDescent="0.25">
      <c r="A46" s="1">
        <v>0.3</v>
      </c>
      <c r="B46" s="1">
        <f t="shared" si="0"/>
        <v>1.8597781280120174</v>
      </c>
      <c r="C46" s="1">
        <f t="shared" si="1"/>
        <v>4.0491085856129914</v>
      </c>
    </row>
    <row r="47" spans="1:3" ht="25.8" x14ac:dyDescent="0.25">
      <c r="A47" s="1">
        <v>0.31</v>
      </c>
      <c r="B47" s="1">
        <f t="shared" si="0"/>
        <v>1.8285231359795873</v>
      </c>
      <c r="C47" s="1">
        <f t="shared" si="1"/>
        <v>4.0980105639683586</v>
      </c>
    </row>
    <row r="48" spans="1:3" ht="25.8" x14ac:dyDescent="0.25">
      <c r="A48" s="1">
        <v>0.32</v>
      </c>
      <c r="B48" s="1">
        <f t="shared" si="0"/>
        <v>1.7976456214512027</v>
      </c>
      <c r="C48" s="1">
        <f t="shared" si="1"/>
        <v>4.1472241644539309</v>
      </c>
    </row>
    <row r="49" spans="1:3" ht="25.8" x14ac:dyDescent="0.25">
      <c r="A49" s="1">
        <v>0.33</v>
      </c>
      <c r="B49" s="1">
        <f t="shared" si="0"/>
        <v>1.7671438142674489</v>
      </c>
      <c r="C49" s="1">
        <f t="shared" si="1"/>
        <v>4.1967476710157356</v>
      </c>
    </row>
    <row r="50" spans="1:3" ht="25.8" x14ac:dyDescent="0.25">
      <c r="A50" s="1">
        <v>0.34</v>
      </c>
      <c r="B50" s="1">
        <f t="shared" si="0"/>
        <v>1.7370159059059063</v>
      </c>
      <c r="C50" s="1">
        <f t="shared" si="1"/>
        <v>4.2465793291923717</v>
      </c>
    </row>
    <row r="51" spans="1:3" ht="25.8" x14ac:dyDescent="0.25">
      <c r="A51" s="1">
        <v>0.35000000000000003</v>
      </c>
      <c r="B51" s="1">
        <f t="shared" si="0"/>
        <v>1.7072600500766768</v>
      </c>
      <c r="C51" s="1">
        <f t="shared" si="1"/>
        <v>4.2967173467105582</v>
      </c>
    </row>
    <row r="52" spans="1:3" ht="25.8" x14ac:dyDescent="0.25">
      <c r="A52" s="1">
        <v>0.36000000000000004</v>
      </c>
      <c r="B52" s="1">
        <f t="shared" si="0"/>
        <v>1.6778743633305879</v>
      </c>
      <c r="C52" s="1">
        <f t="shared" si="1"/>
        <v>4.3471598940933163</v>
      </c>
    </row>
    <row r="53" spans="1:3" ht="25.8" x14ac:dyDescent="0.25">
      <c r="A53" s="1">
        <v>0.37</v>
      </c>
      <c r="B53" s="1">
        <f t="shared" si="0"/>
        <v>1.6488569256793184</v>
      </c>
      <c r="C53" s="1">
        <f t="shared" si="1"/>
        <v>4.3979051052802234</v>
      </c>
    </row>
    <row r="54" spans="1:3" ht="25.8" x14ac:dyDescent="0.25">
      <c r="A54" s="1">
        <v>0.38</v>
      </c>
      <c r="B54" s="1">
        <f t="shared" si="0"/>
        <v>1.6202057812274262</v>
      </c>
      <c r="C54" s="1">
        <f t="shared" si="1"/>
        <v>4.4489510782594195</v>
      </c>
    </row>
    <row r="55" spans="1:3" ht="25.8" x14ac:dyDescent="0.25">
      <c r="A55" s="1">
        <v>0.39</v>
      </c>
      <c r="B55" s="1">
        <f t="shared" si="0"/>
        <v>1.5919189388157733</v>
      </c>
      <c r="C55" s="1">
        <f t="shared" si="1"/>
        <v>4.500295875711025</v>
      </c>
    </row>
    <row r="56" spans="1:3" ht="25.8" x14ac:dyDescent="0.25">
      <c r="A56" s="1">
        <v>0.4</v>
      </c>
      <c r="B56" s="1">
        <f t="shared" si="0"/>
        <v>1.5639943726758361</v>
      </c>
      <c r="C56" s="1">
        <f t="shared" si="1"/>
        <v>4.551937525661593</v>
      </c>
    </row>
    <row r="57" spans="1:3" ht="25.8" x14ac:dyDescent="0.25">
      <c r="A57" s="1">
        <v>0.41000000000000003</v>
      </c>
      <c r="B57" s="1">
        <f t="shared" si="0"/>
        <v>1.5364300230946384</v>
      </c>
      <c r="C57" s="1">
        <f t="shared" si="1"/>
        <v>4.6038740221490713</v>
      </c>
    </row>
    <row r="58" spans="1:3" ht="25.8" x14ac:dyDescent="0.25">
      <c r="A58" s="1">
        <v>0.42000000000000004</v>
      </c>
      <c r="B58" s="1">
        <f t="shared" si="0"/>
        <v>1.5092237970900371</v>
      </c>
      <c r="C58" s="1">
        <f t="shared" si="1"/>
        <v>4.6561033258979947</v>
      </c>
    </row>
    <row r="59" spans="1:3" ht="25.8" x14ac:dyDescent="0.25">
      <c r="A59" s="1">
        <v>0.43</v>
      </c>
      <c r="B59" s="1">
        <f t="shared" si="0"/>
        <v>1.4823735690955537</v>
      </c>
      <c r="C59" s="1">
        <f t="shared" si="1"/>
        <v>4.708623365004442</v>
      </c>
    </row>
    <row r="60" spans="1:3" ht="25.8" x14ac:dyDescent="0.25">
      <c r="A60" s="1">
        <v>0.44</v>
      </c>
      <c r="B60" s="1">
        <f t="shared" si="0"/>
        <v>1.455877181654774</v>
      </c>
      <c r="C60" s="1">
        <f t="shared" si="1"/>
        <v>4.7614320356305342</v>
      </c>
    </row>
    <row r="61" spans="1:3" ht="25.8" x14ac:dyDescent="0.25">
      <c r="A61" s="1">
        <v>0.45</v>
      </c>
      <c r="B61" s="1">
        <f t="shared" si="0"/>
        <v>1.4297324461246745</v>
      </c>
      <c r="C61" s="1">
        <f t="shared" si="1"/>
        <v>4.8145272027076942</v>
      </c>
    </row>
    <row r="62" spans="1:3" ht="25.8" x14ac:dyDescent="0.25">
      <c r="A62" s="1">
        <v>0.46</v>
      </c>
      <c r="B62" s="1">
        <f t="shared" si="0"/>
        <v>1.4039371433874557</v>
      </c>
      <c r="C62" s="1">
        <f t="shared" si="1"/>
        <v>4.8679067006485468</v>
      </c>
    </row>
    <row r="63" spans="1:3" ht="25.8" x14ac:dyDescent="0.25">
      <c r="A63" s="1">
        <v>0.47000000000000003</v>
      </c>
      <c r="B63" s="1">
        <f t="shared" si="0"/>
        <v>1.3784890245705768</v>
      </c>
      <c r="C63" s="1">
        <f t="shared" si="1"/>
        <v>4.9215683340669898</v>
      </c>
    </row>
    <row r="64" spans="1:3" ht="25.8" x14ac:dyDescent="0.25">
      <c r="A64" s="1">
        <v>0.48000000000000004</v>
      </c>
      <c r="B64" s="1">
        <f t="shared" si="0"/>
        <v>1.3533858117745226</v>
      </c>
      <c r="C64" s="1">
        <f t="shared" si="1"/>
        <v>4.9755098785059886</v>
      </c>
    </row>
    <row r="65" spans="1:3" ht="25.8" x14ac:dyDescent="0.25">
      <c r="A65" s="1">
        <v>0.49</v>
      </c>
      <c r="B65" s="1">
        <f t="shared" si="0"/>
        <v>1.3286251988077495</v>
      </c>
      <c r="C65" s="1">
        <f t="shared" si="1"/>
        <v>5.0297290811726896</v>
      </c>
    </row>
    <row r="66" spans="1:3" ht="25.8" x14ac:dyDescent="0.25">
      <c r="A66" s="1">
        <v>0.5</v>
      </c>
      <c r="B66" s="1">
        <f t="shared" si="0"/>
        <v>1.3042048519286453</v>
      </c>
      <c r="C66" s="1">
        <f t="shared" si="1"/>
        <v>5.0842236616801273</v>
      </c>
    </row>
    <row r="67" spans="1:3" ht="25.8" x14ac:dyDescent="0.25">
      <c r="A67" s="1">
        <v>0.51</v>
      </c>
      <c r="B67" s="1">
        <f t="shared" si="0"/>
        <v>1.2801224105938012</v>
      </c>
      <c r="C67" s="1">
        <f t="shared" si="1"/>
        <v>5.1389913127958238</v>
      </c>
    </row>
    <row r="68" spans="1:3" ht="25.8" x14ac:dyDescent="0.25">
      <c r="A68" s="1">
        <v>0.52</v>
      </c>
      <c r="B68" s="1">
        <f t="shared" si="0"/>
        <v>1.2563754882123703</v>
      </c>
      <c r="C68" s="1">
        <f t="shared" si="1"/>
        <v>5.1940297011960155</v>
      </c>
    </row>
    <row r="69" spans="1:3" ht="25.8" x14ac:dyDescent="0.25">
      <c r="A69" s="1">
        <v>0.53</v>
      </c>
      <c r="B69" s="1">
        <f t="shared" si="0"/>
        <v>1.2329616729059474</v>
      </c>
      <c r="C69" s="1">
        <f t="shared" si="1"/>
        <v>5.2493364682256214</v>
      </c>
    </row>
    <row r="70" spans="1:3" ht="25.8" x14ac:dyDescent="0.25">
      <c r="A70" s="1">
        <v>0.54</v>
      </c>
      <c r="B70" s="1">
        <f t="shared" si="0"/>
        <v>1.2098785282736273</v>
      </c>
      <c r="C70" s="1">
        <f t="shared" si="1"/>
        <v>5.3049092306633696</v>
      </c>
    </row>
    <row r="71" spans="1:3" ht="25.8" x14ac:dyDescent="0.25">
      <c r="A71" s="1">
        <v>0.55000000000000004</v>
      </c>
      <c r="B71" s="1">
        <f t="shared" si="0"/>
        <v>1.1871235941617755</v>
      </c>
      <c r="C71" s="1">
        <f t="shared" si="1"/>
        <v>5.3607455814915141</v>
      </c>
    </row>
    <row r="72" spans="1:3" ht="25.8" x14ac:dyDescent="0.25">
      <c r="A72" s="1">
        <v>0.56000000000000005</v>
      </c>
      <c r="B72" s="1">
        <f t="shared" si="0"/>
        <v>1.1646943874379758</v>
      </c>
      <c r="C72" s="1">
        <f t="shared" si="1"/>
        <v>5.4168430906699285</v>
      </c>
    </row>
    <row r="73" spans="1:3" ht="25.8" x14ac:dyDescent="0.25">
      <c r="A73" s="1">
        <v>0.57000000000000006</v>
      </c>
      <c r="B73" s="1">
        <f t="shared" si="0"/>
        <v>1.1425884027689577</v>
      </c>
      <c r="C73" s="1">
        <f t="shared" si="1"/>
        <v>5.473199305913937</v>
      </c>
    </row>
    <row r="74" spans="1:3" ht="25.8" x14ac:dyDescent="0.25">
      <c r="A74" s="1">
        <v>0.58000000000000007</v>
      </c>
      <c r="B74" s="1">
        <f t="shared" si="0"/>
        <v>1.120803113401859</v>
      </c>
      <c r="C74" s="1">
        <f t="shared" si="1"/>
        <v>5.5298117534757409</v>
      </c>
    </row>
    <row r="75" spans="1:3" ht="25.8" x14ac:dyDescent="0.25">
      <c r="A75" s="1">
        <v>0.59</v>
      </c>
      <c r="B75" s="1">
        <f t="shared" si="0"/>
        <v>1.0993359719484204</v>
      </c>
      <c r="C75" s="1">
        <f t="shared" si="1"/>
        <v>5.5866779389286023</v>
      </c>
    </row>
    <row r="76" spans="1:3" ht="25.8" x14ac:dyDescent="0.25">
      <c r="A76" s="1">
        <v>0.6</v>
      </c>
      <c r="B76" s="1">
        <f t="shared" si="0"/>
        <v>1.0781844111718399</v>
      </c>
      <c r="C76" s="1">
        <f t="shared" si="1"/>
        <v>5.6437953479537271</v>
      </c>
    </row>
    <row r="77" spans="1:3" ht="25.8" x14ac:dyDescent="0.25">
      <c r="A77" s="1">
        <v>0.61</v>
      </c>
      <c r="B77" s="1">
        <f t="shared" si="0"/>
        <v>1.0573458447756501</v>
      </c>
      <c r="C77" s="1">
        <f t="shared" si="1"/>
        <v>5.7011614471291239</v>
      </c>
    </row>
    <row r="78" spans="1:3" ht="25.8" x14ac:dyDescent="0.25">
      <c r="A78" s="1">
        <v>0.62</v>
      </c>
      <c r="B78" s="1">
        <f t="shared" si="0"/>
        <v>1.0368176681942636</v>
      </c>
      <c r="C78" s="1">
        <f t="shared" si="1"/>
        <v>5.7587736847203104</v>
      </c>
    </row>
    <row r="79" spans="1:3" ht="25.8" x14ac:dyDescent="0.25">
      <c r="A79" s="1">
        <v>0.63</v>
      </c>
      <c r="B79" s="1">
        <f t="shared" si="0"/>
        <v>1.016597259384902</v>
      </c>
      <c r="C79" s="1">
        <f t="shared" si="1"/>
        <v>5.8166294914721703</v>
      </c>
    </row>
    <row r="80" spans="1:3" ht="25.8" x14ac:dyDescent="0.25">
      <c r="A80" s="1">
        <v>0.64</v>
      </c>
      <c r="B80" s="1">
        <f t="shared" si="0"/>
        <v>0.99668197962020244</v>
      </c>
      <c r="C80" s="1">
        <f t="shared" si="1"/>
        <v>5.8747262814016779</v>
      </c>
    </row>
    <row r="81" spans="1:3" ht="25.8" x14ac:dyDescent="0.25">
      <c r="A81" s="1">
        <v>0.65</v>
      </c>
      <c r="B81" s="1">
        <f t="shared" si="0"/>
        <v>0.97706917428140727</v>
      </c>
      <c r="C81" s="1">
        <f t="shared" si="1"/>
        <v>5.9330614525909908</v>
      </c>
    </row>
    <row r="82" spans="1:3" ht="25.8" x14ac:dyDescent="0.25">
      <c r="A82" s="1">
        <v>0.66</v>
      </c>
      <c r="B82" s="1">
        <f t="shared" ref="B82:B116" si="2">BS_call($B$1,$B$2,$B$3,A82,$B$5,$B$6)</f>
        <v>0.95775617365138643</v>
      </c>
      <c r="C82" s="1">
        <f t="shared" ref="C82:C116" si="3">BS_put($B$1,$B$2,$B$3,A82,$B$5,$B$6)</f>
        <v>5.9916323879806868</v>
      </c>
    </row>
    <row r="83" spans="1:3" ht="25.8" x14ac:dyDescent="0.25">
      <c r="A83" s="1">
        <v>0.67</v>
      </c>
      <c r="B83" s="1">
        <f t="shared" si="2"/>
        <v>0.93874029370735457</v>
      </c>
      <c r="C83" s="1">
        <f t="shared" si="3"/>
        <v>6.0504364561623873</v>
      </c>
    </row>
    <row r="84" spans="1:3" ht="25.8" x14ac:dyDescent="0.25">
      <c r="A84" s="1">
        <v>0.68</v>
      </c>
      <c r="B84" s="1">
        <f t="shared" si="2"/>
        <v>0.92001883691279218</v>
      </c>
      <c r="C84" s="1">
        <f t="shared" si="3"/>
        <v>6.1094710121707578</v>
      </c>
    </row>
    <row r="85" spans="1:3" ht="25.8" x14ac:dyDescent="0.25">
      <c r="A85" s="1">
        <v>0.69000000000000006</v>
      </c>
      <c r="B85" s="1">
        <f t="shared" si="2"/>
        <v>0.90158909300801326</v>
      </c>
      <c r="C85" s="1">
        <f t="shared" si="3"/>
        <v>6.1687333982740427</v>
      </c>
    </row>
    <row r="86" spans="1:3" ht="25.8" x14ac:dyDescent="0.25">
      <c r="A86" s="1">
        <v>0.70000000000000007</v>
      </c>
      <c r="B86" s="1">
        <f t="shared" si="2"/>
        <v>0.88344833979919102</v>
      </c>
      <c r="C86" s="1">
        <f t="shared" si="3"/>
        <v>6.2282209447633505</v>
      </c>
    </row>
    <row r="87" spans="1:3" ht="25.8" x14ac:dyDescent="0.25">
      <c r="A87" s="1">
        <v>0.71000000000000008</v>
      </c>
      <c r="B87" s="1">
        <f t="shared" si="2"/>
        <v>0.86559384394535144</v>
      </c>
      <c r="C87" s="1">
        <f t="shared" si="3"/>
        <v>6.2879309707393674</v>
      </c>
    </row>
    <row r="88" spans="1:3" ht="25.8" x14ac:dyDescent="0.25">
      <c r="A88" s="1">
        <v>0.72</v>
      </c>
      <c r="B88" s="1">
        <f t="shared" si="2"/>
        <v>0.84802286174287644</v>
      </c>
      <c r="C88" s="1">
        <f t="shared" si="3"/>
        <v>6.3478607848970796</v>
      </c>
    </row>
    <row r="89" spans="1:3" ht="25.8" x14ac:dyDescent="0.25">
      <c r="A89" s="1">
        <v>0.73</v>
      </c>
      <c r="B89" s="1">
        <f t="shared" si="2"/>
        <v>0.83073263990729629</v>
      </c>
      <c r="C89" s="1">
        <f t="shared" si="3"/>
        <v>6.4080076863076414</v>
      </c>
    </row>
    <row r="90" spans="1:3" ht="25.8" x14ac:dyDescent="0.25">
      <c r="A90" s="1">
        <v>0.74</v>
      </c>
      <c r="B90" s="1">
        <f t="shared" si="2"/>
        <v>0.81372041635178505</v>
      </c>
      <c r="C90" s="1">
        <f t="shared" si="3"/>
        <v>6.468368965196774</v>
      </c>
    </row>
    <row r="91" spans="1:3" ht="25.8" x14ac:dyDescent="0.25">
      <c r="A91" s="1">
        <v>0.75</v>
      </c>
      <c r="B91" s="1">
        <f t="shared" si="2"/>
        <v>0.79698342096220642</v>
      </c>
      <c r="C91" s="1">
        <f t="shared" si="3"/>
        <v>6.5289419037199252</v>
      </c>
    </row>
    <row r="92" spans="1:3" ht="25.8" x14ac:dyDescent="0.25">
      <c r="A92" s="1">
        <v>0.76</v>
      </c>
      <c r="B92" s="1">
        <f t="shared" si="2"/>
        <v>0.78051887636803485</v>
      </c>
      <c r="C92" s="1">
        <f t="shared" si="3"/>
        <v>6.5897237767332086</v>
      </c>
    </row>
    <row r="93" spans="1:3" ht="25.8" x14ac:dyDescent="0.25">
      <c r="A93" s="1">
        <v>0.77</v>
      </c>
      <c r="B93" s="1">
        <f t="shared" si="2"/>
        <v>0.7643239987092052</v>
      </c>
      <c r="C93" s="1">
        <f t="shared" si="3"/>
        <v>6.6507118525603062</v>
      </c>
    </row>
    <row r="94" spans="1:3" ht="25.8" x14ac:dyDescent="0.25">
      <c r="A94" s="1">
        <v>0.78</v>
      </c>
      <c r="B94" s="1">
        <f t="shared" si="2"/>
        <v>0.74839599839808102</v>
      </c>
      <c r="C94" s="1">
        <f t="shared" si="3"/>
        <v>6.7119033937544543</v>
      </c>
    </row>
    <row r="95" spans="1:3" ht="25.8" x14ac:dyDescent="0.25">
      <c r="A95" s="1">
        <v>0.79</v>
      </c>
      <c r="B95" s="1">
        <f t="shared" si="2"/>
        <v>0.73273208087654851</v>
      </c>
      <c r="C95" s="1">
        <f t="shared" si="3"/>
        <v>6.7732956578555132</v>
      </c>
    </row>
    <row r="96" spans="1:3" ht="25.8" x14ac:dyDescent="0.25">
      <c r="A96" s="1">
        <v>0.8</v>
      </c>
      <c r="B96" s="1">
        <f t="shared" si="2"/>
        <v>0.7173294473676961</v>
      </c>
      <c r="C96" s="1">
        <f t="shared" si="3"/>
        <v>6.8348858981418346</v>
      </c>
    </row>
    <row r="97" spans="1:3" ht="25.8" x14ac:dyDescent="0.25">
      <c r="A97" s="1">
        <v>0.81</v>
      </c>
      <c r="B97" s="1">
        <f t="shared" si="2"/>
        <v>0.7021852956217316</v>
      </c>
      <c r="C97" s="1">
        <f t="shared" si="3"/>
        <v>6.8966713643760755</v>
      </c>
    </row>
    <row r="98" spans="1:3" ht="25.8" x14ac:dyDescent="0.25">
      <c r="A98" s="1">
        <v>0.82000000000000006</v>
      </c>
      <c r="B98" s="1">
        <f t="shared" si="2"/>
        <v>0.6872968206560266</v>
      </c>
      <c r="C98" s="1">
        <f t="shared" si="3"/>
        <v>6.9586493035453003</v>
      </c>
    </row>
    <row r="99" spans="1:3" ht="25.8" x14ac:dyDescent="0.25">
      <c r="A99" s="1">
        <v>0.83000000000000007</v>
      </c>
      <c r="B99" s="1">
        <f t="shared" si="2"/>
        <v>0.67266121548863111</v>
      </c>
      <c r="C99" s="1">
        <f t="shared" si="3"/>
        <v>7.0208169605946438</v>
      </c>
    </row>
    <row r="100" spans="1:3" ht="25.8" x14ac:dyDescent="0.25">
      <c r="A100" s="1">
        <v>0.84000000000000008</v>
      </c>
      <c r="B100" s="1">
        <f t="shared" si="2"/>
        <v>0.65827567186521208</v>
      </c>
      <c r="C100" s="1">
        <f t="shared" si="3"/>
        <v>7.0831715791540546</v>
      </c>
    </row>
    <row r="101" spans="1:3" ht="25.8" x14ac:dyDescent="0.25">
      <c r="A101" s="1">
        <v>0.85</v>
      </c>
      <c r="B101" s="1">
        <f t="shared" si="2"/>
        <v>0.64413738097897522</v>
      </c>
      <c r="C101" s="1">
        <f t="shared" si="3"/>
        <v>7.1457104022585014</v>
      </c>
    </row>
    <row r="102" spans="1:3" ht="25.8" x14ac:dyDescent="0.25">
      <c r="A102" s="1">
        <v>0.86</v>
      </c>
      <c r="B102" s="1">
        <f t="shared" si="2"/>
        <v>0.63024353418332524</v>
      </c>
      <c r="C102" s="1">
        <f t="shared" si="3"/>
        <v>7.2084306730605476</v>
      </c>
    </row>
    <row r="103" spans="1:3" ht="25.8" x14ac:dyDescent="0.25">
      <c r="A103" s="1">
        <v>0.87</v>
      </c>
      <c r="B103" s="1">
        <f t="shared" si="2"/>
        <v>0.61659132369690361</v>
      </c>
      <c r="C103" s="1">
        <f t="shared" si="3"/>
        <v>7.2713296355354373</v>
      </c>
    </row>
    <row r="104" spans="1:3" ht="25.8" x14ac:dyDescent="0.25">
      <c r="A104" s="1">
        <v>0.88</v>
      </c>
      <c r="B104" s="1">
        <f t="shared" si="2"/>
        <v>0.60317794330082997</v>
      </c>
      <c r="C104" s="1">
        <f t="shared" si="3"/>
        <v>7.334404535178308</v>
      </c>
    </row>
    <row r="105" spans="1:3" ht="25.8" x14ac:dyDescent="0.25">
      <c r="A105" s="1">
        <v>0.89</v>
      </c>
      <c r="B105" s="1">
        <f t="shared" si="2"/>
        <v>0.59000058902771535</v>
      </c>
      <c r="C105" s="1">
        <f t="shared" si="3"/>
        <v>7.3976526196933463</v>
      </c>
    </row>
    <row r="106" spans="1:3" ht="25.8" x14ac:dyDescent="0.25">
      <c r="A106" s="1">
        <v>0.9</v>
      </c>
      <c r="B106" s="1">
        <f t="shared" si="2"/>
        <v>0.57705645984241194</v>
      </c>
      <c r="C106" s="1">
        <f t="shared" si="3"/>
        <v>7.4610711396745586</v>
      </c>
    </row>
    <row r="107" spans="1:3" ht="25.8" x14ac:dyDescent="0.25">
      <c r="A107" s="1">
        <v>0.91</v>
      </c>
      <c r="B107" s="1">
        <f t="shared" si="2"/>
        <v>0.56434275831386316</v>
      </c>
      <c r="C107" s="1">
        <f t="shared" si="3"/>
        <v>7.524657349277561</v>
      </c>
    </row>
    <row r="108" spans="1:3" ht="25.8" x14ac:dyDescent="0.25">
      <c r="A108" s="1">
        <v>0.92</v>
      </c>
      <c r="B108" s="1">
        <f t="shared" si="2"/>
        <v>0.55185669127825321</v>
      </c>
      <c r="C108" s="1">
        <f t="shared" si="3"/>
        <v>7.5884085068828995</v>
      </c>
    </row>
    <row r="109" spans="1:3" ht="25.8" x14ac:dyDescent="0.25">
      <c r="A109" s="1">
        <v>0.93</v>
      </c>
      <c r="B109" s="1">
        <f t="shared" si="2"/>
        <v>0.53959547049293377</v>
      </c>
      <c r="C109" s="1">
        <f t="shared" si="3"/>
        <v>7.6523218757498768</v>
      </c>
    </row>
    <row r="110" spans="1:3" ht="25.8" x14ac:dyDescent="0.25">
      <c r="A110" s="1">
        <v>0.94000000000000006</v>
      </c>
      <c r="B110" s="1">
        <f t="shared" si="2"/>
        <v>0.52755631328083474</v>
      </c>
      <c r="C110" s="1">
        <f t="shared" si="3"/>
        <v>7.716394724661086</v>
      </c>
    </row>
    <row r="111" spans="1:3" ht="25.8" x14ac:dyDescent="0.25">
      <c r="A111" s="1">
        <v>0.95000000000000007</v>
      </c>
      <c r="B111" s="1">
        <f t="shared" si="2"/>
        <v>0.51573644316541056</v>
      </c>
      <c r="C111" s="1">
        <f t="shared" si="3"/>
        <v>7.7806243285573657</v>
      </c>
    </row>
    <row r="112" spans="1:3" ht="25.8" x14ac:dyDescent="0.25">
      <c r="A112" s="1">
        <v>0.96000000000000008</v>
      </c>
      <c r="B112" s="1">
        <f t="shared" si="2"/>
        <v>0.50413309049566557</v>
      </c>
      <c r="C112" s="1">
        <f t="shared" si="3"/>
        <v>7.8450079691628645</v>
      </c>
    </row>
    <row r="113" spans="1:3" ht="25.8" x14ac:dyDescent="0.25">
      <c r="A113" s="1">
        <v>0.97</v>
      </c>
      <c r="B113" s="1">
        <f t="shared" si="2"/>
        <v>0.49274349306114296</v>
      </c>
      <c r="C113" s="1">
        <f t="shared" si="3"/>
        <v>7.9095429356000579</v>
      </c>
    </row>
    <row r="114" spans="1:3" ht="25.8" x14ac:dyDescent="0.25">
      <c r="A114" s="1">
        <v>0.98</v>
      </c>
      <c r="B114" s="1">
        <f t="shared" si="2"/>
        <v>0.48156489669669611</v>
      </c>
      <c r="C114" s="1">
        <f t="shared" si="3"/>
        <v>7.9742265249945348</v>
      </c>
    </row>
    <row r="115" spans="1:3" ht="25.8" x14ac:dyDescent="0.25">
      <c r="A115" s="1">
        <v>0.99</v>
      </c>
      <c r="B115" s="1">
        <f t="shared" si="2"/>
        <v>0.47059455587675991</v>
      </c>
      <c r="C115" s="1">
        <f t="shared" si="3"/>
        <v>8.0390560430693796</v>
      </c>
    </row>
    <row r="116" spans="1:3" ht="25.8" x14ac:dyDescent="0.25">
      <c r="A116" s="1">
        <v>1</v>
      </c>
      <c r="B116" s="1">
        <f t="shared" si="2"/>
        <v>0.45982973429909002</v>
      </c>
      <c r="C116" s="1">
        <f t="shared" si="3"/>
        <v>8.1040288047288271</v>
      </c>
    </row>
  </sheetData>
  <mergeCells count="1">
    <mergeCell ref="E1:J8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02E53-1A52-4598-8E3E-385AD9333F49}">
  <sheetPr codeName="Sheet6"/>
  <dimension ref="A1:L386"/>
  <sheetViews>
    <sheetView zoomScale="55" zoomScaleNormal="55" workbookViewId="0">
      <selection activeCell="V20" sqref="V20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0.25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f>30/365</f>
        <v>8.2191780821917804E-2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  <c r="G13" s="3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2" t="s">
        <v>5</v>
      </c>
      <c r="B16" s="1" t="s">
        <v>0</v>
      </c>
      <c r="C16" s="1" t="s">
        <v>1</v>
      </c>
    </row>
    <row r="17" spans="1:3" ht="25.8" x14ac:dyDescent="0.25">
      <c r="A17" s="1">
        <f>10/365</f>
        <v>2.7397260273972601E-2</v>
      </c>
      <c r="B17" s="1">
        <f>BS_call($B$1,$B$2,$B$3,$B$4,A17,$B$6)</f>
        <v>1.6914434658640687</v>
      </c>
      <c r="C17" s="1">
        <f>BS_put($B$1,$B$2,$B$3,$B$4,A17,$B$6)</f>
        <v>1.6092854532341292</v>
      </c>
    </row>
    <row r="18" spans="1:3" ht="25.8" x14ac:dyDescent="0.25">
      <c r="A18" s="1">
        <v>8.1397260273972594E-2</v>
      </c>
      <c r="B18" s="1">
        <f t="shared" ref="B18:B81" si="0">BS_call($B$1,$B$2,$B$3,$B$4,A18,$B$6)</f>
        <v>2.9650152902454465</v>
      </c>
      <c r="C18" s="1">
        <f t="shared" ref="C18:C81" si="1">BS_put($B$1,$B$2,$B$3,$B$4,A18,$B$6)</f>
        <v>2.721121415016313</v>
      </c>
    </row>
    <row r="19" spans="1:3" ht="25.8" x14ac:dyDescent="0.25">
      <c r="A19" s="1">
        <v>0.13539726027397259</v>
      </c>
      <c r="B19" s="1">
        <f t="shared" si="0"/>
        <v>3.8674273364142877</v>
      </c>
      <c r="C19" s="1">
        <f t="shared" si="1"/>
        <v>3.4620593985681154</v>
      </c>
    </row>
    <row r="20" spans="1:3" ht="25.8" x14ac:dyDescent="0.25">
      <c r="A20" s="1">
        <v>0.18939726027397261</v>
      </c>
      <c r="B20" s="1">
        <f t="shared" si="0"/>
        <v>4.6152240651828222</v>
      </c>
      <c r="C20" s="1">
        <f t="shared" si="1"/>
        <v>4.0486434409291618</v>
      </c>
    </row>
    <row r="21" spans="1:3" ht="25.8" x14ac:dyDescent="0.25">
      <c r="A21" s="1">
        <v>0.2433972602739726</v>
      </c>
      <c r="B21" s="1">
        <f t="shared" si="0"/>
        <v>5.2718191713234219</v>
      </c>
      <c r="C21" s="1">
        <f t="shared" si="1"/>
        <v>4.5442868137851562</v>
      </c>
    </row>
    <row r="22" spans="1:3" ht="25.8" x14ac:dyDescent="0.25">
      <c r="A22" s="1">
        <v>0.29739726027397262</v>
      </c>
      <c r="B22" s="1">
        <f t="shared" si="0"/>
        <v>5.8663230021006072</v>
      </c>
      <c r="C22" s="1">
        <f t="shared" si="1"/>
        <v>4.9780994419988076</v>
      </c>
    </row>
    <row r="23" spans="1:3" ht="25.8" x14ac:dyDescent="0.25">
      <c r="A23" s="1">
        <v>0.35139726027397261</v>
      </c>
      <c r="B23" s="1">
        <f t="shared" si="0"/>
        <v>6.4149851189723108</v>
      </c>
      <c r="C23" s="1">
        <f t="shared" si="1"/>
        <v>5.366330465309936</v>
      </c>
    </row>
    <row r="24" spans="1:3" ht="25.8" x14ac:dyDescent="0.25">
      <c r="A24" s="1">
        <v>0.4053972602739726</v>
      </c>
      <c r="B24" s="1">
        <f t="shared" si="0"/>
        <v>6.9279750225221974</v>
      </c>
      <c r="C24" s="1">
        <f t="shared" si="1"/>
        <v>5.7191489632667469</v>
      </c>
    </row>
    <row r="25" spans="1:3" ht="25.8" x14ac:dyDescent="0.25">
      <c r="A25" s="1">
        <v>0.4593972602739726</v>
      </c>
      <c r="B25" s="1">
        <f t="shared" si="0"/>
        <v>7.4121594986243906</v>
      </c>
      <c r="C25" s="1">
        <f t="shared" si="1"/>
        <v>6.0434213013894862</v>
      </c>
    </row>
    <row r="26" spans="1:3" ht="25.8" x14ac:dyDescent="0.25">
      <c r="A26" s="1">
        <v>0.51339726027397259</v>
      </c>
      <c r="B26" s="1">
        <f t="shared" si="0"/>
        <v>7.8724345753556833</v>
      </c>
      <c r="C26" s="1">
        <f t="shared" si="1"/>
        <v>6.3440430880813992</v>
      </c>
    </row>
    <row r="27" spans="1:3" ht="25.8" x14ac:dyDescent="0.25">
      <c r="A27" s="1">
        <v>0.56739726027397264</v>
      </c>
      <c r="B27" s="1">
        <f t="shared" si="0"/>
        <v>8.3124372743035835</v>
      </c>
      <c r="C27" s="1">
        <f t="shared" si="1"/>
        <v>6.6246509259358319</v>
      </c>
    </row>
    <row r="28" spans="1:3" ht="25.8" x14ac:dyDescent="0.25">
      <c r="A28" s="1">
        <v>0.62139726027397257</v>
      </c>
      <c r="B28" s="1">
        <f t="shared" si="0"/>
        <v>8.7349573901268016</v>
      </c>
      <c r="C28" s="1">
        <f t="shared" si="1"/>
        <v>6.8880341912955103</v>
      </c>
    </row>
    <row r="29" spans="1:3" ht="25.8" x14ac:dyDescent="0.25">
      <c r="A29" s="1">
        <v>0.67539726027397262</v>
      </c>
      <c r="B29" s="1">
        <f t="shared" si="0"/>
        <v>9.1421907254424752</v>
      </c>
      <c r="C29" s="1">
        <f t="shared" si="1"/>
        <v>7.1363882691387204</v>
      </c>
    </row>
    <row r="30" spans="1:3" ht="25.8" x14ac:dyDescent="0.25">
      <c r="A30" s="1">
        <v>0.72939726027397256</v>
      </c>
      <c r="B30" s="1">
        <f t="shared" si="0"/>
        <v>9.5359025694300996</v>
      </c>
      <c r="C30" s="1">
        <f t="shared" si="1"/>
        <v>7.3714780316822015</v>
      </c>
    </row>
    <row r="31" spans="1:3" ht="25.8" x14ac:dyDescent="0.25">
      <c r="A31" s="1">
        <v>0.78339726027397261</v>
      </c>
      <c r="B31" s="1">
        <f t="shared" si="0"/>
        <v>9.9175374923089947</v>
      </c>
      <c r="C31" s="1">
        <f t="shared" si="1"/>
        <v>7.5947476328573202</v>
      </c>
    </row>
    <row r="32" spans="1:3" ht="25.8" x14ac:dyDescent="0.25">
      <c r="A32" s="1">
        <v>0.83739726027397254</v>
      </c>
      <c r="B32" s="1">
        <f t="shared" si="0"/>
        <v>10.288295551456791</v>
      </c>
      <c r="C32" s="1">
        <f t="shared" si="1"/>
        <v>7.8073967144276892</v>
      </c>
    </row>
    <row r="33" spans="1:3" ht="25.8" x14ac:dyDescent="0.25">
      <c r="A33" s="1">
        <v>0.89139726027397259</v>
      </c>
      <c r="B33" s="1">
        <f t="shared" si="0"/>
        <v>10.649186676391579</v>
      </c>
      <c r="C33" s="1">
        <f t="shared" si="1"/>
        <v>8.0104347909701161</v>
      </c>
    </row>
    <row r="34" spans="1:3" ht="25.8" x14ac:dyDescent="0.25">
      <c r="A34" s="1">
        <v>0.94539726027397264</v>
      </c>
      <c r="B34" s="1">
        <f t="shared" si="0"/>
        <v>11.001070417132865</v>
      </c>
      <c r="C34" s="1">
        <f t="shared" si="1"/>
        <v>8.2047209982344711</v>
      </c>
    </row>
    <row r="35" spans="1:3" ht="25.8" x14ac:dyDescent="0.25">
      <c r="A35" s="1">
        <v>0.99939726027397258</v>
      </c>
      <c r="B35" s="1">
        <f t="shared" si="0"/>
        <v>11.344685601499684</v>
      </c>
      <c r="C35" s="1">
        <f t="shared" si="1"/>
        <v>8.3909937504407708</v>
      </c>
    </row>
    <row r="36" spans="1:3" ht="25.8" x14ac:dyDescent="0.25">
      <c r="A36" s="1">
        <v>1.0533972602739725</v>
      </c>
      <c r="B36" s="1">
        <f t="shared" si="0"/>
        <v>11.68067286700483</v>
      </c>
      <c r="C36" s="1">
        <f t="shared" si="1"/>
        <v>8.5698932721721661</v>
      </c>
    </row>
    <row r="37" spans="1:3" ht="25.8" x14ac:dyDescent="0.25">
      <c r="A37" s="1">
        <v>1.1073972602739728</v>
      </c>
      <c r="B37" s="1">
        <f t="shared" si="0"/>
        <v>12.009592054779702</v>
      </c>
      <c r="C37" s="1">
        <f t="shared" si="1"/>
        <v>8.7419789922989324</v>
      </c>
    </row>
    <row r="38" spans="1:3" ht="25.8" x14ac:dyDescent="0.25">
      <c r="A38" s="1">
        <v>1.1613972602739726</v>
      </c>
      <c r="B38" s="1">
        <f t="shared" si="0"/>
        <v>12.331935829195878</v>
      </c>
      <c r="C38" s="1">
        <f t="shared" si="1"/>
        <v>8.9077431635988091</v>
      </c>
    </row>
    <row r="39" spans="1:3" ht="25.8" x14ac:dyDescent="0.25">
      <c r="A39" s="1">
        <v>1.2153972602739724</v>
      </c>
      <c r="B39" s="1">
        <f t="shared" si="0"/>
        <v>12.648140478640151</v>
      </c>
      <c r="C39" s="1">
        <f t="shared" si="1"/>
        <v>9.0676216635309927</v>
      </c>
    </row>
    <row r="40" spans="1:3" ht="25.8" x14ac:dyDescent="0.25">
      <c r="A40" s="1">
        <v>1.2693972602739727</v>
      </c>
      <c r="B40" s="1">
        <f t="shared" si="0"/>
        <v>12.958594579523265</v>
      </c>
      <c r="C40" s="1">
        <f t="shared" si="1"/>
        <v>9.2220026582437669</v>
      </c>
    </row>
    <row r="41" spans="1:3" ht="25.8" x14ac:dyDescent="0.25">
      <c r="A41" s="1">
        <v>1.3233972602739725</v>
      </c>
      <c r="B41" s="1">
        <f t="shared" si="0"/>
        <v>13.263646018699028</v>
      </c>
      <c r="C41" s="1">
        <f t="shared" si="1"/>
        <v>9.3712336249926054</v>
      </c>
    </row>
    <row r="42" spans="1:3" ht="25.8" x14ac:dyDescent="0.25">
      <c r="A42" s="1">
        <v>1.3773972602739728</v>
      </c>
      <c r="B42" s="1">
        <f t="shared" si="0"/>
        <v>13.563607739288287</v>
      </c>
      <c r="C42" s="1">
        <f t="shared" si="1"/>
        <v>9.5156270979630051</v>
      </c>
    </row>
    <row r="43" spans="1:3" ht="25.8" x14ac:dyDescent="0.25">
      <c r="A43" s="1">
        <v>1.4313972602739726</v>
      </c>
      <c r="B43" s="1">
        <f t="shared" si="0"/>
        <v>13.858762482685954</v>
      </c>
      <c r="C43" s="1">
        <f t="shared" si="1"/>
        <v>9.6554654102764985</v>
      </c>
    </row>
    <row r="44" spans="1:3" ht="25.8" x14ac:dyDescent="0.25">
      <c r="A44" s="1">
        <v>1.4853972602739725</v>
      </c>
      <c r="B44" s="1">
        <f t="shared" si="0"/>
        <v>14.14936673319751</v>
      </c>
      <c r="C44" s="1">
        <f t="shared" si="1"/>
        <v>9.7910046386260419</v>
      </c>
    </row>
    <row r="45" spans="1:3" ht="25.8" x14ac:dyDescent="0.25">
      <c r="A45" s="1">
        <v>1.5393972602739727</v>
      </c>
      <c r="B45" s="1">
        <f t="shared" si="0"/>
        <v>14.435654023364776</v>
      </c>
      <c r="C45" s="1">
        <f t="shared" si="1"/>
        <v>9.9224779086006976</v>
      </c>
    </row>
    <row r="46" spans="1:3" ht="25.8" x14ac:dyDescent="0.25">
      <c r="A46" s="1">
        <v>1.5933972602739725</v>
      </c>
      <c r="B46" s="1">
        <f t="shared" si="0"/>
        <v>14.717837722287534</v>
      </c>
      <c r="C46" s="1">
        <f t="shared" si="1"/>
        <v>10.050098183006249</v>
      </c>
    </row>
    <row r="47" spans="1:3" ht="25.8" x14ac:dyDescent="0.25">
      <c r="A47" s="1">
        <v>1.6473972602739724</v>
      </c>
      <c r="B47" s="1">
        <f t="shared" si="0"/>
        <v>14.996113402514816</v>
      </c>
      <c r="C47" s="1">
        <f t="shared" si="1"/>
        <v>10.174060628755392</v>
      </c>
    </row>
    <row r="48" spans="1:3" ht="25.8" x14ac:dyDescent="0.25">
      <c r="A48" s="1">
        <v>1.7013972602739726</v>
      </c>
      <c r="B48" s="1">
        <f t="shared" si="0"/>
        <v>15.270660860871082</v>
      </c>
      <c r="C48" s="1">
        <f t="shared" si="1"/>
        <v>10.294544637692859</v>
      </c>
    </row>
    <row r="49" spans="1:3" ht="25.8" x14ac:dyDescent="0.25">
      <c r="A49" s="1">
        <v>1.7553972602739725</v>
      </c>
      <c r="B49" s="1">
        <f t="shared" si="0"/>
        <v>15.541645853150101</v>
      </c>
      <c r="C49" s="1">
        <f t="shared" si="1"/>
        <v>10.41171556128819</v>
      </c>
    </row>
    <row r="50" spans="1:3" ht="25.8" x14ac:dyDescent="0.25">
      <c r="A50" s="1">
        <v>1.8093972602739727</v>
      </c>
      <c r="B50" s="1">
        <f t="shared" si="0"/>
        <v>15.809221590712973</v>
      </c>
      <c r="C50" s="1">
        <f t="shared" si="1"/>
        <v>10.525726207232779</v>
      </c>
    </row>
    <row r="51" spans="1:3" ht="25.8" x14ac:dyDescent="0.25">
      <c r="A51" s="1">
        <v>1.8633972602739726</v>
      </c>
      <c r="B51" s="1">
        <f t="shared" si="0"/>
        <v>16.073530037774795</v>
      </c>
      <c r="C51" s="1">
        <f t="shared" si="1"/>
        <v>10.636718136725392</v>
      </c>
    </row>
    <row r="52" spans="1:3" ht="25.8" x14ac:dyDescent="0.25">
      <c r="A52" s="1">
        <v>1.9173972602739724</v>
      </c>
      <c r="B52" s="1">
        <f t="shared" si="0"/>
        <v>16.334703040910142</v>
      </c>
      <c r="C52" s="1">
        <f t="shared" si="1"/>
        <v>10.744822793976638</v>
      </c>
    </row>
    <row r="53" spans="1:3" ht="25.8" x14ac:dyDescent="0.25">
      <c r="A53" s="1">
        <v>1.9713972602739727</v>
      </c>
      <c r="B53" s="1">
        <f t="shared" si="0"/>
        <v>16.592863316575077</v>
      </c>
      <c r="C53" s="1">
        <f t="shared" si="1"/>
        <v>10.850162493729968</v>
      </c>
    </row>
    <row r="54" spans="1:3" ht="25.8" x14ac:dyDescent="0.25">
      <c r="A54" s="1">
        <v>2.0253972602739725</v>
      </c>
      <c r="B54" s="1">
        <f t="shared" si="0"/>
        <v>16.848125317881639</v>
      </c>
      <c r="C54" s="1">
        <f t="shared" si="1"/>
        <v>10.952851288034957</v>
      </c>
    </row>
    <row r="55" spans="1:3" ht="25.8" x14ac:dyDescent="0.25">
      <c r="A55" s="1">
        <v>2.0793972602739728</v>
      </c>
      <c r="B55" s="1">
        <f t="shared" si="0"/>
        <v>17.10059599820454</v>
      </c>
      <c r="C55" s="1">
        <f t="shared" si="1"/>
        <v>11.052995729853151</v>
      </c>
    </row>
    <row r="56" spans="1:3" ht="25.8" x14ac:dyDescent="0.25">
      <c r="A56" s="1">
        <v>2.1333972602739726</v>
      </c>
      <c r="B56" s="1">
        <f t="shared" si="0"/>
        <v>17.350375486252503</v>
      </c>
      <c r="C56" s="1">
        <f t="shared" si="1"/>
        <v>11.150695548128176</v>
      </c>
    </row>
    <row r="57" spans="1:3" ht="25.8" x14ac:dyDescent="0.25">
      <c r="A57" s="1">
        <v>2.1873972602739729</v>
      </c>
      <c r="B57" s="1">
        <f t="shared" si="0"/>
        <v>17.597557684843927</v>
      </c>
      <c r="C57" s="1">
        <f t="shared" si="1"/>
        <v>11.246044246560473</v>
      </c>
    </row>
    <row r="58" spans="1:3" ht="25.8" x14ac:dyDescent="0.25">
      <c r="A58" s="1">
        <v>2.2413972602739727</v>
      </c>
      <c r="B58" s="1">
        <f t="shared" si="0"/>
        <v>17.842230803675498</v>
      </c>
      <c r="C58" s="1">
        <f t="shared" si="1"/>
        <v>11.339129636374793</v>
      </c>
    </row>
    <row r="59" spans="1:3" ht="25.8" x14ac:dyDescent="0.25">
      <c r="A59" s="1">
        <v>2.2953972602739725</v>
      </c>
      <c r="B59" s="1">
        <f t="shared" si="0"/>
        <v>18.084477834771292</v>
      </c>
      <c r="C59" s="1">
        <f t="shared" si="1"/>
        <v>11.430034311768324</v>
      </c>
    </row>
    <row r="60" spans="1:3" ht="25.8" x14ac:dyDescent="0.25">
      <c r="A60" s="1">
        <v>2.3493972602739728</v>
      </c>
      <c r="B60" s="1">
        <f t="shared" si="0"/>
        <v>18.32437697797927</v>
      </c>
      <c r="C60" s="1">
        <f t="shared" si="1"/>
        <v>11.518836075406014</v>
      </c>
    </row>
    <row r="61" spans="1:3" ht="25.8" x14ac:dyDescent="0.25">
      <c r="A61" s="1">
        <v>2.4033972602739726</v>
      </c>
      <c r="B61" s="1">
        <f t="shared" si="0"/>
        <v>18.562002022788249</v>
      </c>
      <c r="C61" s="1">
        <f t="shared" si="1"/>
        <v>11.605608320236655</v>
      </c>
    </row>
    <row r="62" spans="1:3" ht="25.8" x14ac:dyDescent="0.25">
      <c r="A62" s="1">
        <v>2.4573972602739729</v>
      </c>
      <c r="B62" s="1">
        <f t="shared" si="0"/>
        <v>18.797422691828295</v>
      </c>
      <c r="C62" s="1">
        <f t="shared" si="1"/>
        <v>11.690420372992115</v>
      </c>
    </row>
    <row r="63" spans="1:3" ht="25.8" x14ac:dyDescent="0.25">
      <c r="A63" s="1">
        <v>2.5113972602739727</v>
      </c>
      <c r="B63" s="1">
        <f t="shared" si="0"/>
        <v>19.030704950655078</v>
      </c>
      <c r="C63" s="1">
        <f t="shared" si="1"/>
        <v>11.773337803970776</v>
      </c>
    </row>
    <row r="64" spans="1:3" ht="25.8" x14ac:dyDescent="0.25">
      <c r="A64" s="1">
        <v>2.5653972602739725</v>
      </c>
      <c r="B64" s="1">
        <f t="shared" si="0"/>
        <v>19.261911287780372</v>
      </c>
      <c r="C64" s="1">
        <f t="shared" si="1"/>
        <v>11.854422707066803</v>
      </c>
    </row>
    <row r="65" spans="1:3" ht="25.8" x14ac:dyDescent="0.25">
      <c r="A65" s="1">
        <v>2.6193972602739728</v>
      </c>
      <c r="B65" s="1">
        <f t="shared" si="0"/>
        <v>19.491100968371406</v>
      </c>
      <c r="C65" s="1">
        <f t="shared" si="1"/>
        <v>11.933733953468689</v>
      </c>
    </row>
    <row r="66" spans="1:3" ht="25.8" x14ac:dyDescent="0.25">
      <c r="A66" s="1">
        <v>2.6733972602739726</v>
      </c>
      <c r="B66" s="1">
        <f t="shared" si="0"/>
        <v>19.71833026458588</v>
      </c>
      <c r="C66" s="1">
        <f t="shared" si="1"/>
        <v>12.011327421993094</v>
      </c>
    </row>
    <row r="67" spans="1:3" ht="25.8" x14ac:dyDescent="0.25">
      <c r="A67" s="1">
        <v>2.7273972602739729</v>
      </c>
      <c r="B67" s="1">
        <f t="shared" si="0"/>
        <v>19.943652665122336</v>
      </c>
      <c r="C67" s="1">
        <f t="shared" si="1"/>
        <v>12.087256208634201</v>
      </c>
    </row>
    <row r="68" spans="1:3" ht="25.8" x14ac:dyDescent="0.25">
      <c r="A68" s="1">
        <v>2.7813972602739727</v>
      </c>
      <c r="B68" s="1">
        <f t="shared" si="0"/>
        <v>20.167119066234989</v>
      </c>
      <c r="C68" s="1">
        <f t="shared" si="1"/>
        <v>12.161570817577505</v>
      </c>
    </row>
    <row r="69" spans="1:3" ht="25.8" x14ac:dyDescent="0.25">
      <c r="A69" s="1">
        <v>2.8353972602739725</v>
      </c>
      <c r="B69" s="1">
        <f t="shared" si="0"/>
        <v>20.388777946180277</v>
      </c>
      <c r="C69" s="1">
        <f t="shared" si="1"/>
        <v>12.234319335645431</v>
      </c>
    </row>
    <row r="70" spans="1:3" ht="25.8" x14ac:dyDescent="0.25">
      <c r="A70" s="1">
        <v>2.8893972602739728</v>
      </c>
      <c r="B70" s="1">
        <f t="shared" si="0"/>
        <v>20.608675524820192</v>
      </c>
      <c r="C70" s="1">
        <f t="shared" si="1"/>
        <v>12.305547591899533</v>
      </c>
    </row>
    <row r="71" spans="1:3" ht="25.8" x14ac:dyDescent="0.25">
      <c r="A71" s="1">
        <v>2.9433972602739726</v>
      </c>
      <c r="B71" s="1">
        <f t="shared" si="0"/>
        <v>20.826855909898718</v>
      </c>
      <c r="C71" s="1">
        <f t="shared" si="1"/>
        <v>12.375299303915916</v>
      </c>
    </row>
    <row r="72" spans="1:3" ht="25.8" x14ac:dyDescent="0.25">
      <c r="A72" s="1">
        <v>2.9973972602739725</v>
      </c>
      <c r="B72" s="1">
        <f t="shared" si="0"/>
        <v>21.043361231327964</v>
      </c>
      <c r="C72" s="1">
        <f t="shared" si="1"/>
        <v>12.443616212070424</v>
      </c>
    </row>
    <row r="73" spans="1:3" ht="25.8" x14ac:dyDescent="0.25">
      <c r="A73" s="1">
        <v>3.0513972602739727</v>
      </c>
      <c r="B73" s="1">
        <f t="shared" si="0"/>
        <v>21.25823176466541</v>
      </c>
      <c r="C73" s="1">
        <f t="shared" si="1"/>
        <v>12.510538203014725</v>
      </c>
    </row>
    <row r="74" spans="1:3" ht="25.8" x14ac:dyDescent="0.25">
      <c r="A74" s="1">
        <v>3.1053972602739726</v>
      </c>
      <c r="B74" s="1">
        <f t="shared" si="0"/>
        <v>21.471506044827443</v>
      </c>
      <c r="C74" s="1">
        <f t="shared" si="1"/>
        <v>12.57610342338905</v>
      </c>
    </row>
    <row r="75" spans="1:3" ht="25.8" x14ac:dyDescent="0.25">
      <c r="A75" s="1">
        <v>3.1593972602739728</v>
      </c>
      <c r="B75" s="1">
        <f t="shared" si="0"/>
        <v>21.683220970968101</v>
      </c>
      <c r="C75" s="1">
        <f t="shared" si="1"/>
        <v>12.640348384699607</v>
      </c>
    </row>
    <row r="76" spans="1:3" ht="25.8" x14ac:dyDescent="0.25">
      <c r="A76" s="1">
        <v>3.2133972602739727</v>
      </c>
      <c r="B76" s="1">
        <f t="shared" si="0"/>
        <v>21.893411903348145</v>
      </c>
      <c r="C76" s="1">
        <f t="shared" si="1"/>
        <v>12.70330806018697</v>
      </c>
    </row>
    <row r="77" spans="1:3" ht="25.8" x14ac:dyDescent="0.25">
      <c r="A77" s="1">
        <v>3.2673972602739725</v>
      </c>
      <c r="B77" s="1">
        <f t="shared" si="0"/>
        <v>22.102112752930879</v>
      </c>
      <c r="C77" s="1">
        <f t="shared" si="1"/>
        <v>12.765015974420621</v>
      </c>
    </row>
    <row r="78" spans="1:3" ht="25.8" x14ac:dyDescent="0.25">
      <c r="A78" s="1">
        <v>3.3213972602739728</v>
      </c>
      <c r="B78" s="1">
        <f t="shared" si="0"/>
        <v>22.309356064361545</v>
      </c>
      <c r="C78" s="1">
        <f t="shared" si="1"/>
        <v>12.825504286277443</v>
      </c>
    </row>
    <row r="79" spans="1:3" ht="25.8" x14ac:dyDescent="0.25">
      <c r="A79" s="1">
        <v>3.3753972602739726</v>
      </c>
      <c r="B79" s="1">
        <f t="shared" si="0"/>
        <v>22.515173092918964</v>
      </c>
      <c r="C79" s="1">
        <f t="shared" si="1"/>
        <v>12.88480386589238</v>
      </c>
    </row>
    <row r="80" spans="1:3" ht="25.8" x14ac:dyDescent="0.25">
      <c r="A80" s="1">
        <v>3.4293972602739728</v>
      </c>
      <c r="B80" s="1">
        <f t="shared" si="0"/>
        <v>22.719593875966311</v>
      </c>
      <c r="C80" s="1">
        <f t="shared" si="1"/>
        <v>12.942944366108087</v>
      </c>
    </row>
    <row r="81" spans="1:3" ht="25.8" x14ac:dyDescent="0.25">
      <c r="A81" s="1">
        <v>3.4833972602739727</v>
      </c>
      <c r="B81" s="1">
        <f t="shared" si="0"/>
        <v>22.922647299374987</v>
      </c>
      <c r="C81" s="1">
        <f t="shared" si="1"/>
        <v>12.999954288897953</v>
      </c>
    </row>
    <row r="82" spans="1:3" ht="25.8" x14ac:dyDescent="0.25">
      <c r="A82" s="1">
        <v>3.5373972602739725</v>
      </c>
      <c r="B82" s="1">
        <f t="shared" ref="B82:B115" si="2">BS_call($B$1,$B$2,$B$3,$B$4,A82,$B$6)</f>
        <v>23.124361159347586</v>
      </c>
      <c r="C82" s="1">
        <f t="shared" ref="C82:C115" si="3">BS_put($B$1,$B$2,$B$3,$B$4,A82,$B$6)</f>
        <v>13.055861047187889</v>
      </c>
    </row>
    <row r="83" spans="1:3" ht="25.8" x14ac:dyDescent="0.25">
      <c r="A83" s="1">
        <v>3.5913972602739728</v>
      </c>
      <c r="B83" s="1">
        <f t="shared" si="2"/>
        <v>23.32476222002412</v>
      </c>
      <c r="C83" s="1">
        <f t="shared" si="3"/>
        <v>13.110691022461708</v>
      </c>
    </row>
    <row r="84" spans="1:3" ht="25.8" x14ac:dyDescent="0.25">
      <c r="A84" s="1">
        <v>3.6453972602739726</v>
      </c>
      <c r="B84" s="1">
        <f t="shared" si="2"/>
        <v>23.523876267218064</v>
      </c>
      <c r="C84" s="1">
        <f t="shared" si="3"/>
        <v>13.164469618496</v>
      </c>
    </row>
    <row r="85" spans="1:3" ht="25.8" x14ac:dyDescent="0.25">
      <c r="A85" s="1">
        <v>3.6993972602739729</v>
      </c>
      <c r="B85" s="1">
        <f t="shared" si="2"/>
        <v>23.721728158596008</v>
      </c>
      <c r="C85" s="1">
        <f t="shared" si="3"/>
        <v>13.217221311538914</v>
      </c>
    </row>
    <row r="86" spans="1:3" ht="25.8" x14ac:dyDescent="0.25">
      <c r="A86" s="1">
        <v>3.7533972602739727</v>
      </c>
      <c r="B86" s="1">
        <f t="shared" si="2"/>
        <v>23.918341870584385</v>
      </c>
      <c r="C86" s="1">
        <f t="shared" si="3"/>
        <v>13.268969697215891</v>
      </c>
    </row>
    <row r="87" spans="1:3" ht="25.8" x14ac:dyDescent="0.25">
      <c r="A87" s="1">
        <v>3.8073972602739725</v>
      </c>
      <c r="B87" s="1">
        <f t="shared" si="2"/>
        <v>24.113740542261461</v>
      </c>
      <c r="C87" s="1">
        <f t="shared" si="3"/>
        <v>13.319737534420526</v>
      </c>
    </row>
    <row r="88" spans="1:3" ht="25.8" x14ac:dyDescent="0.25">
      <c r="A88" s="1">
        <v>3.8613972602739728</v>
      </c>
      <c r="B88" s="1">
        <f t="shared" si="2"/>
        <v>24.307946516467652</v>
      </c>
      <c r="C88" s="1">
        <f t="shared" si="3"/>
        <v>13.36954678642396</v>
      </c>
    </row>
    <row r="89" spans="1:3" ht="25.8" x14ac:dyDescent="0.25">
      <c r="A89" s="1">
        <v>3.9153972602739726</v>
      </c>
      <c r="B89" s="1">
        <f t="shared" si="2"/>
        <v>24.500981378347404</v>
      </c>
      <c r="C89" s="1">
        <f t="shared" si="3"/>
        <v>13.418418659415813</v>
      </c>
    </row>
    <row r="90" spans="1:3" ht="25.8" x14ac:dyDescent="0.25">
      <c r="A90" s="1">
        <v>3.9693972602739729</v>
      </c>
      <c r="B90" s="1">
        <f t="shared" si="2"/>
        <v>24.692865991516264</v>
      </c>
      <c r="C90" s="1">
        <f t="shared" si="3"/>
        <v>13.466373638670245</v>
      </c>
    </row>
    <row r="91" spans="1:3" ht="25.8" x14ac:dyDescent="0.25">
      <c r="A91" s="1">
        <v>4.0233972602739723</v>
      </c>
      <c r="B91" s="1">
        <f t="shared" si="2"/>
        <v>24.88362053202983</v>
      </c>
      <c r="C91" s="1">
        <f t="shared" si="3"/>
        <v>13.51343152251377</v>
      </c>
    </row>
    <row r="92" spans="1:3" ht="25.8" x14ac:dyDescent="0.25">
      <c r="A92" s="1">
        <v>4.0773972602739725</v>
      </c>
      <c r="B92" s="1">
        <f t="shared" si="2"/>
        <v>25.073264520315703</v>
      </c>
      <c r="C92" s="1">
        <f t="shared" si="3"/>
        <v>13.559611454256451</v>
      </c>
    </row>
    <row r="93" spans="1:3" ht="25.8" x14ac:dyDescent="0.25">
      <c r="A93" s="1">
        <v>4.1313972602739728</v>
      </c>
      <c r="B93" s="1">
        <f t="shared" si="2"/>
        <v>25.261816851216381</v>
      </c>
      <c r="C93" s="1">
        <f t="shared" si="3"/>
        <v>13.604931952233606</v>
      </c>
    </row>
    <row r="94" spans="1:3" ht="25.8" x14ac:dyDescent="0.25">
      <c r="A94" s="1">
        <v>4.1853972602739731</v>
      </c>
      <c r="B94" s="1">
        <f t="shared" si="2"/>
        <v>25.449295822277847</v>
      </c>
      <c r="C94" s="1">
        <f t="shared" si="3"/>
        <v>13.649410938093546</v>
      </c>
    </row>
    <row r="95" spans="1:3" ht="25.8" x14ac:dyDescent="0.25">
      <c r="A95" s="1">
        <v>4.2393972602739725</v>
      </c>
      <c r="B95" s="1">
        <f t="shared" si="2"/>
        <v>25.63571916040766</v>
      </c>
      <c r="C95" s="1">
        <f t="shared" si="3"/>
        <v>13.693065763454541</v>
      </c>
    </row>
    <row r="96" spans="1:3" ht="25.8" x14ac:dyDescent="0.25">
      <c r="A96" s="1">
        <v>4.2933972602739727</v>
      </c>
      <c r="B96" s="1">
        <f t="shared" si="2"/>
        <v>25.821104047016199</v>
      </c>
      <c r="C96" s="1">
        <f t="shared" si="3"/>
        <v>13.735913235045238</v>
      </c>
    </row>
    <row r="97" spans="1:3" ht="25.8" x14ac:dyDescent="0.25">
      <c r="A97" s="1">
        <v>4.347397260273973</v>
      </c>
      <c r="B97" s="1">
        <f t="shared" si="2"/>
        <v>26.005467141745463</v>
      </c>
      <c r="C97" s="1">
        <f t="shared" si="3"/>
        <v>13.777969638432342</v>
      </c>
    </row>
    <row r="98" spans="1:3" ht="25.8" x14ac:dyDescent="0.25">
      <c r="A98" s="1">
        <v>4.4013972602739724</v>
      </c>
      <c r="B98" s="1">
        <f t="shared" si="2"/>
        <v>26.188824604881148</v>
      </c>
      <c r="C98" s="1">
        <f t="shared" si="3"/>
        <v>13.819250760431817</v>
      </c>
    </row>
    <row r="99" spans="1:3" ht="25.8" x14ac:dyDescent="0.25">
      <c r="A99" s="1">
        <v>4.4553972602739726</v>
      </c>
      <c r="B99" s="1">
        <f t="shared" si="2"/>
        <v>26.371192118536726</v>
      </c>
      <c r="C99" s="1">
        <f t="shared" si="3"/>
        <v>13.859771910291865</v>
      </c>
    </row>
    <row r="100" spans="1:3" ht="25.8" x14ac:dyDescent="0.25">
      <c r="A100" s="1">
        <v>4.5093972602739729</v>
      </c>
      <c r="B100" s="1">
        <f t="shared" si="2"/>
        <v>26.552584906690328</v>
      </c>
      <c r="C100" s="1">
        <f t="shared" si="3"/>
        <v>13.899547939728983</v>
      </c>
    </row>
    <row r="101" spans="1:3" ht="25.8" x14ac:dyDescent="0.25">
      <c r="A101" s="1">
        <v>4.5633972602739723</v>
      </c>
      <c r="B101" s="1">
        <f t="shared" si="2"/>
        <v>26.733017754150438</v>
      </c>
      <c r="C101" s="1">
        <f t="shared" si="3"/>
        <v>13.938593261892507</v>
      </c>
    </row>
    <row r="102" spans="1:3" ht="25.8" x14ac:dyDescent="0.25">
      <c r="A102" s="1">
        <v>4.6173972602739726</v>
      </c>
      <c r="B102" s="1">
        <f t="shared" si="2"/>
        <v>26.912505024518616</v>
      </c>
      <c r="C102" s="1">
        <f t="shared" si="3"/>
        <v>13.976921869326528</v>
      </c>
    </row>
    <row r="103" spans="1:3" ht="25.8" x14ac:dyDescent="0.25">
      <c r="A103" s="1">
        <v>4.6713972602739728</v>
      </c>
      <c r="B103" s="1">
        <f t="shared" si="2"/>
        <v>27.09106067721455</v>
      </c>
      <c r="C103" s="1">
        <f t="shared" si="3"/>
        <v>14.014547350993812</v>
      </c>
    </row>
    <row r="104" spans="1:3" ht="25.8" x14ac:dyDescent="0.25">
      <c r="A104" s="1">
        <v>4.7253972602739722</v>
      </c>
      <c r="B104" s="1">
        <f t="shared" si="2"/>
        <v>27.268698283621745</v>
      </c>
      <c r="C104" s="1">
        <f t="shared" si="3"/>
        <v>14.051482908420713</v>
      </c>
    </row>
    <row r="105" spans="1:3" ht="25.8" x14ac:dyDescent="0.25">
      <c r="A105" s="1">
        <v>4.7793972602739725</v>
      </c>
      <c r="B105" s="1">
        <f t="shared" si="2"/>
        <v>27.44543104240946</v>
      </c>
      <c r="C105" s="1">
        <f t="shared" si="3"/>
        <v>14.087741371017898</v>
      </c>
    </row>
    <row r="106" spans="1:3" ht="25.8" x14ac:dyDescent="0.25">
      <c r="A106" s="1">
        <v>4.8333972602739728</v>
      </c>
      <c r="B106" s="1">
        <f t="shared" si="2"/>
        <v>27.621271794081437</v>
      </c>
      <c r="C106" s="1">
        <f t="shared" si="3"/>
        <v>14.123335210628301</v>
      </c>
    </row>
    <row r="107" spans="1:3" ht="25.8" x14ac:dyDescent="0.25">
      <c r="A107" s="1">
        <v>4.887397260273973</v>
      </c>
      <c r="B107" s="1">
        <f t="shared" si="2"/>
        <v>27.796233034798824</v>
      </c>
      <c r="C107" s="1">
        <f t="shared" si="3"/>
        <v>14.158276555348991</v>
      </c>
    </row>
    <row r="108" spans="1:3" ht="25.8" x14ac:dyDescent="0.25">
      <c r="A108" s="1">
        <v>4.9413972602739724</v>
      </c>
      <c r="B108" s="1">
        <f t="shared" si="2"/>
        <v>27.97032692952105</v>
      </c>
      <c r="C108" s="1">
        <f t="shared" si="3"/>
        <v>14.192577202671099</v>
      </c>
    </row>
    <row r="109" spans="1:3" ht="25.8" x14ac:dyDescent="0.25">
      <c r="A109" s="1">
        <v>4.9953972602739727</v>
      </c>
      <c r="B109" s="1">
        <f t="shared" si="2"/>
        <v>28.143565324505488</v>
      </c>
      <c r="C109" s="1">
        <f t="shared" si="3"/>
        <v>14.226248631978528</v>
      </c>
    </row>
    <row r="110" spans="1:3" ht="25.8" x14ac:dyDescent="0.25">
      <c r="A110" s="1">
        <v>5.049397260273973</v>
      </c>
      <c r="B110" s="1">
        <f t="shared" si="2"/>
        <v>28.315959759203842</v>
      </c>
      <c r="C110" s="1">
        <f t="shared" si="3"/>
        <v>14.259302016443339</v>
      </c>
    </row>
    <row r="111" spans="1:3" ht="25.8" x14ac:dyDescent="0.25">
      <c r="A111" s="1">
        <v>5.1033972602739723</v>
      </c>
      <c r="B111" s="1">
        <f t="shared" si="2"/>
        <v>28.487521477590313</v>
      </c>
      <c r="C111" s="1">
        <f t="shared" si="3"/>
        <v>14.291748234353026</v>
      </c>
    </row>
    <row r="112" spans="1:3" ht="25.8" x14ac:dyDescent="0.25">
      <c r="A112" s="1">
        <v>5.1573972602739726</v>
      </c>
      <c r="B112" s="1">
        <f t="shared" si="2"/>
        <v>28.658261438954845</v>
      </c>
      <c r="C112" s="1">
        <f t="shared" si="3"/>
        <v>14.323597879902721</v>
      </c>
    </row>
    <row r="113" spans="1:3" ht="25.8" x14ac:dyDescent="0.25">
      <c r="A113" s="1">
        <v>5.2113972602739729</v>
      </c>
      <c r="B113" s="1">
        <f t="shared" si="2"/>
        <v>28.828190328191525</v>
      </c>
      <c r="C113" s="1">
        <f t="shared" si="3"/>
        <v>14.354861273482701</v>
      </c>
    </row>
    <row r="114" spans="1:3" ht="25.8" x14ac:dyDescent="0.25">
      <c r="A114" s="1">
        <v>5.2653972602739723</v>
      </c>
      <c r="B114" s="1">
        <f t="shared" si="2"/>
        <v>28.997318565611316</v>
      </c>
      <c r="C114" s="1">
        <f t="shared" si="3"/>
        <v>14.385548471490079</v>
      </c>
    </row>
    <row r="115" spans="1:3" ht="25.8" x14ac:dyDescent="0.25">
      <c r="A115" s="1">
        <v>5.3193972602739725</v>
      </c>
      <c r="B115" s="1">
        <f t="shared" si="2"/>
        <v>29.165656316305281</v>
      </c>
      <c r="C115" s="1">
        <f t="shared" si="3"/>
        <v>14.415669275691233</v>
      </c>
    </row>
    <row r="116" spans="1:3" ht="25.8" x14ac:dyDescent="0.25">
      <c r="A116" s="1">
        <v>5.3733972602739728</v>
      </c>
      <c r="B116" s="1">
        <f t="shared" ref="B116:B126" si="4">BS_call($B$1,$B$2,$B$3,$B$4,A116,$B$6)</f>
        <v>29.333213499083719</v>
      </c>
      <c r="C116" s="1">
        <f t="shared" ref="C116:C126" si="5">BS_put($B$1,$B$2,$B$3,$B$4,A116,$B$6)</f>
        <v>14.445233242159791</v>
      </c>
    </row>
    <row r="117" spans="1:3" ht="25.8" x14ac:dyDescent="0.25">
      <c r="A117" s="1">
        <v>5.4273972602739731</v>
      </c>
      <c r="B117" s="1">
        <f t="shared" si="4"/>
        <v>29.499999795014133</v>
      </c>
      <c r="C117" s="1">
        <f t="shared" si="5"/>
        <v>14.474249689813782</v>
      </c>
    </row>
    <row r="118" spans="1:3" ht="25.8" x14ac:dyDescent="0.25">
      <c r="A118" s="1">
        <v>5.4813972602739724</v>
      </c>
      <c r="B118" s="1">
        <f t="shared" si="4"/>
        <v>29.666024655580038</v>
      </c>
      <c r="C118" s="1">
        <f t="shared" si="5"/>
        <v>14.502727708573488</v>
      </c>
    </row>
    <row r="119" spans="1:3" ht="25.8" x14ac:dyDescent="0.25">
      <c r="A119" s="1">
        <v>5.5353972602739727</v>
      </c>
      <c r="B119" s="1">
        <f t="shared" si="4"/>
        <v>29.831297310481077</v>
      </c>
      <c r="C119" s="1">
        <f t="shared" si="5"/>
        <v>14.530676167160468</v>
      </c>
    </row>
    <row r="120" spans="1:3" ht="25.8" x14ac:dyDescent="0.25">
      <c r="A120" s="1">
        <v>5.589397260273973</v>
      </c>
      <c r="B120" s="1">
        <f t="shared" si="4"/>
        <v>29.995826775093377</v>
      </c>
      <c r="C120" s="1">
        <f t="shared" si="5"/>
        <v>14.558103720557227</v>
      </c>
    </row>
    <row r="121" spans="1:3" ht="25.8" x14ac:dyDescent="0.25">
      <c r="A121" s="1">
        <v>5.6433972602739724</v>
      </c>
      <c r="B121" s="1">
        <f t="shared" si="4"/>
        <v>30.159621857608421</v>
      </c>
      <c r="C121" s="1">
        <f t="shared" si="5"/>
        <v>14.585018817144899</v>
      </c>
    </row>
    <row r="122" spans="1:3" ht="25.8" x14ac:dyDescent="0.25">
      <c r="A122" s="1">
        <v>5.6973972602739726</v>
      </c>
      <c r="B122" s="1">
        <f t="shared" si="4"/>
        <v>30.322691165866907</v>
      </c>
      <c r="C122" s="1">
        <f t="shared" si="5"/>
        <v>14.611429705536214</v>
      </c>
    </row>
    <row r="123" spans="1:3" ht="25.8" x14ac:dyDescent="0.25">
      <c r="A123" s="1">
        <v>5.7513972602739729</v>
      </c>
      <c r="B123" s="1">
        <f t="shared" si="4"/>
        <v>30.485043113903465</v>
      </c>
      <c r="C123" s="1">
        <f t="shared" si="5"/>
        <v>14.637344441119414</v>
      </c>
    </row>
    <row r="124" spans="1:3" ht="25.8" x14ac:dyDescent="0.25">
      <c r="A124" s="1">
        <v>5.8053972602739723</v>
      </c>
      <c r="B124" s="1">
        <f t="shared" si="4"/>
        <v>30.646685928217479</v>
      </c>
      <c r="C124" s="1">
        <f t="shared" si="5"/>
        <v>14.662770892327963</v>
      </c>
    </row>
    <row r="125" spans="1:3" ht="25.8" x14ac:dyDescent="0.25">
      <c r="A125" s="1">
        <v>5.8593972602739726</v>
      </c>
      <c r="B125" s="1">
        <f t="shared" si="4"/>
        <v>30.807627653783314</v>
      </c>
      <c r="C125" s="1">
        <f t="shared" si="5"/>
        <v>14.687716746649944</v>
      </c>
    </row>
    <row r="126" spans="1:3" ht="25.8" x14ac:dyDescent="0.25">
      <c r="A126" s="1">
        <v>5.9133972602739728</v>
      </c>
      <c r="B126" s="1">
        <f t="shared" si="4"/>
        <v>30.967876159813521</v>
      </c>
      <c r="C126" s="1">
        <f t="shared" si="5"/>
        <v>14.712189516390239</v>
      </c>
    </row>
    <row r="127" spans="1:3" ht="25.8" x14ac:dyDescent="0.25">
      <c r="A127" s="1">
        <v>5.9673972602739722</v>
      </c>
      <c r="B127" s="1">
        <f t="shared" ref="B127:B190" si="6">BS_call($B$1,$B$2,$B$3,$B$4,A127,$B$6)</f>
        <v>31.127439145287191</v>
      </c>
      <c r="C127" s="1">
        <f t="shared" ref="C127:C190" si="7">BS_put($B$1,$B$2,$B$3,$B$4,A127,$B$6)</f>
        <v>14.736196544198073</v>
      </c>
    </row>
    <row r="128" spans="1:3" ht="25.8" x14ac:dyDescent="0.25">
      <c r="A128" s="1">
        <v>6.0213972602739725</v>
      </c>
      <c r="B128" s="1">
        <f t="shared" si="6"/>
        <v>31.28632414425519</v>
      </c>
      <c r="C128" s="1">
        <f t="shared" si="7"/>
        <v>14.75974500837113</v>
      </c>
    </row>
    <row r="129" spans="1:3" ht="25.8" x14ac:dyDescent="0.25">
      <c r="A129" s="1">
        <v>6.0753972602739728</v>
      </c>
      <c r="B129" s="1">
        <f t="shared" si="6"/>
        <v>31.444538530933038</v>
      </c>
      <c r="C129" s="1">
        <f t="shared" si="7"/>
        <v>14.782841927947612</v>
      </c>
    </row>
    <row r="130" spans="1:3" ht="25.8" x14ac:dyDescent="0.25">
      <c r="A130" s="1">
        <v>6.129397260273973</v>
      </c>
      <c r="B130" s="1">
        <f t="shared" si="6"/>
        <v>31.60208952459174</v>
      </c>
      <c r="C130" s="1">
        <f t="shared" si="7"/>
        <v>14.805494167596272</v>
      </c>
    </row>
    <row r="131" spans="1:3" ht="25.8" x14ac:dyDescent="0.25">
      <c r="A131" s="1">
        <v>6.1833972602739724</v>
      </c>
      <c r="B131" s="1">
        <f t="shared" si="6"/>
        <v>31.758984194256726</v>
      </c>
      <c r="C131" s="1">
        <f t="shared" si="7"/>
        <v>14.827708442314108</v>
      </c>
    </row>
    <row r="132" spans="1:3" ht="25.8" x14ac:dyDescent="0.25">
      <c r="A132" s="1">
        <v>6.2373972602739727</v>
      </c>
      <c r="B132" s="1">
        <f t="shared" si="6"/>
        <v>31.915229463223447</v>
      </c>
      <c r="C132" s="1">
        <f t="shared" si="7"/>
        <v>14.849491321941255</v>
      </c>
    </row>
    <row r="133" spans="1:3" ht="25.8" x14ac:dyDescent="0.25">
      <c r="A133" s="1">
        <v>6.2913972602739729</v>
      </c>
      <c r="B133" s="1">
        <f t="shared" si="6"/>
        <v>32.070832113398659</v>
      </c>
      <c r="C133" s="1">
        <f t="shared" si="7"/>
        <v>14.870849235501314</v>
      </c>
    </row>
    <row r="134" spans="1:3" ht="25.8" x14ac:dyDescent="0.25">
      <c r="A134" s="1">
        <v>6.3453972602739723</v>
      </c>
      <c r="B134" s="1">
        <f t="shared" si="6"/>
        <v>32.225798789475547</v>
      </c>
      <c r="C134" s="1">
        <f t="shared" si="7"/>
        <v>14.891788475375527</v>
      </c>
    </row>
    <row r="135" spans="1:3" ht="25.8" x14ac:dyDescent="0.25">
      <c r="A135" s="1">
        <v>6.3993972602739726</v>
      </c>
      <c r="B135" s="1">
        <f t="shared" si="6"/>
        <v>32.380136002950415</v>
      </c>
      <c r="C135" s="1">
        <f t="shared" si="7"/>
        <v>14.91231520131851</v>
      </c>
    </row>
    <row r="136" spans="1:3" ht="25.8" x14ac:dyDescent="0.25">
      <c r="A136" s="1">
        <v>6.4533972602739729</v>
      </c>
      <c r="B136" s="1">
        <f t="shared" si="6"/>
        <v>32.533850135988217</v>
      </c>
      <c r="C136" s="1">
        <f t="shared" si="7"/>
        <v>14.932435444322845</v>
      </c>
    </row>
    <row r="137" spans="1:3" ht="25.8" x14ac:dyDescent="0.25">
      <c r="A137" s="1">
        <v>6.5073972602739723</v>
      </c>
      <c r="B137" s="1">
        <f t="shared" si="6"/>
        <v>32.68694744514363</v>
      </c>
      <c r="C137" s="1">
        <f t="shared" si="7"/>
        <v>14.952155110339387</v>
      </c>
    </row>
    <row r="138" spans="1:3" ht="25.8" x14ac:dyDescent="0.25">
      <c r="A138" s="1">
        <v>6.5613972602739725</v>
      </c>
      <c r="B138" s="1">
        <f t="shared" si="6"/>
        <v>32.839434064944733</v>
      </c>
      <c r="C138" s="1">
        <f t="shared" si="7"/>
        <v>14.971479983859837</v>
      </c>
    </row>
    <row r="139" spans="1:3" ht="25.8" x14ac:dyDescent="0.25">
      <c r="A139" s="1">
        <v>6.6153972602739728</v>
      </c>
      <c r="B139" s="1">
        <f t="shared" si="6"/>
        <v>32.991316011345006</v>
      </c>
      <c r="C139" s="1">
        <f t="shared" si="7"/>
        <v>14.9904157313679</v>
      </c>
    </row>
    <row r="140" spans="1:3" ht="25.8" x14ac:dyDescent="0.25">
      <c r="A140" s="1">
        <v>6.6693972602739731</v>
      </c>
      <c r="B140" s="1">
        <f t="shared" si="6"/>
        <v>33.142599185049683</v>
      </c>
      <c r="C140" s="1">
        <f t="shared" si="7"/>
        <v>15.008967904664733</v>
      </c>
    </row>
    <row r="141" spans="1:3" ht="25.8" x14ac:dyDescent="0.25">
      <c r="A141" s="1">
        <v>6.7233972602739724</v>
      </c>
      <c r="B141" s="1">
        <f t="shared" si="6"/>
        <v>33.293289374722114</v>
      </c>
      <c r="C141" s="1">
        <f t="shared" si="7"/>
        <v>15.027141944074394</v>
      </c>
    </row>
    <row r="142" spans="1:3" ht="25.8" x14ac:dyDescent="0.25">
      <c r="A142" s="1">
        <v>6.7773972602739727</v>
      </c>
      <c r="B142" s="1">
        <f t="shared" si="6"/>
        <v>33.443392260075228</v>
      </c>
      <c r="C142" s="1">
        <f t="shared" si="7"/>
        <v>15.044943181534322</v>
      </c>
    </row>
    <row r="143" spans="1:3" ht="25.8" x14ac:dyDescent="0.25">
      <c r="A143" s="1">
        <v>6.831397260273973</v>
      </c>
      <c r="B143" s="1">
        <f t="shared" si="6"/>
        <v>33.592913414853179</v>
      </c>
      <c r="C143" s="1">
        <f t="shared" si="7"/>
        <v>15.06237684357615</v>
      </c>
    </row>
    <row r="144" spans="1:3" ht="25.8" x14ac:dyDescent="0.25">
      <c r="A144" s="1">
        <v>6.8853972602739724</v>
      </c>
      <c r="B144" s="1">
        <f t="shared" si="6"/>
        <v>33.741858309708043</v>
      </c>
      <c r="C144" s="1">
        <f t="shared" si="7"/>
        <v>15.079448054201492</v>
      </c>
    </row>
    <row r="145" spans="1:3" ht="25.8" x14ac:dyDescent="0.25">
      <c r="A145" s="1">
        <v>6.9393972602739726</v>
      </c>
      <c r="B145" s="1">
        <f t="shared" si="6"/>
        <v>33.890232314975854</v>
      </c>
      <c r="C145" s="1">
        <f t="shared" si="7"/>
        <v>15.096161837656975</v>
      </c>
    </row>
    <row r="146" spans="1:3" ht="25.8" x14ac:dyDescent="0.25">
      <c r="A146" s="1">
        <v>6.9933972602739729</v>
      </c>
      <c r="B146" s="1">
        <f t="shared" si="6"/>
        <v>34.038040703356316</v>
      </c>
      <c r="C146" s="1">
        <f t="shared" si="7"/>
        <v>15.112523121113153</v>
      </c>
    </row>
    <row r="147" spans="1:3" ht="25.8" x14ac:dyDescent="0.25">
      <c r="A147" s="1">
        <v>7.0473972602739723</v>
      </c>
      <c r="B147" s="1">
        <f t="shared" si="6"/>
        <v>34.185288652500354</v>
      </c>
      <c r="C147" s="1">
        <f t="shared" si="7"/>
        <v>15.128536737251121</v>
      </c>
    </row>
    <row r="148" spans="1:3" ht="25.8" x14ac:dyDescent="0.25">
      <c r="A148" s="1">
        <v>7.1013972602739726</v>
      </c>
      <c r="B148" s="1">
        <f t="shared" si="6"/>
        <v>34.331981247509376</v>
      </c>
      <c r="C148" s="1">
        <f t="shared" si="7"/>
        <v>15.144207426760794</v>
      </c>
    </row>
    <row r="149" spans="1:3" ht="25.8" x14ac:dyDescent="0.25">
      <c r="A149" s="1">
        <v>7.1553972602739728</v>
      </c>
      <c r="B149" s="1">
        <f t="shared" si="6"/>
        <v>34.47812348334967</v>
      </c>
      <c r="C149" s="1">
        <f t="shared" si="7"/>
        <v>15.159539840754498</v>
      </c>
    </row>
    <row r="150" spans="1:3" ht="25.8" x14ac:dyDescent="0.25">
      <c r="A150" s="1">
        <v>7.2093972602739722</v>
      </c>
      <c r="B150" s="1">
        <f t="shared" si="6"/>
        <v>34.623720267185703</v>
      </c>
      <c r="C150" s="1">
        <f t="shared" si="7"/>
        <v>15.174538543099338</v>
      </c>
    </row>
    <row r="151" spans="1:3" ht="25.8" x14ac:dyDescent="0.25">
      <c r="A151" s="1">
        <v>7.2633972602739725</v>
      </c>
      <c r="B151" s="1">
        <f t="shared" si="6"/>
        <v>34.768776420635561</v>
      </c>
      <c r="C151" s="1">
        <f t="shared" si="7"/>
        <v>15.189208012671724</v>
      </c>
    </row>
    <row r="152" spans="1:3" ht="25.8" x14ac:dyDescent="0.25">
      <c r="A152" s="1">
        <v>7.3173972602739727</v>
      </c>
      <c r="B152" s="1">
        <f t="shared" si="6"/>
        <v>34.913296681951628</v>
      </c>
      <c r="C152" s="1">
        <f t="shared" si="7"/>
        <v>15.203552645537151</v>
      </c>
    </row>
    <row r="153" spans="1:3" ht="25.8" x14ac:dyDescent="0.25">
      <c r="A153" s="1">
        <v>7.371397260273973</v>
      </c>
      <c r="B153" s="1">
        <f t="shared" si="6"/>
        <v>35.057285708129626</v>
      </c>
      <c r="C153" s="1">
        <f t="shared" si="7"/>
        <v>15.217576757058339</v>
      </c>
    </row>
    <row r="154" spans="1:3" ht="25.8" x14ac:dyDescent="0.25">
      <c r="A154" s="1">
        <v>7.4253972602739724</v>
      </c>
      <c r="B154" s="1">
        <f t="shared" si="6"/>
        <v>35.200748076948692</v>
      </c>
      <c r="C154" s="1">
        <f t="shared" si="7"/>
        <v>15.231284583934425</v>
      </c>
    </row>
    <row r="155" spans="1:3" ht="25.8" x14ac:dyDescent="0.25">
      <c r="A155" s="1">
        <v>7.4793972602739727</v>
      </c>
      <c r="B155" s="1">
        <f t="shared" si="6"/>
        <v>35.343688288945522</v>
      </c>
      <c r="C155" s="1">
        <f t="shared" si="7"/>
        <v>15.244680286174233</v>
      </c>
    </row>
    <row r="156" spans="1:3" ht="25.8" x14ac:dyDescent="0.25">
      <c r="A156" s="1">
        <v>7.5333972602739729</v>
      </c>
      <c r="B156" s="1">
        <f t="shared" si="6"/>
        <v>35.486110769324959</v>
      </c>
      <c r="C156" s="1">
        <f t="shared" si="7"/>
        <v>15.257767949005888</v>
      </c>
    </row>
    <row r="157" spans="1:3" ht="25.8" x14ac:dyDescent="0.25">
      <c r="A157" s="1">
        <v>7.5873972602739723</v>
      </c>
      <c r="B157" s="1">
        <f t="shared" si="6"/>
        <v>35.628019869809499</v>
      </c>
      <c r="C157" s="1">
        <f t="shared" si="7"/>
        <v>15.270551584725546</v>
      </c>
    </row>
    <row r="158" spans="1:3" ht="25.8" x14ac:dyDescent="0.25">
      <c r="A158" s="1">
        <v>7.6413972602739726</v>
      </c>
      <c r="B158" s="1">
        <f t="shared" si="6"/>
        <v>35.769419870430397</v>
      </c>
      <c r="C158" s="1">
        <f t="shared" si="7"/>
        <v>15.283035134487498</v>
      </c>
    </row>
    <row r="159" spans="1:3" ht="25.8" x14ac:dyDescent="0.25">
      <c r="A159" s="1">
        <v>7.6953972602739729</v>
      </c>
      <c r="B159" s="1">
        <f t="shared" si="6"/>
        <v>35.910314981262005</v>
      </c>
      <c r="C159" s="1">
        <f t="shared" si="7"/>
        <v>15.295222470037711</v>
      </c>
    </row>
    <row r="160" spans="1:3" ht="25.8" x14ac:dyDescent="0.25">
      <c r="A160" s="1">
        <v>7.7493972602739722</v>
      </c>
      <c r="B160" s="1">
        <f t="shared" si="6"/>
        <v>36.050709344102437</v>
      </c>
      <c r="C160" s="1">
        <f t="shared" si="7"/>
        <v>15.307117395393504</v>
      </c>
    </row>
    <row r="161" spans="1:3" ht="25.8" x14ac:dyDescent="0.25">
      <c r="A161" s="1">
        <v>7.8033972602739725</v>
      </c>
      <c r="B161" s="1">
        <f t="shared" si="6"/>
        <v>36.190607034101554</v>
      </c>
      <c r="C161" s="1">
        <f t="shared" si="7"/>
        <v>15.318723648470765</v>
      </c>
    </row>
    <row r="162" spans="1:3" ht="25.8" x14ac:dyDescent="0.25">
      <c r="A162" s="1">
        <v>7.8573972602739728</v>
      </c>
      <c r="B162" s="1">
        <f t="shared" si="6"/>
        <v>36.330012061339154</v>
      </c>
      <c r="C162" s="1">
        <f t="shared" si="7"/>
        <v>15.330044902661207</v>
      </c>
    </row>
    <row r="163" spans="1:3" ht="25.8" x14ac:dyDescent="0.25">
      <c r="A163" s="1">
        <v>7.9113972602739731</v>
      </c>
      <c r="B163" s="1">
        <f t="shared" si="6"/>
        <v>36.468928372354782</v>
      </c>
      <c r="C163" s="1">
        <f t="shared" si="7"/>
        <v>15.341084768361164</v>
      </c>
    </row>
    <row r="164" spans="1:3" ht="25.8" x14ac:dyDescent="0.25">
      <c r="A164" s="1">
        <v>7.9653972602739724</v>
      </c>
      <c r="B164" s="1">
        <f t="shared" si="6"/>
        <v>36.607359851630882</v>
      </c>
      <c r="C164" s="1">
        <f t="shared" si="7"/>
        <v>15.351846794454129</v>
      </c>
    </row>
    <row r="165" spans="1:3" ht="25.8" x14ac:dyDescent="0.25">
      <c r="A165" s="1">
        <v>8.0193972602739727</v>
      </c>
      <c r="B165" s="1">
        <f t="shared" si="6"/>
        <v>36.745310323031454</v>
      </c>
      <c r="C165" s="1">
        <f t="shared" si="7"/>
        <v>15.362334469748273</v>
      </c>
    </row>
    <row r="166" spans="1:3" ht="25.8" x14ac:dyDescent="0.25">
      <c r="A166" s="1">
        <v>8.0733972602739712</v>
      </c>
      <c r="B166" s="1">
        <f t="shared" si="6"/>
        <v>36.882783551197299</v>
      </c>
      <c r="C166" s="1">
        <f t="shared" si="7"/>
        <v>15.372551224370987</v>
      </c>
    </row>
    <row r="167" spans="1:3" ht="25.8" x14ac:dyDescent="0.25">
      <c r="A167" s="1">
        <v>8.1273972602739715</v>
      </c>
      <c r="B167" s="1">
        <f t="shared" si="6"/>
        <v>37.01978324290004</v>
      </c>
      <c r="C167" s="1">
        <f t="shared" si="7"/>
        <v>15.38250043112194</v>
      </c>
    </row>
    <row r="168" spans="1:3" ht="25.8" x14ac:dyDescent="0.25">
      <c r="A168" s="1">
        <v>8.1813972602739717</v>
      </c>
      <c r="B168" s="1">
        <f t="shared" si="6"/>
        <v>37.156313048355798</v>
      </c>
      <c r="C168" s="1">
        <f t="shared" si="7"/>
        <v>15.392185406785892</v>
      </c>
    </row>
    <row r="169" spans="1:3" ht="25.8" x14ac:dyDescent="0.25">
      <c r="A169" s="1">
        <v>8.235397260273972</v>
      </c>
      <c r="B169" s="1">
        <f t="shared" si="6"/>
        <v>37.292376562500529</v>
      </c>
      <c r="C169" s="1">
        <f t="shared" si="7"/>
        <v>15.401609413407119</v>
      </c>
    </row>
    <row r="170" spans="1:3" ht="25.8" x14ac:dyDescent="0.25">
      <c r="A170" s="1">
        <v>8.2893972602739723</v>
      </c>
      <c r="B170" s="1">
        <f t="shared" si="6"/>
        <v>37.427977326227911</v>
      </c>
      <c r="C170" s="1">
        <f t="shared" si="7"/>
        <v>15.410775659526518</v>
      </c>
    </row>
    <row r="171" spans="1:3" ht="25.8" x14ac:dyDescent="0.25">
      <c r="A171" s="1">
        <v>8.3433972602739725</v>
      </c>
      <c r="B171" s="1">
        <f t="shared" si="6"/>
        <v>37.563118827591531</v>
      </c>
      <c r="C171" s="1">
        <f t="shared" si="7"/>
        <v>15.419687301382865</v>
      </c>
    </row>
    <row r="172" spans="1:3" ht="25.8" x14ac:dyDescent="0.25">
      <c r="A172" s="1">
        <v>8.397397260273971</v>
      </c>
      <c r="B172" s="1">
        <f t="shared" si="6"/>
        <v>37.697804502972382</v>
      </c>
      <c r="C172" s="1">
        <f t="shared" si="7"/>
        <v>15.428347444079421</v>
      </c>
    </row>
    <row r="173" spans="1:3" ht="25.8" x14ac:dyDescent="0.25">
      <c r="A173" s="1">
        <v>8.4513972602739713</v>
      </c>
      <c r="B173" s="1">
        <f t="shared" si="6"/>
        <v>37.832037738212954</v>
      </c>
      <c r="C173" s="1">
        <f t="shared" si="7"/>
        <v>15.436759142717207</v>
      </c>
    </row>
    <row r="174" spans="1:3" ht="25.8" x14ac:dyDescent="0.25">
      <c r="A174" s="1">
        <v>8.5053972602739716</v>
      </c>
      <c r="B174" s="1">
        <f t="shared" si="6"/>
        <v>37.965821869719036</v>
      </c>
      <c r="C174" s="1">
        <f t="shared" si="7"/>
        <v>15.444925403495915</v>
      </c>
    </row>
    <row r="175" spans="1:3" ht="25.8" x14ac:dyDescent="0.25">
      <c r="A175" s="1">
        <v>8.5593972602739719</v>
      </c>
      <c r="B175" s="1">
        <f t="shared" si="6"/>
        <v>38.099160185530522</v>
      </c>
      <c r="C175" s="1">
        <f t="shared" si="7"/>
        <v>15.452849184783815</v>
      </c>
    </row>
    <row r="176" spans="1:3" ht="25.8" x14ac:dyDescent="0.25">
      <c r="A176" s="1">
        <v>8.6133972602739721</v>
      </c>
      <c r="B176" s="1">
        <f t="shared" si="6"/>
        <v>38.232055926362086</v>
      </c>
      <c r="C176" s="1">
        <f t="shared" si="7"/>
        <v>15.460533398157587</v>
      </c>
    </row>
    <row r="177" spans="1:3" ht="25.8" x14ac:dyDescent="0.25">
      <c r="A177" s="1">
        <v>8.6673972602739724</v>
      </c>
      <c r="B177" s="1">
        <f t="shared" si="6"/>
        <v>38.364512286614719</v>
      </c>
      <c r="C177" s="1">
        <f t="shared" si="7"/>
        <v>15.467980909413036</v>
      </c>
    </row>
    <row r="178" spans="1:3" ht="25.8" x14ac:dyDescent="0.25">
      <c r="A178" s="1">
        <v>8.7213972602739709</v>
      </c>
      <c r="B178" s="1">
        <f t="shared" si="6"/>
        <v>38.496532415359532</v>
      </c>
      <c r="C178" s="1">
        <f t="shared" si="7"/>
        <v>15.47519453954796</v>
      </c>
    </row>
    <row r="179" spans="1:3" ht="25.8" x14ac:dyDescent="0.25">
      <c r="A179" s="1">
        <v>8.7753972602739712</v>
      </c>
      <c r="B179" s="1">
        <f t="shared" si="6"/>
        <v>38.62811941729418</v>
      </c>
      <c r="C179" s="1">
        <f t="shared" si="7"/>
        <v>15.482177065717782</v>
      </c>
    </row>
    <row r="180" spans="1:3" ht="25.8" x14ac:dyDescent="0.25">
      <c r="A180" s="1">
        <v>8.8293972602739714</v>
      </c>
      <c r="B180" s="1">
        <f t="shared" si="6"/>
        <v>38.759276353673272</v>
      </c>
      <c r="C180" s="1">
        <f t="shared" si="7"/>
        <v>15.488931222165071</v>
      </c>
    </row>
    <row r="181" spans="1:3" ht="25.8" x14ac:dyDescent="0.25">
      <c r="A181" s="1">
        <v>8.8833972602739717</v>
      </c>
      <c r="B181" s="1">
        <f t="shared" si="6"/>
        <v>38.890006243213392</v>
      </c>
      <c r="C181" s="1">
        <f t="shared" si="7"/>
        <v>15.495459701123654</v>
      </c>
    </row>
    <row r="182" spans="1:3" ht="25.8" x14ac:dyDescent="0.25">
      <c r="A182" s="1">
        <v>8.937397260273972</v>
      </c>
      <c r="B182" s="1">
        <f t="shared" si="6"/>
        <v>39.020312062973773</v>
      </c>
      <c r="C182" s="1">
        <f t="shared" si="7"/>
        <v>15.501765153698507</v>
      </c>
    </row>
    <row r="183" spans="1:3" ht="25.8" x14ac:dyDescent="0.25">
      <c r="A183" s="1">
        <v>8.9913972602739722</v>
      </c>
      <c r="B183" s="1">
        <f t="shared" si="6"/>
        <v>39.150196749213116</v>
      </c>
      <c r="C183" s="1">
        <f t="shared" si="7"/>
        <v>15.507850190721737</v>
      </c>
    </row>
    <row r="184" spans="1:3" ht="25.8" x14ac:dyDescent="0.25">
      <c r="A184" s="1">
        <v>9.0453972602739725</v>
      </c>
      <c r="B184" s="1">
        <f t="shared" si="6"/>
        <v>39.279663198223766</v>
      </c>
      <c r="C184" s="1">
        <f t="shared" si="7"/>
        <v>15.513717383585782</v>
      </c>
    </row>
    <row r="185" spans="1:3" ht="25.8" x14ac:dyDescent="0.25">
      <c r="A185" s="1">
        <v>9.099397260273971</v>
      </c>
      <c r="B185" s="1">
        <f t="shared" si="6"/>
        <v>39.408714267143608</v>
      </c>
      <c r="C185" s="1">
        <f t="shared" si="7"/>
        <v>15.519369265054557</v>
      </c>
    </row>
    <row r="186" spans="1:3" ht="25.8" x14ac:dyDescent="0.25">
      <c r="A186" s="1">
        <v>9.1533972602739713</v>
      </c>
      <c r="B186" s="1">
        <f t="shared" si="6"/>
        <v>39.537352774746509</v>
      </c>
      <c r="C186" s="1">
        <f t="shared" si="7"/>
        <v>15.524808330053073</v>
      </c>
    </row>
    <row r="187" spans="1:3" ht="25.8" x14ac:dyDescent="0.25">
      <c r="A187" s="1">
        <v>9.2073972602739715</v>
      </c>
      <c r="B187" s="1">
        <f t="shared" si="6"/>
        <v>39.665581502212177</v>
      </c>
      <c r="C187" s="1">
        <f t="shared" si="7"/>
        <v>15.53003703643634</v>
      </c>
    </row>
    <row r="188" spans="1:3" ht="25.8" x14ac:dyDescent="0.25">
      <c r="A188" s="1">
        <v>9.2613972602739718</v>
      </c>
      <c r="B188" s="1">
        <f t="shared" si="6"/>
        <v>39.793403193875889</v>
      </c>
      <c r="C188" s="1">
        <f t="shared" si="7"/>
        <v>15.535057805738283</v>
      </c>
    </row>
    <row r="189" spans="1:3" ht="25.8" x14ac:dyDescent="0.25">
      <c r="A189" s="1">
        <v>9.3153972602739721</v>
      </c>
      <c r="B189" s="1">
        <f t="shared" si="6"/>
        <v>39.92082055795867</v>
      </c>
      <c r="C189" s="1">
        <f t="shared" si="7"/>
        <v>15.539873023901119</v>
      </c>
    </row>
    <row r="190" spans="1:3" ht="25.8" x14ac:dyDescent="0.25">
      <c r="A190" s="1">
        <v>9.3693972602739723</v>
      </c>
      <c r="B190" s="1">
        <f t="shared" si="6"/>
        <v>40.047836267278853</v>
      </c>
      <c r="C190" s="1">
        <f t="shared" si="7"/>
        <v>15.544485041986068</v>
      </c>
    </row>
    <row r="191" spans="1:3" ht="25.8" x14ac:dyDescent="0.25">
      <c r="A191" s="1">
        <v>9.4233972602739708</v>
      </c>
      <c r="B191" s="1">
        <f t="shared" ref="B191:B254" si="8">BS_call($B$1,$B$2,$B$3,$B$4,A191,$B$6)</f>
        <v>40.174452959945349</v>
      </c>
      <c r="C191" s="1">
        <f t="shared" ref="C191:C254" si="9">BS_put($B$1,$B$2,$B$3,$B$4,A191,$B$6)</f>
        <v>15.548896176865693</v>
      </c>
    </row>
    <row r="192" spans="1:3" ht="25.8" x14ac:dyDescent="0.25">
      <c r="A192" s="1">
        <v>9.4773972602739711</v>
      </c>
      <c r="B192" s="1">
        <f t="shared" si="8"/>
        <v>40.300673240033184</v>
      </c>
      <c r="C192" s="1">
        <f t="shared" si="9"/>
        <v>15.553108711898723</v>
      </c>
    </row>
    <row r="193" spans="1:3" ht="25.8" x14ac:dyDescent="0.25">
      <c r="A193" s="1">
        <v>9.5313972602739714</v>
      </c>
      <c r="B193" s="1">
        <f t="shared" si="8"/>
        <v>40.426499678242095</v>
      </c>
      <c r="C193" s="1">
        <f t="shared" si="9"/>
        <v>15.557124897587627</v>
      </c>
    </row>
    <row r="194" spans="1:3" ht="25.8" x14ac:dyDescent="0.25">
      <c r="A194" s="1">
        <v>9.5853972602739717</v>
      </c>
      <c r="B194" s="1">
        <f t="shared" si="8"/>
        <v>40.551934812538306</v>
      </c>
      <c r="C194" s="1">
        <f t="shared" si="9"/>
        <v>15.560946952219805</v>
      </c>
    </row>
    <row r="195" spans="1:3" ht="25.8" x14ac:dyDescent="0.25">
      <c r="A195" s="1">
        <v>9.6393972602739719</v>
      </c>
      <c r="B195" s="1">
        <f t="shared" si="8"/>
        <v>40.676981148780619</v>
      </c>
      <c r="C195" s="1">
        <f t="shared" si="9"/>
        <v>15.564577062492592</v>
      </c>
    </row>
    <row r="196" spans="1:3" ht="25.8" x14ac:dyDescent="0.25">
      <c r="A196" s="1">
        <v>9.6933972602739722</v>
      </c>
      <c r="B196" s="1">
        <f t="shared" si="8"/>
        <v>40.801641161330501</v>
      </c>
      <c r="C196" s="1">
        <f t="shared" si="9"/>
        <v>15.568017384122669</v>
      </c>
    </row>
    <row r="197" spans="1:3" ht="25.8" x14ac:dyDescent="0.25">
      <c r="A197" s="1">
        <v>9.7473972602739725</v>
      </c>
      <c r="B197" s="1">
        <f t="shared" si="8"/>
        <v>40.925917293647402</v>
      </c>
      <c r="C197" s="1">
        <f t="shared" si="9"/>
        <v>15.571270042440414</v>
      </c>
    </row>
    <row r="198" spans="1:3" ht="25.8" x14ac:dyDescent="0.25">
      <c r="A198" s="1">
        <v>9.801397260273971</v>
      </c>
      <c r="B198" s="1">
        <f t="shared" si="8"/>
        <v>41.049811958869256</v>
      </c>
      <c r="C198" s="1">
        <f t="shared" si="9"/>
        <v>15.574337132969703</v>
      </c>
    </row>
    <row r="199" spans="1:3" ht="25.8" x14ac:dyDescent="0.25">
      <c r="A199" s="1">
        <v>9.8553972602739712</v>
      </c>
      <c r="B199" s="1">
        <f t="shared" si="8"/>
        <v>41.173327540378835</v>
      </c>
      <c r="C199" s="1">
        <f t="shared" si="9"/>
        <v>15.577220721993385</v>
      </c>
    </row>
    <row r="200" spans="1:3" ht="25.8" x14ac:dyDescent="0.25">
      <c r="A200" s="1">
        <v>9.9093972602739715</v>
      </c>
      <c r="B200" s="1">
        <f t="shared" si="8"/>
        <v>41.296466392356386</v>
      </c>
      <c r="C200" s="1">
        <f t="shared" si="9"/>
        <v>15.579922847104982</v>
      </c>
    </row>
    <row r="201" spans="1:3" ht="25.8" x14ac:dyDescent="0.25">
      <c r="A201" s="1">
        <v>9.9633972602739718</v>
      </c>
      <c r="B201" s="1">
        <f t="shared" si="8"/>
        <v>41.419230840318697</v>
      </c>
      <c r="C201" s="1">
        <f t="shared" si="9"/>
        <v>15.582445517747104</v>
      </c>
    </row>
    <row r="202" spans="1:3" ht="25.8" x14ac:dyDescent="0.25">
      <c r="A202" s="1">
        <v>10.017397260273972</v>
      </c>
      <c r="B202" s="1">
        <f t="shared" si="8"/>
        <v>41.541623181645463</v>
      </c>
      <c r="C202" s="1">
        <f t="shared" si="9"/>
        <v>15.584790715736855</v>
      </c>
    </row>
    <row r="203" spans="1:3" ht="25.8" x14ac:dyDescent="0.25">
      <c r="A203" s="1">
        <v>10.071397260273972</v>
      </c>
      <c r="B203" s="1">
        <f t="shared" si="8"/>
        <v>41.66364568609287</v>
      </c>
      <c r="C203" s="1">
        <f t="shared" si="9"/>
        <v>15.586960395778618</v>
      </c>
    </row>
    <row r="204" spans="1:3" ht="25.8" x14ac:dyDescent="0.25">
      <c r="A204" s="1">
        <v>10.125397260273973</v>
      </c>
      <c r="B204" s="1">
        <f t="shared" si="8"/>
        <v>41.785300596294981</v>
      </c>
      <c r="C204" s="1">
        <f t="shared" si="9"/>
        <v>15.588956485964633</v>
      </c>
    </row>
    <row r="205" spans="1:3" ht="25.8" x14ac:dyDescent="0.25">
      <c r="A205" s="1">
        <v>10.179397260273971</v>
      </c>
      <c r="B205" s="1">
        <f t="shared" si="8"/>
        <v>41.906590128253342</v>
      </c>
      <c r="C205" s="1">
        <f t="shared" si="9"/>
        <v>15.590780888263783</v>
      </c>
    </row>
    <row r="206" spans="1:3" ht="25.8" x14ac:dyDescent="0.25">
      <c r="A206" s="1">
        <v>10.233397260273971</v>
      </c>
      <c r="B206" s="1">
        <f t="shared" si="8"/>
        <v>42.027516471814941</v>
      </c>
      <c r="C206" s="1">
        <f t="shared" si="9"/>
        <v>15.592435478998691</v>
      </c>
    </row>
    <row r="207" spans="1:3" ht="25.8" x14ac:dyDescent="0.25">
      <c r="A207" s="1">
        <v>10.287397260273972</v>
      </c>
      <c r="B207" s="1">
        <f t="shared" si="8"/>
        <v>42.148081791139134</v>
      </c>
      <c r="C207" s="1">
        <f t="shared" si="9"/>
        <v>15.593922109311837</v>
      </c>
    </row>
    <row r="208" spans="1:3" ht="25.8" x14ac:dyDescent="0.25">
      <c r="A208" s="1">
        <v>10.341397260273972</v>
      </c>
      <c r="B208" s="1">
        <f t="shared" si="8"/>
        <v>42.26828822515342</v>
      </c>
      <c r="C208" s="1">
        <f t="shared" si="9"/>
        <v>15.595242605620584</v>
      </c>
    </row>
    <row r="209" spans="1:3" ht="25.8" x14ac:dyDescent="0.25">
      <c r="A209" s="1">
        <v>10.395397260273972</v>
      </c>
      <c r="B209" s="1">
        <f t="shared" si="8"/>
        <v>42.388137887999079</v>
      </c>
      <c r="C209" s="1">
        <f t="shared" si="9"/>
        <v>15.596398770061857</v>
      </c>
    </row>
    <row r="210" spans="1:3" ht="25.8" x14ac:dyDescent="0.25">
      <c r="A210" s="1">
        <v>10.449397260273972</v>
      </c>
      <c r="B210" s="1">
        <f t="shared" si="8"/>
        <v>42.507632869466079</v>
      </c>
      <c r="C210" s="1">
        <f t="shared" si="9"/>
        <v>15.59739238092634</v>
      </c>
    </row>
    <row r="211" spans="1:3" ht="25.8" x14ac:dyDescent="0.25">
      <c r="A211" s="1">
        <v>10.503397260273971</v>
      </c>
      <c r="B211" s="1">
        <f t="shared" si="8"/>
        <v>42.626775235418329</v>
      </c>
      <c r="C211" s="1">
        <f t="shared" si="9"/>
        <v>15.598225193082914</v>
      </c>
    </row>
    <row r="212" spans="1:3" ht="25.8" x14ac:dyDescent="0.25">
      <c r="A212" s="1">
        <v>10.557397260273971</v>
      </c>
      <c r="B212" s="1">
        <f t="shared" si="8"/>
        <v>42.745567028209202</v>
      </c>
      <c r="C212" s="1">
        <f t="shared" si="9"/>
        <v>15.598898938393244</v>
      </c>
    </row>
    <row r="213" spans="1:3" ht="25.8" x14ac:dyDescent="0.25">
      <c r="A213" s="1">
        <v>10.611397260273971</v>
      </c>
      <c r="B213" s="1">
        <f t="shared" si="8"/>
        <v>42.864010267087444</v>
      </c>
      <c r="C213" s="1">
        <f t="shared" si="9"/>
        <v>15.599415326117015</v>
      </c>
    </row>
    <row r="214" spans="1:3" ht="25.8" x14ac:dyDescent="0.25">
      <c r="A214" s="1">
        <v>10.665397260273972</v>
      </c>
      <c r="B214" s="1">
        <f t="shared" si="8"/>
        <v>42.982106948594122</v>
      </c>
      <c r="C214" s="1">
        <f t="shared" si="9"/>
        <v>15.599776043308026</v>
      </c>
    </row>
    <row r="215" spans="1:3" ht="25.8" x14ac:dyDescent="0.25">
      <c r="A215" s="1">
        <v>10.719397260273972</v>
      </c>
      <c r="B215" s="1">
        <f t="shared" si="8"/>
        <v>43.09985904695057</v>
      </c>
      <c r="C215" s="1">
        <f t="shared" si="9"/>
        <v>15.599982755201236</v>
      </c>
    </row>
    <row r="216" spans="1:3" ht="25.8" x14ac:dyDescent="0.25">
      <c r="A216" s="1">
        <v>10.773397260273972</v>
      </c>
      <c r="B216" s="1">
        <f t="shared" si="8"/>
        <v>43.217268514437706</v>
      </c>
      <c r="C216" s="1">
        <f t="shared" si="9"/>
        <v>15.600037105591404</v>
      </c>
    </row>
    <row r="217" spans="1:3" ht="25.8" x14ac:dyDescent="0.25">
      <c r="A217" s="1">
        <v>10.827397260273973</v>
      </c>
      <c r="B217" s="1">
        <f t="shared" si="8"/>
        <v>43.334337281766793</v>
      </c>
      <c r="C217" s="1">
        <f t="shared" si="9"/>
        <v>15.599940717202998</v>
      </c>
    </row>
    <row r="218" spans="1:3" ht="25.8" x14ac:dyDescent="0.25">
      <c r="A218" s="1">
        <v>10.881397260273971</v>
      </c>
      <c r="B218" s="1">
        <f t="shared" si="8"/>
        <v>43.451067258442336</v>
      </c>
      <c r="C218" s="1">
        <f t="shared" si="9"/>
        <v>15.599695192052149</v>
      </c>
    </row>
    <row r="219" spans="1:3" ht="25.8" x14ac:dyDescent="0.25">
      <c r="A219" s="1">
        <v>10.935397260273971</v>
      </c>
      <c r="B219" s="1">
        <f t="shared" si="8"/>
        <v>43.567460333116529</v>
      </c>
      <c r="C219" s="1">
        <f t="shared" si="9"/>
        <v>15.599302111800512</v>
      </c>
    </row>
    <row r="220" spans="1:3" ht="25.8" x14ac:dyDescent="0.25">
      <c r="A220" s="1">
        <v>10.989397260273972</v>
      </c>
      <c r="B220" s="1">
        <f t="shared" si="8"/>
        <v>43.683518373936323</v>
      </c>
      <c r="C220" s="1">
        <f t="shared" si="9"/>
        <v>15.598763038101396</v>
      </c>
    </row>
    <row r="221" spans="1:3" ht="25.8" x14ac:dyDescent="0.25">
      <c r="A221" s="1">
        <v>11.043397260273972</v>
      </c>
      <c r="B221" s="1">
        <f t="shared" si="8"/>
        <v>43.799243228882787</v>
      </c>
      <c r="C221" s="1">
        <f t="shared" si="9"/>
        <v>15.598079512938298</v>
      </c>
    </row>
    <row r="222" spans="1:3" ht="25.8" x14ac:dyDescent="0.25">
      <c r="A222" s="1">
        <v>11.097397260273972</v>
      </c>
      <c r="B222" s="1">
        <f t="shared" si="8"/>
        <v>43.914636726103048</v>
      </c>
      <c r="C222" s="1">
        <f t="shared" si="9"/>
        <v>15.597253058956166</v>
      </c>
    </row>
    <row r="223" spans="1:3" ht="25.8" x14ac:dyDescent="0.25">
      <c r="A223" s="1">
        <v>11.151397260273972</v>
      </c>
      <c r="B223" s="1">
        <f t="shared" si="8"/>
        <v>44.029700674235272</v>
      </c>
      <c r="C223" s="1">
        <f t="shared" si="9"/>
        <v>15.596285179785443</v>
      </c>
    </row>
    <row r="224" spans="1:3" ht="25.8" x14ac:dyDescent="0.25">
      <c r="A224" s="1">
        <v>11.205397260273971</v>
      </c>
      <c r="B224" s="1">
        <f t="shared" si="8"/>
        <v>44.144436862726472</v>
      </c>
      <c r="C224" s="1">
        <f t="shared" si="9"/>
        <v>15.595177360359163</v>
      </c>
    </row>
    <row r="225" spans="1:3" ht="25.8" x14ac:dyDescent="0.25">
      <c r="A225" s="1">
        <v>11.259397260273971</v>
      </c>
      <c r="B225" s="1">
        <f t="shared" si="8"/>
        <v>44.258847062143666</v>
      </c>
      <c r="C225" s="1">
        <f t="shared" si="9"/>
        <v>15.593931067223213</v>
      </c>
    </row>
    <row r="226" spans="1:3" ht="25.8" x14ac:dyDescent="0.25">
      <c r="A226" s="1">
        <v>11.313397260273971</v>
      </c>
      <c r="B226" s="1">
        <f t="shared" si="8"/>
        <v>44.372933024478314</v>
      </c>
      <c r="C226" s="1">
        <f t="shared" si="9"/>
        <v>15.592547748840154</v>
      </c>
    </row>
    <row r="227" spans="1:3" ht="25.8" x14ac:dyDescent="0.25">
      <c r="A227" s="1">
        <v>11.367397260273972</v>
      </c>
      <c r="B227" s="1">
        <f t="shared" si="8"/>
        <v>44.486696483444412</v>
      </c>
      <c r="C227" s="1">
        <f t="shared" si="9"/>
        <v>15.591028835886309</v>
      </c>
    </row>
    <row r="228" spans="1:3" ht="25.8" x14ac:dyDescent="0.25">
      <c r="A228" s="1">
        <v>11.421397260273972</v>
      </c>
      <c r="B228" s="1">
        <f t="shared" si="8"/>
        <v>44.600139154770346</v>
      </c>
      <c r="C228" s="1">
        <f t="shared" si="9"/>
        <v>15.589375741542902</v>
      </c>
    </row>
    <row r="229" spans="1:3" ht="25.8" x14ac:dyDescent="0.25">
      <c r="A229" s="1">
        <v>11.475397260273972</v>
      </c>
      <c r="B229" s="1">
        <f t="shared" si="8"/>
        <v>44.713262736484396</v>
      </c>
      <c r="C229" s="1">
        <f t="shared" si="9"/>
        <v>15.587589861780888</v>
      </c>
    </row>
    <row r="230" spans="1:3" ht="25.8" x14ac:dyDescent="0.25">
      <c r="A230" s="1">
        <v>11.529397260273972</v>
      </c>
      <c r="B230" s="1">
        <f t="shared" si="8"/>
        <v>44.826068909194703</v>
      </c>
      <c r="C230" s="1">
        <f t="shared" si="9"/>
        <v>15.585672575639883</v>
      </c>
    </row>
    <row r="231" spans="1:3" ht="25.8" x14ac:dyDescent="0.25">
      <c r="A231" s="1">
        <v>11.583397260273971</v>
      </c>
      <c r="B231" s="1">
        <f t="shared" si="8"/>
        <v>44.938559336362943</v>
      </c>
      <c r="C231" s="1">
        <f t="shared" si="9"/>
        <v>15.583625245501334</v>
      </c>
    </row>
    <row r="232" spans="1:3" ht="25.8" x14ac:dyDescent="0.25">
      <c r="A232" s="1">
        <v>11.637397260273971</v>
      </c>
      <c r="B232" s="1">
        <f t="shared" si="8"/>
        <v>45.050735664572862</v>
      </c>
      <c r="C232" s="1">
        <f t="shared" si="9"/>
        <v>15.581449217355949</v>
      </c>
    </row>
    <row r="233" spans="1:3" ht="25.8" x14ac:dyDescent="0.25">
      <c r="A233" s="1">
        <v>11.691397260273972</v>
      </c>
      <c r="B233" s="1">
        <f t="shared" si="8"/>
        <v>45.162599523792814</v>
      </c>
      <c r="C233" s="1">
        <f t="shared" si="9"/>
        <v>15.579145821065715</v>
      </c>
    </row>
    <row r="234" spans="1:3" ht="25.8" x14ac:dyDescent="0.25">
      <c r="A234" s="1">
        <v>11.745397260273972</v>
      </c>
      <c r="B234" s="1">
        <f t="shared" si="8"/>
        <v>45.274152527633241</v>
      </c>
      <c r="C234" s="1">
        <f t="shared" si="9"/>
        <v>15.576716370620517</v>
      </c>
    </row>
    <row r="235" spans="1:3" ht="25.8" x14ac:dyDescent="0.25">
      <c r="A235" s="1">
        <v>11.799397260273972</v>
      </c>
      <c r="B235" s="1">
        <f t="shared" si="8"/>
        <v>45.385396273598893</v>
      </c>
      <c r="C235" s="1">
        <f t="shared" si="9"/>
        <v>15.574162164389417</v>
      </c>
    </row>
    <row r="236" spans="1:3" ht="25.8" x14ac:dyDescent="0.25">
      <c r="A236" s="1">
        <v>11.853397260273972</v>
      </c>
      <c r="B236" s="1">
        <f t="shared" si="8"/>
        <v>45.496332343335787</v>
      </c>
      <c r="C236" s="1">
        <f t="shared" si="9"/>
        <v>15.571484485367037</v>
      </c>
    </row>
    <row r="237" spans="1:3" ht="25.8" x14ac:dyDescent="0.25">
      <c r="A237" s="1">
        <v>11.907397260273971</v>
      </c>
      <c r="B237" s="1">
        <f t="shared" si="8"/>
        <v>45.606962302873299</v>
      </c>
      <c r="C237" s="1">
        <f t="shared" si="9"/>
        <v>15.568684601414798</v>
      </c>
    </row>
    <row r="238" spans="1:3" ht="25.8" x14ac:dyDescent="0.25">
      <c r="A238" s="1">
        <v>11.961397260273971</v>
      </c>
      <c r="B238" s="1">
        <f t="shared" si="8"/>
        <v>45.717287702861398</v>
      </c>
      <c r="C238" s="1">
        <f t="shared" si="9"/>
        <v>15.565763765497294</v>
      </c>
    </row>
    <row r="239" spans="1:3" ht="25.8" x14ac:dyDescent="0.25">
      <c r="A239" s="1">
        <v>12.015397260273971</v>
      </c>
      <c r="B239" s="1">
        <f t="shared" si="8"/>
        <v>45.827310078803123</v>
      </c>
      <c r="C239" s="1">
        <f t="shared" si="9"/>
        <v>15.562723215914076</v>
      </c>
    </row>
    <row r="240" spans="1:3" ht="25.8" x14ac:dyDescent="0.25">
      <c r="A240" s="1">
        <v>12.069397260273972</v>
      </c>
      <c r="B240" s="1">
        <f t="shared" si="8"/>
        <v>45.937030951282367</v>
      </c>
      <c r="C240" s="1">
        <f t="shared" si="9"/>
        <v>15.559564176526656</v>
      </c>
    </row>
    <row r="241" spans="1:3" ht="25.8" x14ac:dyDescent="0.25">
      <c r="A241" s="1">
        <v>12.123397260273972</v>
      </c>
      <c r="B241" s="1">
        <f t="shared" si="8"/>
        <v>46.046451826187365</v>
      </c>
      <c r="C241" s="1">
        <f t="shared" si="9"/>
        <v>15.556287856981122</v>
      </c>
    </row>
    <row r="242" spans="1:3" ht="25.8" x14ac:dyDescent="0.25">
      <c r="A242" s="1">
        <v>12.177397260273972</v>
      </c>
      <c r="B242" s="1">
        <f t="shared" si="8"/>
        <v>46.155574194929457</v>
      </c>
      <c r="C242" s="1">
        <f t="shared" si="9"/>
        <v>15.552895452926286</v>
      </c>
    </row>
    <row r="243" spans="1:3" ht="25.8" x14ac:dyDescent="0.25">
      <c r="A243" s="1">
        <v>12.231397260273972</v>
      </c>
      <c r="B243" s="1">
        <f t="shared" si="8"/>
        <v>46.264399534657926</v>
      </c>
      <c r="C243" s="1">
        <f t="shared" si="9"/>
        <v>15.54938814622756</v>
      </c>
    </row>
    <row r="244" spans="1:3" ht="25.8" x14ac:dyDescent="0.25">
      <c r="A244" s="1">
        <v>12.285397260273971</v>
      </c>
      <c r="B244" s="1">
        <f t="shared" si="8"/>
        <v>46.372929308470312</v>
      </c>
      <c r="C244" s="1">
        <f t="shared" si="9"/>
        <v>15.545767105176619</v>
      </c>
    </row>
    <row r="245" spans="1:3" ht="25.8" x14ac:dyDescent="0.25">
      <c r="A245" s="1">
        <v>12.339397260273971</v>
      </c>
      <c r="B245" s="1">
        <f t="shared" si="8"/>
        <v>46.481164965618866</v>
      </c>
      <c r="C245" s="1">
        <f t="shared" si="9"/>
        <v>15.542033484697072</v>
      </c>
    </row>
    <row r="246" spans="1:3" ht="25.8" x14ac:dyDescent="0.25">
      <c r="A246" s="1">
        <v>12.393397260273971</v>
      </c>
      <c r="B246" s="1">
        <f t="shared" si="8"/>
        <v>46.589107941712932</v>
      </c>
      <c r="C246" s="1">
        <f t="shared" si="9"/>
        <v>15.538188426546007</v>
      </c>
    </row>
    <row r="247" spans="1:3" ht="25.8" x14ac:dyDescent="0.25">
      <c r="A247" s="1">
        <v>12.447397260273972</v>
      </c>
      <c r="B247" s="1">
        <f t="shared" si="8"/>
        <v>46.696759658917372</v>
      </c>
      <c r="C247" s="1">
        <f t="shared" si="9"/>
        <v>15.534233059511703</v>
      </c>
    </row>
    <row r="248" spans="1:3" ht="25.8" x14ac:dyDescent="0.25">
      <c r="A248" s="1">
        <v>12.501397260273972</v>
      </c>
      <c r="B248" s="1">
        <f t="shared" si="8"/>
        <v>46.804121526147277</v>
      </c>
      <c r="C248" s="1">
        <f t="shared" si="9"/>
        <v>15.53016849960758</v>
      </c>
    </row>
    <row r="249" spans="1:3" ht="25.8" x14ac:dyDescent="0.25">
      <c r="A249" s="1">
        <v>12.555397260273972</v>
      </c>
      <c r="B249" s="1">
        <f t="shared" si="8"/>
        <v>46.911194939258969</v>
      </c>
      <c r="C249" s="1">
        <f t="shared" si="9"/>
        <v>15.525995850262387</v>
      </c>
    </row>
    <row r="250" spans="1:3" ht="25.8" x14ac:dyDescent="0.25">
      <c r="A250" s="1">
        <v>12.609397260273973</v>
      </c>
      <c r="B250" s="1">
        <f t="shared" si="8"/>
        <v>47.017981281237319</v>
      </c>
      <c r="C250" s="1">
        <f t="shared" si="9"/>
        <v>15.521716202506727</v>
      </c>
    </row>
    <row r="251" spans="1:3" ht="25.8" x14ac:dyDescent="0.25">
      <c r="A251" s="1">
        <v>12.663397260273971</v>
      </c>
      <c r="B251" s="1">
        <f t="shared" si="8"/>
        <v>47.124481922379445</v>
      </c>
      <c r="C251" s="1">
        <f t="shared" si="9"/>
        <v>15.517330635156075</v>
      </c>
    </row>
    <row r="252" spans="1:3" ht="25.8" x14ac:dyDescent="0.25">
      <c r="A252" s="1">
        <v>12.717397260273971</v>
      </c>
      <c r="B252" s="1">
        <f t="shared" si="8"/>
        <v>47.230698220475141</v>
      </c>
      <c r="C252" s="1">
        <f t="shared" si="9"/>
        <v>15.512840214990451</v>
      </c>
    </row>
    <row r="253" spans="1:3" ht="25.8" x14ac:dyDescent="0.25">
      <c r="A253" s="1">
        <v>12.771397260273972</v>
      </c>
      <c r="B253" s="1">
        <f t="shared" si="8"/>
        <v>47.336631520983872</v>
      </c>
      <c r="C253" s="1">
        <f t="shared" si="9"/>
        <v>15.508245996930462</v>
      </c>
    </row>
    <row r="254" spans="1:3" ht="25.8" x14ac:dyDescent="0.25">
      <c r="A254" s="1">
        <v>12.825397260273972</v>
      </c>
      <c r="B254" s="1">
        <f t="shared" si="8"/>
        <v>47.442283157208202</v>
      </c>
      <c r="C254" s="1">
        <f t="shared" si="9"/>
        <v>15.503549024210248</v>
      </c>
    </row>
    <row r="255" spans="1:3" ht="25.8" x14ac:dyDescent="0.25">
      <c r="A255" s="1">
        <v>12.879397260273972</v>
      </c>
      <c r="B255" s="1">
        <f t="shared" ref="B255:B318" si="10">BS_call($B$1,$B$2,$B$3,$B$4,A255,$B$6)</f>
        <v>47.547654450464449</v>
      </c>
      <c r="C255" s="1">
        <f t="shared" ref="C255:C318" si="11">BS_put($B$1,$B$2,$B$3,$B$4,A255,$B$6)</f>
        <v>15.498750328547136</v>
      </c>
    </row>
    <row r="256" spans="1:3" ht="25.8" x14ac:dyDescent="0.25">
      <c r="A256" s="1">
        <v>12.933397260273972</v>
      </c>
      <c r="B256" s="1">
        <f t="shared" si="10"/>
        <v>47.652746710249772</v>
      </c>
      <c r="C256" s="1">
        <f t="shared" si="11"/>
        <v>15.493850930308152</v>
      </c>
    </row>
    <row r="257" spans="1:3" ht="25.8" x14ac:dyDescent="0.25">
      <c r="A257" s="1">
        <v>12.987397260273971</v>
      </c>
      <c r="B257" s="1">
        <f t="shared" si="10"/>
        <v>47.757561234406431</v>
      </c>
      <c r="C257" s="1">
        <f t="shared" si="11"/>
        <v>15.488851838673334</v>
      </c>
    </row>
    <row r="258" spans="1:3" ht="25.8" x14ac:dyDescent="0.25">
      <c r="A258" s="1">
        <v>13.041397260273971</v>
      </c>
      <c r="B258" s="1">
        <f t="shared" si="10"/>
        <v>47.862099309282947</v>
      </c>
      <c r="C258" s="1">
        <f t="shared" si="11"/>
        <v>15.483754051796321</v>
      </c>
    </row>
    <row r="259" spans="1:3" ht="25.8" x14ac:dyDescent="0.25">
      <c r="A259" s="1">
        <v>13.095397260273971</v>
      </c>
      <c r="B259" s="1">
        <f t="shared" si="10"/>
        <v>47.966362209892239</v>
      </c>
      <c r="C259" s="1">
        <f t="shared" si="11"/>
        <v>15.47855855696162</v>
      </c>
    </row>
    <row r="260" spans="1:3" ht="25.8" x14ac:dyDescent="0.25">
      <c r="A260" s="1">
        <v>13.149397260273972</v>
      </c>
      <c r="B260" s="1">
        <f t="shared" si="10"/>
        <v>48.070351200067101</v>
      </c>
      <c r="C260" s="1">
        <f t="shared" si="11"/>
        <v>15.47326633073931</v>
      </c>
    </row>
    <row r="261" spans="1:3" ht="25.8" x14ac:dyDescent="0.25">
      <c r="A261" s="1">
        <v>13.203397260273972</v>
      </c>
      <c r="B261" s="1">
        <f t="shared" si="10"/>
        <v>48.17406753261259</v>
      </c>
      <c r="C261" s="1">
        <f t="shared" si="11"/>
        <v>15.467878339136785</v>
      </c>
    </row>
    <row r="262" spans="1:3" ht="25.8" x14ac:dyDescent="0.25">
      <c r="A262" s="1">
        <v>13.257397260273972</v>
      </c>
      <c r="B262" s="1">
        <f t="shared" si="10"/>
        <v>48.277512449455827</v>
      </c>
      <c r="C262" s="1">
        <f t="shared" si="11"/>
        <v>15.462395537747724</v>
      </c>
    </row>
    <row r="263" spans="1:3" ht="25.8" x14ac:dyDescent="0.25">
      <c r="A263" s="1">
        <v>13.311397260273973</v>
      </c>
      <c r="B263" s="1">
        <f t="shared" si="10"/>
        <v>48.380687181793185</v>
      </c>
      <c r="C263" s="1">
        <f t="shared" si="11"/>
        <v>15.456818871898484</v>
      </c>
    </row>
    <row r="264" spans="1:3" ht="25.8" x14ac:dyDescent="0.25">
      <c r="A264" s="1">
        <v>13.365397260273971</v>
      </c>
      <c r="B264" s="1">
        <f t="shared" si="10"/>
        <v>48.483592950234538</v>
      </c>
      <c r="C264" s="1">
        <f t="shared" si="11"/>
        <v>15.451149276791774</v>
      </c>
    </row>
    <row r="265" spans="1:3" ht="25.8" x14ac:dyDescent="0.25">
      <c r="A265" s="1">
        <v>13.419397260273971</v>
      </c>
      <c r="B265" s="1">
        <f t="shared" si="10"/>
        <v>48.586230964945329</v>
      </c>
      <c r="C265" s="1">
        <f t="shared" si="11"/>
        <v>15.445387677647773</v>
      </c>
    </row>
    <row r="266" spans="1:3" ht="25.8" x14ac:dyDescent="0.25">
      <c r="A266" s="1">
        <v>13.473397260273972</v>
      </c>
      <c r="B266" s="1">
        <f t="shared" si="10"/>
        <v>48.688602425785781</v>
      </c>
      <c r="C266" s="1">
        <f t="shared" si="11"/>
        <v>15.439534989842656</v>
      </c>
    </row>
    <row r="267" spans="1:3" ht="25.8" x14ac:dyDescent="0.25">
      <c r="A267" s="1">
        <v>13.527397260273972</v>
      </c>
      <c r="B267" s="1">
        <f t="shared" si="10"/>
        <v>48.790708522447872</v>
      </c>
      <c r="C267" s="1">
        <f t="shared" si="11"/>
        <v>15.433592119044935</v>
      </c>
    </row>
    <row r="268" spans="1:3" ht="25.8" x14ac:dyDescent="0.25">
      <c r="A268" s="1">
        <v>13.581397260273972</v>
      </c>
      <c r="B268" s="1">
        <f t="shared" si="10"/>
        <v>48.892550434589786</v>
      </c>
      <c r="C268" s="1">
        <f t="shared" si="11"/>
        <v>15.427559961348983</v>
      </c>
    </row>
    <row r="269" spans="1:3" ht="25.8" x14ac:dyDescent="0.25">
      <c r="A269" s="1">
        <v>13.635397260273972</v>
      </c>
      <c r="B269" s="1">
        <f t="shared" si="10"/>
        <v>48.994129331968068</v>
      </c>
      <c r="C269" s="1">
        <f t="shared" si="11"/>
        <v>15.421439403406584</v>
      </c>
    </row>
    <row r="270" spans="1:3" ht="25.8" x14ac:dyDescent="0.25">
      <c r="A270" s="1">
        <v>13.689397260273971</v>
      </c>
      <c r="B270" s="1">
        <f t="shared" si="10"/>
        <v>49.095446374567331</v>
      </c>
      <c r="C270" s="1">
        <f t="shared" si="11"/>
        <v>15.415231322555858</v>
      </c>
    </row>
    <row r="271" spans="1:3" ht="25.8" x14ac:dyDescent="0.25">
      <c r="A271" s="1">
        <v>13.743397260273971</v>
      </c>
      <c r="B271" s="1">
        <f t="shared" si="10"/>
        <v>49.196502712727998</v>
      </c>
      <c r="C271" s="1">
        <f t="shared" si="11"/>
        <v>15.408936586948226</v>
      </c>
    </row>
    <row r="272" spans="1:3" ht="25.8" x14ac:dyDescent="0.25">
      <c r="A272" s="1">
        <v>13.797397260273971</v>
      </c>
      <c r="B272" s="1">
        <f t="shared" si="10"/>
        <v>49.297299487271552</v>
      </c>
      <c r="C272" s="1">
        <f t="shared" si="11"/>
        <v>15.402556055672921</v>
      </c>
    </row>
    <row r="273" spans="1:3" ht="25.8" x14ac:dyDescent="0.25">
      <c r="A273" s="1">
        <v>13.851397260273972</v>
      </c>
      <c r="B273" s="1">
        <f t="shared" si="10"/>
        <v>49.397837829623661</v>
      </c>
      <c r="C273" s="1">
        <f t="shared" si="11"/>
        <v>15.396090578879456</v>
      </c>
    </row>
    <row r="274" spans="1:3" ht="25.8" x14ac:dyDescent="0.25">
      <c r="A274" s="1">
        <v>13.905397260273972</v>
      </c>
      <c r="B274" s="1">
        <f t="shared" si="10"/>
        <v>49.498118861935382</v>
      </c>
      <c r="C274" s="1">
        <f t="shared" si="11"/>
        <v>15.389540997898017</v>
      </c>
    </row>
    <row r="275" spans="1:3" ht="25.8" x14ac:dyDescent="0.25">
      <c r="A275" s="1">
        <v>13.959397260273972</v>
      </c>
      <c r="B275" s="1">
        <f t="shared" si="10"/>
        <v>49.59814369720214</v>
      </c>
      <c r="C275" s="1">
        <f t="shared" si="11"/>
        <v>15.382908145357675</v>
      </c>
    </row>
    <row r="276" spans="1:3" ht="25.8" x14ac:dyDescent="0.25">
      <c r="A276" s="1">
        <v>14.013397260273972</v>
      </c>
      <c r="B276" s="1">
        <f t="shared" si="10"/>
        <v>49.697913439380606</v>
      </c>
      <c r="C276" s="1">
        <f t="shared" si="11"/>
        <v>15.376192845302604</v>
      </c>
    </row>
    <row r="277" spans="1:3" ht="25.8" x14ac:dyDescent="0.25">
      <c r="A277" s="1">
        <v>14.067397260273971</v>
      </c>
      <c r="B277" s="1">
        <f t="shared" si="10"/>
        <v>49.797429183503766</v>
      </c>
      <c r="C277" s="1">
        <f t="shared" si="11"/>
        <v>15.369395913306427</v>
      </c>
    </row>
    <row r="278" spans="1:3" ht="25.8" x14ac:dyDescent="0.25">
      <c r="A278" s="1">
        <v>14.121397260273971</v>
      </c>
      <c r="B278" s="1">
        <f t="shared" si="10"/>
        <v>49.896692015794031</v>
      </c>
      <c r="C278" s="1">
        <f t="shared" si="11"/>
        <v>15.362518156584443</v>
      </c>
    </row>
    <row r="279" spans="1:3" ht="25.8" x14ac:dyDescent="0.25">
      <c r="A279" s="1">
        <v>14.175397260273972</v>
      </c>
      <c r="B279" s="1">
        <f t="shared" si="10"/>
        <v>49.995703013774225</v>
      </c>
      <c r="C279" s="1">
        <f t="shared" si="11"/>
        <v>15.355560374104101</v>
      </c>
    </row>
    <row r="280" spans="1:3" ht="25.8" x14ac:dyDescent="0.25">
      <c r="A280" s="1">
        <v>14.229397260273972</v>
      </c>
      <c r="B280" s="1">
        <f t="shared" si="10"/>
        <v>50.094463246376982</v>
      </c>
      <c r="C280" s="1">
        <f t="shared" si="11"/>
        <v>15.348523356693491</v>
      </c>
    </row>
    <row r="281" spans="1:3" ht="25.8" x14ac:dyDescent="0.25">
      <c r="A281" s="1">
        <v>14.283397260273972</v>
      </c>
      <c r="B281" s="1">
        <f t="shared" si="10"/>
        <v>50.192973774052149</v>
      </c>
      <c r="C281" s="1">
        <f t="shared" si="11"/>
        <v>15.341407887148112</v>
      </c>
    </row>
    <row r="282" spans="1:3" ht="25.8" x14ac:dyDescent="0.25">
      <c r="A282" s="1">
        <v>14.337397260273972</v>
      </c>
      <c r="B282" s="1">
        <f t="shared" si="10"/>
        <v>50.291235648872529</v>
      </c>
      <c r="C282" s="1">
        <f t="shared" si="11"/>
        <v>15.334214740335796</v>
      </c>
    </row>
    <row r="283" spans="1:3" ht="25.8" x14ac:dyDescent="0.25">
      <c r="A283" s="1">
        <v>14.391397260273971</v>
      </c>
      <c r="B283" s="1">
        <f t="shared" si="10"/>
        <v>50.389249914637659</v>
      </c>
      <c r="C283" s="1">
        <f t="shared" si="11"/>
        <v>15.32694468329991</v>
      </c>
    </row>
    <row r="284" spans="1:3" ht="25.8" x14ac:dyDescent="0.25">
      <c r="A284" s="1">
        <v>14.445397260273971</v>
      </c>
      <c r="B284" s="1">
        <f t="shared" si="10"/>
        <v>50.48701760697611</v>
      </c>
      <c r="C284" s="1">
        <f t="shared" si="11"/>
        <v>15.319598475360763</v>
      </c>
    </row>
    <row r="285" spans="1:3" ht="25.8" x14ac:dyDescent="0.25">
      <c r="A285" s="1">
        <v>14.499397260273971</v>
      </c>
      <c r="B285" s="1">
        <f t="shared" si="10"/>
        <v>50.584539753446023</v>
      </c>
      <c r="C285" s="1">
        <f t="shared" si="11"/>
        <v>15.312176868215523</v>
      </c>
    </row>
    <row r="286" spans="1:3" ht="25.8" x14ac:dyDescent="0.25">
      <c r="A286" s="1">
        <v>14.553397260273972</v>
      </c>
      <c r="B286" s="1">
        <f t="shared" si="10"/>
        <v>50.681817373633898</v>
      </c>
      <c r="C286" s="1">
        <f t="shared" si="11"/>
        <v>15.304680606036232</v>
      </c>
    </row>
    <row r="287" spans="1:3" ht="25.8" x14ac:dyDescent="0.25">
      <c r="A287" s="1">
        <v>14.607397260273972</v>
      </c>
      <c r="B287" s="1">
        <f t="shared" si="10"/>
        <v>50.778851479251919</v>
      </c>
      <c r="C287" s="1">
        <f t="shared" si="11"/>
        <v>15.297110425566455</v>
      </c>
    </row>
    <row r="288" spans="1:3" ht="25.8" x14ac:dyDescent="0.25">
      <c r="A288" s="1">
        <v>14.661397260273972</v>
      </c>
      <c r="B288" s="1">
        <f t="shared" si="10"/>
        <v>50.875643074233579</v>
      </c>
      <c r="C288" s="1">
        <f t="shared" si="11"/>
        <v>15.289467056216129</v>
      </c>
    </row>
    <row r="289" spans="1:3" ht="25.8" x14ac:dyDescent="0.25">
      <c r="A289" s="1">
        <v>14.715397260273972</v>
      </c>
      <c r="B289" s="1">
        <f t="shared" si="10"/>
        <v>50.97219315482787</v>
      </c>
      <c r="C289" s="1">
        <f t="shared" si="11"/>
        <v>15.281751220155058</v>
      </c>
    </row>
    <row r="290" spans="1:3" ht="25.8" x14ac:dyDescent="0.25">
      <c r="A290" s="1">
        <v>14.769397260273971</v>
      </c>
      <c r="B290" s="1">
        <f t="shared" si="10"/>
        <v>51.068502709691842</v>
      </c>
      <c r="C290" s="1">
        <f t="shared" si="11"/>
        <v>15.273963632404758</v>
      </c>
    </row>
    <row r="291" spans="1:3" ht="25.8" x14ac:dyDescent="0.25">
      <c r="A291" s="1">
        <v>14.823397260273971</v>
      </c>
      <c r="B291" s="1">
        <f t="shared" si="10"/>
        <v>51.164572719981734</v>
      </c>
      <c r="C291" s="1">
        <f t="shared" si="11"/>
        <v>15.266105000928878</v>
      </c>
    </row>
    <row r="292" spans="1:3" ht="25.8" x14ac:dyDescent="0.25">
      <c r="A292" s="1">
        <v>14.877397260273971</v>
      </c>
      <c r="B292" s="1">
        <f t="shared" si="10"/>
        <v>51.260404159442643</v>
      </c>
      <c r="C292" s="1">
        <f t="shared" si="11"/>
        <v>15.258176026722136</v>
      </c>
    </row>
    <row r="293" spans="1:3" ht="25.8" x14ac:dyDescent="0.25">
      <c r="A293" s="1">
        <v>14.931397260273972</v>
      </c>
      <c r="B293" s="1">
        <f t="shared" si="10"/>
        <v>51.355997994496789</v>
      </c>
      <c r="C293" s="1">
        <f t="shared" si="11"/>
        <v>15.250177403897823</v>
      </c>
    </row>
    <row r="294" spans="1:3" ht="25.8" x14ac:dyDescent="0.25">
      <c r="A294" s="1">
        <v>14.985397260273972</v>
      </c>
      <c r="B294" s="1">
        <f t="shared" si="10"/>
        <v>51.451355184330239</v>
      </c>
      <c r="C294" s="1">
        <f t="shared" si="11"/>
        <v>15.24210981977394</v>
      </c>
    </row>
    <row r="295" spans="1:3" ht="25.8" x14ac:dyDescent="0.25">
      <c r="A295" s="1">
        <v>15.039397260273972</v>
      </c>
      <c r="B295" s="1">
        <f t="shared" si="10"/>
        <v>51.546476680978479</v>
      </c>
      <c r="C295" s="1">
        <f t="shared" si="11"/>
        <v>15.233973954957918</v>
      </c>
    </row>
    <row r="296" spans="1:3" ht="25.8" x14ac:dyDescent="0.25">
      <c r="A296" s="1">
        <v>15.093397260273971</v>
      </c>
      <c r="B296" s="1">
        <f t="shared" si="10"/>
        <v>51.641363429410447</v>
      </c>
      <c r="C296" s="1">
        <f t="shared" si="11"/>
        <v>15.225770483430058</v>
      </c>
    </row>
    <row r="297" spans="1:3" ht="25.8" x14ac:dyDescent="0.25">
      <c r="A297" s="1">
        <v>15.147397260273971</v>
      </c>
      <c r="B297" s="1">
        <f t="shared" si="10"/>
        <v>51.736016367611413</v>
      </c>
      <c r="C297" s="1">
        <f t="shared" si="11"/>
        <v>15.217500072625533</v>
      </c>
    </row>
    <row r="298" spans="1:3" ht="25.8" x14ac:dyDescent="0.25">
      <c r="A298" s="1">
        <v>15.201397260273971</v>
      </c>
      <c r="B298" s="1">
        <f t="shared" si="10"/>
        <v>51.830436426664306</v>
      </c>
      <c r="C298" s="1">
        <f t="shared" si="11"/>
        <v>15.209163383515211</v>
      </c>
    </row>
    <row r="299" spans="1:3" ht="25.8" x14ac:dyDescent="0.25">
      <c r="A299" s="1">
        <v>15.255397260273972</v>
      </c>
      <c r="B299" s="1">
        <f t="shared" si="10"/>
        <v>51.924624530830073</v>
      </c>
      <c r="C299" s="1">
        <f t="shared" si="11"/>
        <v>15.200761070685171</v>
      </c>
    </row>
    <row r="300" spans="1:3" ht="25.8" x14ac:dyDescent="0.25">
      <c r="A300" s="1">
        <v>15.309397260273972</v>
      </c>
      <c r="B300" s="1">
        <f t="shared" si="10"/>
        <v>52.0185815976266</v>
      </c>
      <c r="C300" s="1">
        <f t="shared" si="11"/>
        <v>15.192293782414943</v>
      </c>
    </row>
    <row r="301" spans="1:3" ht="25.8" x14ac:dyDescent="0.25">
      <c r="A301" s="1">
        <v>15.363397260273972</v>
      </c>
      <c r="B301" s="1">
        <f t="shared" si="10"/>
        <v>52.112308537906458</v>
      </c>
      <c r="C301" s="1">
        <f t="shared" si="11"/>
        <v>15.183762160754558</v>
      </c>
    </row>
    <row r="302" spans="1:3" ht="25.8" x14ac:dyDescent="0.25">
      <c r="A302" s="1">
        <v>15.417397260273972</v>
      </c>
      <c r="B302" s="1">
        <f t="shared" si="10"/>
        <v>52.205806255933453</v>
      </c>
      <c r="C302" s="1">
        <f t="shared" si="11"/>
        <v>15.175166841600408</v>
      </c>
    </row>
    <row r="303" spans="1:3" ht="25.8" x14ac:dyDescent="0.25">
      <c r="A303" s="1">
        <v>15.471397260273971</v>
      </c>
      <c r="B303" s="1">
        <f t="shared" si="10"/>
        <v>52.299075649457997</v>
      </c>
      <c r="C303" s="1">
        <f t="shared" si="11"/>
        <v>15.166508454769879</v>
      </c>
    </row>
    <row r="304" spans="1:3" ht="25.8" x14ac:dyDescent="0.25">
      <c r="A304" s="1">
        <v>15.525397260273971</v>
      </c>
      <c r="B304" s="1">
        <f t="shared" si="10"/>
        <v>52.39211760979137</v>
      </c>
      <c r="C304" s="1">
        <f t="shared" si="11"/>
        <v>15.157787624074899</v>
      </c>
    </row>
    <row r="305" spans="1:3" ht="25.8" x14ac:dyDescent="0.25">
      <c r="A305" s="1">
        <v>15.579397260273971</v>
      </c>
      <c r="B305" s="1">
        <f t="shared" si="10"/>
        <v>52.484933021878746</v>
      </c>
      <c r="C305" s="1">
        <f t="shared" si="11"/>
        <v>15.149004967394323</v>
      </c>
    </row>
    <row r="306" spans="1:3" ht="25.8" x14ac:dyDescent="0.25">
      <c r="A306" s="1">
        <v>15.633397260273972</v>
      </c>
      <c r="B306" s="1">
        <f t="shared" si="10"/>
        <v>52.577522764371139</v>
      </c>
      <c r="C306" s="1">
        <f t="shared" si="11"/>
        <v>15.14016109674515</v>
      </c>
    </row>
    <row r="307" spans="1:3" ht="25.8" x14ac:dyDescent="0.25">
      <c r="A307" s="1">
        <v>15.687397260273972</v>
      </c>
      <c r="B307" s="1">
        <f t="shared" si="10"/>
        <v>52.669887709696411</v>
      </c>
      <c r="C307" s="1">
        <f t="shared" si="11"/>
        <v>15.131256618352815</v>
      </c>
    </row>
    <row r="308" spans="1:3" ht="25.8" x14ac:dyDescent="0.25">
      <c r="A308" s="1">
        <v>15.741397260273972</v>
      </c>
      <c r="B308" s="1">
        <f t="shared" si="10"/>
        <v>52.762028724128953</v>
      </c>
      <c r="C308" s="1">
        <f t="shared" si="11"/>
        <v>15.122292132720151</v>
      </c>
    </row>
    <row r="309" spans="1:3" ht="25.8" x14ac:dyDescent="0.25">
      <c r="A309" s="1">
        <v>15.795397260273973</v>
      </c>
      <c r="B309" s="1">
        <f t="shared" si="10"/>
        <v>52.853946667858573</v>
      </c>
      <c r="C309" s="1">
        <f t="shared" si="11"/>
        <v>15.113268234695656</v>
      </c>
    </row>
    <row r="310" spans="1:3" ht="25.8" x14ac:dyDescent="0.25">
      <c r="A310" s="1">
        <v>15.849397260273971</v>
      </c>
      <c r="B310" s="1">
        <f t="shared" si="10"/>
        <v>52.945642395058059</v>
      </c>
      <c r="C310" s="1">
        <f t="shared" si="11"/>
        <v>15.10418551354029</v>
      </c>
    </row>
    <row r="311" spans="1:3" ht="25.8" x14ac:dyDescent="0.25">
      <c r="A311" s="1">
        <v>15.903397260273971</v>
      </c>
      <c r="B311" s="1">
        <f t="shared" si="10"/>
        <v>53.037116753950158</v>
      </c>
      <c r="C311" s="1">
        <f t="shared" si="11"/>
        <v>15.095044552993752</v>
      </c>
    </row>
    <row r="312" spans="1:3" ht="25.8" x14ac:dyDescent="0.25">
      <c r="A312" s="1">
        <v>15.957397260273972</v>
      </c>
      <c r="B312" s="1">
        <f t="shared" si="10"/>
        <v>53.128370586873018</v>
      </c>
      <c r="C312" s="1">
        <f t="shared" si="11"/>
        <v>15.085845931339318</v>
      </c>
    </row>
    <row r="313" spans="1:3" ht="25.8" x14ac:dyDescent="0.25">
      <c r="A313" s="1">
        <v>16.011397260273974</v>
      </c>
      <c r="B313" s="1">
        <f t="shared" si="10"/>
        <v>53.219404730345119</v>
      </c>
      <c r="C313" s="1">
        <f t="shared" si="11"/>
        <v>15.076590221467995</v>
      </c>
    </row>
    <row r="314" spans="1:3" ht="25.8" x14ac:dyDescent="0.25">
      <c r="A314" s="1">
        <v>16.065397260273972</v>
      </c>
      <c r="B314" s="1">
        <f t="shared" si="10"/>
        <v>53.310220015129069</v>
      </c>
      <c r="C314" s="1">
        <f t="shared" si="11"/>
        <v>15.067277990941609</v>
      </c>
    </row>
    <row r="315" spans="1:3" ht="25.8" x14ac:dyDescent="0.25">
      <c r="A315" s="1">
        <v>16.119397260273971</v>
      </c>
      <c r="B315" s="1">
        <f t="shared" si="10"/>
        <v>53.400817266294375</v>
      </c>
      <c r="C315" s="1">
        <f t="shared" si="11"/>
        <v>15.057909802054979</v>
      </c>
    </row>
    <row r="316" spans="1:3" ht="25.8" x14ac:dyDescent="0.25">
      <c r="A316" s="1">
        <v>16.173397260273973</v>
      </c>
      <c r="B316" s="1">
        <f t="shared" si="10"/>
        <v>53.491197303279435</v>
      </c>
      <c r="C316" s="1">
        <f t="shared" si="11"/>
        <v>15.048486211897149</v>
      </c>
    </row>
    <row r="317" spans="1:3" ht="25.8" x14ac:dyDescent="0.25">
      <c r="A317" s="1">
        <v>16.227397260273971</v>
      </c>
      <c r="B317" s="1">
        <f t="shared" si="10"/>
        <v>53.581360939952589</v>
      </c>
      <c r="C317" s="1">
        <f t="shared" si="11"/>
        <v>15.039007772411743</v>
      </c>
    </row>
    <row r="318" spans="1:3" ht="25.8" x14ac:dyDescent="0.25">
      <c r="A318" s="1">
        <v>16.281397260273973</v>
      </c>
      <c r="B318" s="1">
        <f t="shared" si="10"/>
        <v>53.67130898467218</v>
      </c>
      <c r="C318" s="1">
        <f t="shared" si="11"/>
        <v>15.029475030456393</v>
      </c>
    </row>
    <row r="319" spans="1:3" ht="25.8" x14ac:dyDescent="0.25">
      <c r="A319" s="1">
        <v>16.335397260273972</v>
      </c>
      <c r="B319" s="1">
        <f t="shared" ref="B319:B382" si="12">BS_call($B$1,$B$2,$B$3,$B$4,A319,$B$6)</f>
        <v>53.761042240345873</v>
      </c>
      <c r="C319" s="1">
        <f t="shared" ref="C319:C382" si="13">BS_put($B$1,$B$2,$B$3,$B$4,A319,$B$6)</f>
        <v>15.019888527861372</v>
      </c>
    </row>
    <row r="320" spans="1:3" ht="25.8" x14ac:dyDescent="0.25">
      <c r="A320" s="1">
        <v>16.38939726027397</v>
      </c>
      <c r="B320" s="1">
        <f t="shared" si="12"/>
        <v>53.85056150448915</v>
      </c>
      <c r="C320" s="1">
        <f t="shared" si="13"/>
        <v>15.010248801487254</v>
      </c>
    </row>
    <row r="321" spans="1:3" ht="25.8" x14ac:dyDescent="0.25">
      <c r="A321" s="1">
        <v>16.443397260273972</v>
      </c>
      <c r="B321" s="1">
        <f t="shared" si="12"/>
        <v>53.939867569282711</v>
      </c>
      <c r="C321" s="1">
        <f t="shared" si="13"/>
        <v>15.000556383281868</v>
      </c>
    </row>
    <row r="322" spans="1:3" ht="25.8" x14ac:dyDescent="0.25">
      <c r="A322" s="1">
        <v>16.497397260273971</v>
      </c>
      <c r="B322" s="1">
        <f t="shared" si="12"/>
        <v>54.028961221629302</v>
      </c>
      <c r="C322" s="1">
        <f t="shared" si="13"/>
        <v>14.990811800336283</v>
      </c>
    </row>
    <row r="323" spans="1:3" ht="25.8" x14ac:dyDescent="0.25">
      <c r="A323" s="1">
        <v>16.551397260273973</v>
      </c>
      <c r="B323" s="1">
        <f t="shared" si="12"/>
        <v>54.117843243209649</v>
      </c>
      <c r="C323" s="1">
        <f t="shared" si="13"/>
        <v>14.981015574940105</v>
      </c>
    </row>
    <row r="324" spans="1:3" ht="25.8" x14ac:dyDescent="0.25">
      <c r="A324" s="1">
        <v>16.605397260273971</v>
      </c>
      <c r="B324" s="1">
        <f t="shared" si="12"/>
        <v>54.206514410537551</v>
      </c>
      <c r="C324" s="1">
        <f t="shared" si="13"/>
        <v>14.971168224635909</v>
      </c>
    </row>
    <row r="325" spans="1:3" ht="25.8" x14ac:dyDescent="0.25">
      <c r="A325" s="1">
        <v>16.659397260273973</v>
      </c>
      <c r="B325" s="1">
        <f t="shared" si="12"/>
        <v>54.294975495014356</v>
      </c>
      <c r="C325" s="1">
        <f t="shared" si="13"/>
        <v>14.961270262272915</v>
      </c>
    </row>
    <row r="326" spans="1:3" ht="25.8" x14ac:dyDescent="0.25">
      <c r="A326" s="1">
        <v>16.713397260273972</v>
      </c>
      <c r="B326" s="1">
        <f t="shared" si="12"/>
        <v>54.38322726298226</v>
      </c>
      <c r="C326" s="1">
        <f t="shared" si="13"/>
        <v>14.951322196059852</v>
      </c>
    </row>
    <row r="327" spans="1:3" ht="25.8" x14ac:dyDescent="0.25">
      <c r="A327" s="1">
        <v>16.76739726027397</v>
      </c>
      <c r="B327" s="1">
        <f t="shared" si="12"/>
        <v>54.471270475777445</v>
      </c>
      <c r="C327" s="1">
        <f t="shared" si="13"/>
        <v>14.941324529617184</v>
      </c>
    </row>
    <row r="328" spans="1:3" ht="25.8" x14ac:dyDescent="0.25">
      <c r="A328" s="1">
        <v>16.821397260273972</v>
      </c>
      <c r="B328" s="1">
        <f t="shared" si="12"/>
        <v>54.559105889781918</v>
      </c>
      <c r="C328" s="1">
        <f t="shared" si="13"/>
        <v>14.93127776202836</v>
      </c>
    </row>
    <row r="329" spans="1:3" ht="25.8" x14ac:dyDescent="0.25">
      <c r="A329" s="1">
        <v>16.875397260273971</v>
      </c>
      <c r="B329" s="1">
        <f t="shared" si="12"/>
        <v>54.646734256474986</v>
      </c>
      <c r="C329" s="1">
        <f t="shared" si="13"/>
        <v>14.921182387890639</v>
      </c>
    </row>
    <row r="330" spans="1:3" ht="25.8" x14ac:dyDescent="0.25">
      <c r="A330" s="1">
        <v>16.929397260273973</v>
      </c>
      <c r="B330" s="1">
        <f t="shared" si="12"/>
        <v>54.734156322483827</v>
      </c>
      <c r="C330" s="1">
        <f t="shared" si="13"/>
        <v>14.911038897364962</v>
      </c>
    </row>
    <row r="331" spans="1:3" ht="25.8" x14ac:dyDescent="0.25">
      <c r="A331" s="1">
        <v>16.983397260273971</v>
      </c>
      <c r="B331" s="1">
        <f t="shared" si="12"/>
        <v>54.821372829633404</v>
      </c>
      <c r="C331" s="1">
        <f t="shared" si="13"/>
        <v>14.900847776225199</v>
      </c>
    </row>
    <row r="332" spans="1:3" ht="25.8" x14ac:dyDescent="0.25">
      <c r="A332" s="1">
        <v>17.037397260273973</v>
      </c>
      <c r="B332" s="1">
        <f t="shared" si="12"/>
        <v>54.908384514995745</v>
      </c>
      <c r="C332" s="1">
        <f t="shared" si="13"/>
        <v>14.890609505906724</v>
      </c>
    </row>
    <row r="333" spans="1:3" ht="25.8" x14ac:dyDescent="0.25">
      <c r="A333" s="1">
        <v>17.091397260273972</v>
      </c>
      <c r="B333" s="1">
        <f t="shared" si="12"/>
        <v>54.995192110938433</v>
      </c>
      <c r="C333" s="1">
        <f t="shared" si="13"/>
        <v>14.880324563554289</v>
      </c>
    </row>
    <row r="334" spans="1:3" ht="25.8" x14ac:dyDescent="0.25">
      <c r="A334" s="1">
        <v>17.14539726027397</v>
      </c>
      <c r="B334" s="1">
        <f t="shared" si="12"/>
        <v>55.081796345172492</v>
      </c>
      <c r="C334" s="1">
        <f t="shared" si="13"/>
        <v>14.869993422069202</v>
      </c>
    </row>
    <row r="335" spans="1:3" ht="25.8" x14ac:dyDescent="0.25">
      <c r="A335" s="1">
        <v>17.199397260273972</v>
      </c>
      <c r="B335" s="1">
        <f t="shared" si="12"/>
        <v>55.168197940799629</v>
      </c>
      <c r="C335" s="1">
        <f t="shared" si="13"/>
        <v>14.859616550155941</v>
      </c>
    </row>
    <row r="336" spans="1:3" ht="25.8" x14ac:dyDescent="0.25">
      <c r="A336" s="1">
        <v>17.253397260273971</v>
      </c>
      <c r="B336" s="1">
        <f t="shared" si="12"/>
        <v>55.254397616358844</v>
      </c>
      <c r="C336" s="1">
        <f t="shared" si="13"/>
        <v>14.849194412368</v>
      </c>
    </row>
    <row r="337" spans="1:3" ht="25.8" x14ac:dyDescent="0.25">
      <c r="A337" s="1">
        <v>17.307397260273973</v>
      </c>
      <c r="B337" s="1">
        <f t="shared" si="12"/>
        <v>55.340396085872221</v>
      </c>
      <c r="C337" s="1">
        <f t="shared" si="13"/>
        <v>14.838727469153127</v>
      </c>
    </row>
    <row r="338" spans="1:3" ht="25.8" x14ac:dyDescent="0.25">
      <c r="A338" s="1">
        <v>17.361397260273971</v>
      </c>
      <c r="B338" s="1">
        <f t="shared" si="12"/>
        <v>55.426194058890374</v>
      </c>
      <c r="C338" s="1">
        <f t="shared" si="13"/>
        <v>14.828216176898069</v>
      </c>
    </row>
    <row r="339" spans="1:3" ht="25.8" x14ac:dyDescent="0.25">
      <c r="A339" s="1">
        <v>17.41539726027397</v>
      </c>
      <c r="B339" s="1">
        <f t="shared" si="12"/>
        <v>55.511792240537076</v>
      </c>
      <c r="C339" s="1">
        <f t="shared" si="13"/>
        <v>14.81766098797252</v>
      </c>
    </row>
    <row r="340" spans="1:3" ht="25.8" x14ac:dyDescent="0.25">
      <c r="A340" s="1">
        <v>17.469397260273972</v>
      </c>
      <c r="B340" s="1">
        <f t="shared" si="12"/>
        <v>55.597191331553425</v>
      </c>
      <c r="C340" s="1">
        <f t="shared" si="13"/>
        <v>14.807062350772572</v>
      </c>
    </row>
    <row r="341" spans="1:3" ht="25.8" x14ac:dyDescent="0.25">
      <c r="A341" s="1">
        <v>17.52339726027397</v>
      </c>
      <c r="B341" s="1">
        <f t="shared" si="12"/>
        <v>55.682392028341205</v>
      </c>
      <c r="C341" s="1">
        <f t="shared" si="13"/>
        <v>14.796420709763552</v>
      </c>
    </row>
    <row r="342" spans="1:3" ht="25.8" x14ac:dyDescent="0.25">
      <c r="A342" s="1">
        <v>17.577397260273973</v>
      </c>
      <c r="B342" s="1">
        <f t="shared" si="12"/>
        <v>55.767395023005875</v>
      </c>
      <c r="C342" s="1">
        <f t="shared" si="13"/>
        <v>14.785736505522237</v>
      </c>
    </row>
    <row r="343" spans="1:3" ht="25.8" x14ac:dyDescent="0.25">
      <c r="A343" s="1">
        <v>17.631397260273971</v>
      </c>
      <c r="B343" s="1">
        <f t="shared" si="12"/>
        <v>55.852201003398974</v>
      </c>
      <c r="C343" s="1">
        <f t="shared" si="13"/>
        <v>14.775010174778579</v>
      </c>
    </row>
    <row r="344" spans="1:3" ht="25.8" x14ac:dyDescent="0.25">
      <c r="A344" s="1">
        <v>17.685397260273973</v>
      </c>
      <c r="B344" s="1">
        <f t="shared" si="12"/>
        <v>55.936810653159725</v>
      </c>
      <c r="C344" s="1">
        <f t="shared" si="13"/>
        <v>14.764242150456795</v>
      </c>
    </row>
    <row r="345" spans="1:3" ht="25.8" x14ac:dyDescent="0.25">
      <c r="A345" s="1">
        <v>17.739397260273972</v>
      </c>
      <c r="B345" s="1">
        <f t="shared" si="12"/>
        <v>56.021224651756398</v>
      </c>
      <c r="C345" s="1">
        <f t="shared" si="13"/>
        <v>14.753432861715922</v>
      </c>
    </row>
    <row r="346" spans="1:3" ht="25.8" x14ac:dyDescent="0.25">
      <c r="A346" s="1">
        <v>17.79339726027397</v>
      </c>
      <c r="B346" s="1">
        <f t="shared" si="12"/>
        <v>56.10544367452691</v>
      </c>
      <c r="C346" s="1">
        <f t="shared" si="13"/>
        <v>14.742582733989837</v>
      </c>
    </row>
    <row r="347" spans="1:3" ht="25.8" x14ac:dyDescent="0.25">
      <c r="A347" s="1">
        <v>17.847397260273972</v>
      </c>
      <c r="B347" s="1">
        <f t="shared" si="12"/>
        <v>56.189468392718958</v>
      </c>
      <c r="C347" s="1">
        <f t="shared" si="13"/>
        <v>14.731692189026678</v>
      </c>
    </row>
    <row r="348" spans="1:3" ht="25.8" x14ac:dyDescent="0.25">
      <c r="A348" s="1">
        <v>17.901397260273971</v>
      </c>
      <c r="B348" s="1">
        <f t="shared" si="12"/>
        <v>56.273299473529633</v>
      </c>
      <c r="C348" s="1">
        <f t="shared" si="13"/>
        <v>14.72076164492786</v>
      </c>
    </row>
    <row r="349" spans="1:3" ht="25.8" x14ac:dyDescent="0.25">
      <c r="A349" s="1">
        <v>17.955397260273973</v>
      </c>
      <c r="B349" s="1">
        <f t="shared" si="12"/>
        <v>56.356937580144461</v>
      </c>
      <c r="C349" s="1">
        <f t="shared" si="13"/>
        <v>14.70979151618649</v>
      </c>
    </row>
    <row r="350" spans="1:3" ht="25.8" x14ac:dyDescent="0.25">
      <c r="A350" s="1">
        <v>18.009397260273971</v>
      </c>
      <c r="B350" s="1">
        <f t="shared" si="12"/>
        <v>56.440383371776065</v>
      </c>
      <c r="C350" s="1">
        <f t="shared" si="13"/>
        <v>14.698782213725247</v>
      </c>
    </row>
    <row r="351" spans="1:3" ht="25.8" x14ac:dyDescent="0.25">
      <c r="A351" s="1">
        <v>18.063397260273973</v>
      </c>
      <c r="B351" s="1">
        <f t="shared" si="12"/>
        <v>56.523637503702091</v>
      </c>
      <c r="C351" s="1">
        <f t="shared" si="13"/>
        <v>14.687734144933788</v>
      </c>
    </row>
    <row r="352" spans="1:3" ht="25.8" x14ac:dyDescent="0.25">
      <c r="A352" s="1">
        <v>18.117397260273972</v>
      </c>
      <c r="B352" s="1">
        <f t="shared" si="12"/>
        <v>56.606700627302942</v>
      </c>
      <c r="C352" s="1">
        <f t="shared" si="13"/>
        <v>14.676647713705762</v>
      </c>
    </row>
    <row r="353" spans="1:3" ht="25.8" x14ac:dyDescent="0.25">
      <c r="A353" s="1">
        <v>18.17139726027397</v>
      </c>
      <c r="B353" s="1">
        <f t="shared" si="12"/>
        <v>56.689573390098687</v>
      </c>
      <c r="C353" s="1">
        <f t="shared" si="13"/>
        <v>14.665523320475085</v>
      </c>
    </row>
    <row r="354" spans="1:3" ht="25.8" x14ac:dyDescent="0.25">
      <c r="A354" s="1">
        <v>18.225397260273972</v>
      </c>
      <c r="B354" s="1">
        <f t="shared" si="12"/>
        <v>56.772256435785799</v>
      </c>
      <c r="C354" s="1">
        <f t="shared" si="13"/>
        <v>14.654361362252057</v>
      </c>
    </row>
    <row r="355" spans="1:3" ht="25.8" x14ac:dyDescent="0.25">
      <c r="A355" s="1">
        <v>18.279397260273971</v>
      </c>
      <c r="B355" s="1">
        <f t="shared" si="12"/>
        <v>56.854750404273211</v>
      </c>
      <c r="C355" s="1">
        <f t="shared" si="13"/>
        <v>14.643162232658726</v>
      </c>
    </row>
    <row r="356" spans="1:3" ht="25.8" x14ac:dyDescent="0.25">
      <c r="A356" s="1">
        <v>18.333397260273973</v>
      </c>
      <c r="B356" s="1">
        <f t="shared" si="12"/>
        <v>56.937055931718035</v>
      </c>
      <c r="C356" s="1">
        <f t="shared" si="13"/>
        <v>14.631926321963979</v>
      </c>
    </row>
    <row r="357" spans="1:3" ht="25.8" x14ac:dyDescent="0.25">
      <c r="A357" s="1">
        <v>18.387397260273971</v>
      </c>
      <c r="B357" s="1">
        <f t="shared" si="12"/>
        <v>57.019173650560717</v>
      </c>
      <c r="C357" s="1">
        <f t="shared" si="13"/>
        <v>14.620654017118046</v>
      </c>
    </row>
    <row r="358" spans="1:3" ht="25.8" x14ac:dyDescent="0.25">
      <c r="A358" s="1">
        <v>18.441397260273973</v>
      </c>
      <c r="B358" s="1">
        <f t="shared" si="12"/>
        <v>57.101104189559848</v>
      </c>
      <c r="C358" s="1">
        <f t="shared" si="13"/>
        <v>14.609345701786687</v>
      </c>
    </row>
    <row r="359" spans="1:3" ht="25.8" x14ac:dyDescent="0.25">
      <c r="A359" s="1">
        <v>18.495397260273972</v>
      </c>
      <c r="B359" s="1">
        <f t="shared" si="12"/>
        <v>57.182848173826372</v>
      </c>
      <c r="C359" s="1">
        <f t="shared" si="13"/>
        <v>14.598001756384772</v>
      </c>
    </row>
    <row r="360" spans="1:3" ht="25.8" x14ac:dyDescent="0.25">
      <c r="A360" s="1">
        <v>18.54939726027397</v>
      </c>
      <c r="B360" s="1">
        <f t="shared" si="12"/>
        <v>57.264406224857666</v>
      </c>
      <c r="C360" s="1">
        <f t="shared" si="13"/>
        <v>14.586622558109626</v>
      </c>
    </row>
    <row r="361" spans="1:3" ht="25.8" x14ac:dyDescent="0.25">
      <c r="A361" s="1">
        <v>18.603397260273972</v>
      </c>
      <c r="B361" s="1">
        <f t="shared" si="12"/>
        <v>57.345778960570804</v>
      </c>
      <c r="C361" s="1">
        <f t="shared" si="13"/>
        <v>14.575208480973769</v>
      </c>
    </row>
    <row r="362" spans="1:3" ht="25.8" x14ac:dyDescent="0.25">
      <c r="A362" s="1">
        <v>18.657397260273971</v>
      </c>
      <c r="B362" s="1">
        <f t="shared" si="12"/>
        <v>57.426966995335661</v>
      </c>
      <c r="C362" s="1">
        <f t="shared" si="13"/>
        <v>14.563759895837341</v>
      </c>
    </row>
    <row r="363" spans="1:3" ht="25.8" x14ac:dyDescent="0.25">
      <c r="A363" s="1">
        <v>18.711397260273973</v>
      </c>
      <c r="B363" s="1">
        <f t="shared" si="12"/>
        <v>57.507970940007546</v>
      </c>
      <c r="C363" s="1">
        <f t="shared" si="13"/>
        <v>14.552277170440002</v>
      </c>
    </row>
    <row r="364" spans="1:3" ht="25.8" x14ac:dyDescent="0.25">
      <c r="A364" s="1">
        <v>18.765397260273971</v>
      </c>
      <c r="B364" s="1">
        <f t="shared" si="12"/>
        <v>57.588791401959412</v>
      </c>
      <c r="C364" s="1">
        <f t="shared" si="13"/>
        <v>14.540760669432643</v>
      </c>
    </row>
    <row r="365" spans="1:3" ht="25.8" x14ac:dyDescent="0.25">
      <c r="A365" s="1">
        <v>18.81939726027397</v>
      </c>
      <c r="B365" s="1">
        <f t="shared" si="12"/>
        <v>57.669428985113569</v>
      </c>
      <c r="C365" s="1">
        <f t="shared" si="13"/>
        <v>14.529210754408437</v>
      </c>
    </row>
    <row r="366" spans="1:3" ht="25.8" x14ac:dyDescent="0.25">
      <c r="A366" s="1">
        <v>18.873397260273972</v>
      </c>
      <c r="B366" s="1">
        <f t="shared" si="12"/>
        <v>57.749884289973238</v>
      </c>
      <c r="C366" s="1">
        <f t="shared" si="13"/>
        <v>14.517627783933643</v>
      </c>
    </row>
    <row r="367" spans="1:3" ht="25.8" x14ac:dyDescent="0.25">
      <c r="A367" s="1">
        <v>18.92739726027397</v>
      </c>
      <c r="B367" s="1">
        <f t="shared" si="12"/>
        <v>57.830157913653451</v>
      </c>
      <c r="C367" s="1">
        <f t="shared" si="13"/>
        <v>14.506012113577981</v>
      </c>
    </row>
    <row r="368" spans="1:3" ht="25.8" x14ac:dyDescent="0.25">
      <c r="A368" s="1">
        <v>18.981397260273972</v>
      </c>
      <c r="B368" s="1">
        <f t="shared" si="12"/>
        <v>57.910250449911693</v>
      </c>
      <c r="C368" s="1">
        <f t="shared" si="13"/>
        <v>14.494364095944652</v>
      </c>
    </row>
    <row r="369" spans="1:3" ht="25.8" x14ac:dyDescent="0.25">
      <c r="A369" s="1">
        <v>19.035397260273971</v>
      </c>
      <c r="B369" s="1">
        <f t="shared" si="12"/>
        <v>57.990162489178246</v>
      </c>
      <c r="C369" s="1">
        <f t="shared" si="13"/>
        <v>14.482684080699972</v>
      </c>
    </row>
    <row r="370" spans="1:3" ht="25.8" x14ac:dyDescent="0.25">
      <c r="A370" s="1">
        <v>19.089397260273973</v>
      </c>
      <c r="B370" s="1">
        <f t="shared" si="12"/>
        <v>58.069894618585977</v>
      </c>
      <c r="C370" s="1">
        <f t="shared" si="13"/>
        <v>14.470972414602549</v>
      </c>
    </row>
    <row r="371" spans="1:3" ht="25.8" x14ac:dyDescent="0.25">
      <c r="A371" s="1">
        <v>19.143397260273971</v>
      </c>
      <c r="B371" s="1">
        <f t="shared" si="12"/>
        <v>58.149447421999916</v>
      </c>
      <c r="C371" s="1">
        <f t="shared" si="13"/>
        <v>14.459229441532278</v>
      </c>
    </row>
    <row r="372" spans="1:3" ht="25.8" x14ac:dyDescent="0.25">
      <c r="A372" s="1">
        <v>19.19739726027397</v>
      </c>
      <c r="B372" s="1">
        <f t="shared" si="12"/>
        <v>58.228821480046349</v>
      </c>
      <c r="C372" s="1">
        <f t="shared" si="13"/>
        <v>14.447455502518762</v>
      </c>
    </row>
    <row r="373" spans="1:3" ht="25.8" x14ac:dyDescent="0.25">
      <c r="A373" s="1">
        <v>19.251397260273972</v>
      </c>
      <c r="B373" s="1">
        <f t="shared" si="12"/>
        <v>58.308017370141698</v>
      </c>
      <c r="C373" s="1">
        <f t="shared" si="13"/>
        <v>14.435650935769557</v>
      </c>
    </row>
    <row r="374" spans="1:3" ht="25.8" x14ac:dyDescent="0.25">
      <c r="A374" s="1">
        <v>19.305397260273971</v>
      </c>
      <c r="B374" s="1">
        <f t="shared" si="12"/>
        <v>58.387035666520909</v>
      </c>
      <c r="C374" s="1">
        <f t="shared" si="13"/>
        <v>14.423816076697948</v>
      </c>
    </row>
    <row r="375" spans="1:3" ht="25.8" x14ac:dyDescent="0.25">
      <c r="A375" s="1">
        <v>19.359397260273973</v>
      </c>
      <c r="B375" s="1">
        <f t="shared" si="12"/>
        <v>58.465876940265566</v>
      </c>
      <c r="C375" s="1">
        <f t="shared" si="13"/>
        <v>14.411951257950459</v>
      </c>
    </row>
    <row r="376" spans="1:3" ht="25.8" x14ac:dyDescent="0.25">
      <c r="A376" s="1">
        <v>19.413397260273971</v>
      </c>
      <c r="B376" s="1">
        <f t="shared" si="12"/>
        <v>58.544541759331679</v>
      </c>
      <c r="C376" s="1">
        <f t="shared" si="13"/>
        <v>14.400056809433957</v>
      </c>
    </row>
    <row r="377" spans="1:3" ht="25.8" x14ac:dyDescent="0.25">
      <c r="A377" s="1">
        <v>19.467397260273973</v>
      </c>
      <c r="B377" s="1">
        <f t="shared" si="12"/>
        <v>58.623030688577032</v>
      </c>
      <c r="C377" s="1">
        <f t="shared" si="13"/>
        <v>14.38813305834249</v>
      </c>
    </row>
    <row r="378" spans="1:3" ht="25.8" x14ac:dyDescent="0.25">
      <c r="A378" s="1">
        <v>19.521397260273972</v>
      </c>
      <c r="B378" s="1">
        <f t="shared" si="12"/>
        <v>58.70134428978848</v>
      </c>
      <c r="C378" s="1">
        <f t="shared" si="13"/>
        <v>14.376180329183748</v>
      </c>
    </row>
    <row r="379" spans="1:3" ht="25.8" x14ac:dyDescent="0.25">
      <c r="A379" s="1">
        <v>19.57539726027397</v>
      </c>
      <c r="B379" s="1">
        <f t="shared" si="12"/>
        <v>58.779483121708438</v>
      </c>
      <c r="C379" s="1">
        <f t="shared" si="13"/>
        <v>14.364198943805206</v>
      </c>
    </row>
    <row r="380" spans="1:3" ht="25.8" x14ac:dyDescent="0.25">
      <c r="A380" s="1">
        <v>19.629397260273972</v>
      </c>
      <c r="B380" s="1">
        <f t="shared" si="12"/>
        <v>58.857447740061644</v>
      </c>
      <c r="C380" s="1">
        <f t="shared" si="13"/>
        <v>14.352189221419987</v>
      </c>
    </row>
    <row r="381" spans="1:3" ht="25.8" x14ac:dyDescent="0.25">
      <c r="A381" s="1">
        <v>19.683397260273971</v>
      </c>
      <c r="B381" s="1">
        <f t="shared" si="12"/>
        <v>58.935238697581021</v>
      </c>
      <c r="C381" s="1">
        <f t="shared" si="13"/>
        <v>14.340151478632352</v>
      </c>
    </row>
    <row r="382" spans="1:3" ht="25.8" x14ac:dyDescent="0.25">
      <c r="A382" s="1">
        <v>19.737397260273973</v>
      </c>
      <c r="B382" s="1">
        <f t="shared" si="12"/>
        <v>59.01285654403371</v>
      </c>
      <c r="C382" s="1">
        <f t="shared" si="13"/>
        <v>14.328086029462931</v>
      </c>
    </row>
    <row r="383" spans="1:3" ht="25.8" x14ac:dyDescent="0.25">
      <c r="A383" s="1">
        <v>19.791397260273971</v>
      </c>
      <c r="B383" s="1">
        <f t="shared" ref="B383:B386" si="14">BS_call($B$1,$B$2,$B$3,$B$4,A383,$B$6)</f>
        <v>59.090301826246474</v>
      </c>
      <c r="C383" s="1">
        <f t="shared" ref="C383:C386" si="15">BS_put($B$1,$B$2,$B$3,$B$4,A383,$B$6)</f>
        <v>14.315993185373598</v>
      </c>
    </row>
    <row r="384" spans="1:3" ht="25.8" x14ac:dyDescent="0.25">
      <c r="A384" s="1">
        <v>19.845397260273973</v>
      </c>
      <c r="B384" s="1">
        <f t="shared" si="14"/>
        <v>59.167575088131017</v>
      </c>
      <c r="C384" s="1">
        <f t="shared" si="15"/>
        <v>14.303873255292135</v>
      </c>
    </row>
    <row r="385" spans="1:3" ht="25.8" x14ac:dyDescent="0.25">
      <c r="A385" s="1">
        <v>19.899397260273972</v>
      </c>
      <c r="B385" s="1">
        <f t="shared" si="14"/>
        <v>59.244676870708815</v>
      </c>
      <c r="C385" s="1">
        <f t="shared" si="15"/>
        <v>14.291726545636489</v>
      </c>
    </row>
    <row r="386" spans="1:3" ht="25.8" x14ac:dyDescent="0.25">
      <c r="A386" s="1">
        <v>19.95339726027397</v>
      </c>
      <c r="B386" s="1">
        <f t="shared" si="14"/>
        <v>59.32160771213578</v>
      </c>
      <c r="C386" s="1">
        <f t="shared" si="15"/>
        <v>14.279553360338774</v>
      </c>
    </row>
  </sheetData>
  <mergeCells count="1">
    <mergeCell ref="E1:J8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4AAA4-1F1B-45A2-B135-1B7F55C2689E}">
  <sheetPr codeName="Sheet7"/>
  <dimension ref="A1:L117"/>
  <sheetViews>
    <sheetView tabSelected="1" zoomScale="55" zoomScaleNormal="55" workbookViewId="0">
      <selection activeCell="B19" sqref="B19"/>
    </sheetView>
  </sheetViews>
  <sheetFormatPr defaultRowHeight="15.6" x14ac:dyDescent="0.25"/>
  <cols>
    <col min="1" max="1" width="27.09765625" customWidth="1"/>
    <col min="2" max="2" width="23.19921875" customWidth="1"/>
    <col min="3" max="3" width="17" customWidth="1"/>
    <col min="11" max="11" width="31.19921875" customWidth="1"/>
    <col min="12" max="12" width="21.69921875" customWidth="1"/>
  </cols>
  <sheetData>
    <row r="1" spans="1:12" ht="25.5" customHeight="1" x14ac:dyDescent="0.25">
      <c r="A1" s="2" t="s">
        <v>2</v>
      </c>
      <c r="B1" s="1">
        <v>100</v>
      </c>
      <c r="E1" s="6" t="s">
        <v>11</v>
      </c>
      <c r="F1" s="6"/>
      <c r="G1" s="6"/>
      <c r="H1" s="6"/>
      <c r="I1" s="6"/>
      <c r="J1" s="6"/>
      <c r="K1" s="3" t="s">
        <v>10</v>
      </c>
      <c r="L1" s="3" t="s">
        <v>13</v>
      </c>
    </row>
    <row r="2" spans="1:12" ht="25.8" x14ac:dyDescent="0.25">
      <c r="A2" s="2" t="s">
        <v>3</v>
      </c>
      <c r="B2" s="1">
        <v>0.25</v>
      </c>
      <c r="E2" s="6"/>
      <c r="F2" s="6"/>
      <c r="G2" s="6"/>
      <c r="H2" s="6"/>
      <c r="I2" s="6"/>
      <c r="J2" s="6"/>
      <c r="K2" s="4" t="s">
        <v>8</v>
      </c>
      <c r="L2" s="4" t="s">
        <v>17</v>
      </c>
    </row>
    <row r="3" spans="1:12" ht="25.8" x14ac:dyDescent="0.2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  <c r="L3" s="4" t="s">
        <v>18</v>
      </c>
    </row>
    <row r="4" spans="1:12" ht="25.8" x14ac:dyDescent="0.25">
      <c r="A4" s="2" t="s">
        <v>4</v>
      </c>
      <c r="B4" s="1">
        <v>0</v>
      </c>
      <c r="E4" s="6"/>
      <c r="F4" s="6"/>
      <c r="G4" s="6"/>
      <c r="H4" s="6"/>
      <c r="I4" s="6"/>
      <c r="J4" s="6"/>
      <c r="K4" s="4" t="s">
        <v>12</v>
      </c>
      <c r="L4" s="4" t="s">
        <v>19</v>
      </c>
    </row>
    <row r="5" spans="1:12" ht="25.8" x14ac:dyDescent="0.25">
      <c r="A5" s="2" t="s">
        <v>5</v>
      </c>
      <c r="B5" s="1">
        <f>30/365</f>
        <v>8.2191780821917804E-2</v>
      </c>
      <c r="E5" s="6"/>
      <c r="F5" s="6"/>
      <c r="G5" s="6"/>
      <c r="H5" s="6"/>
      <c r="I5" s="6"/>
      <c r="J5" s="6"/>
      <c r="K5" s="4" t="s">
        <v>14</v>
      </c>
      <c r="L5" s="4" t="s">
        <v>20</v>
      </c>
    </row>
    <row r="6" spans="1:12" ht="25.8" x14ac:dyDescent="0.25">
      <c r="A6" s="2" t="s">
        <v>7</v>
      </c>
      <c r="B6" s="1">
        <v>100</v>
      </c>
      <c r="E6" s="6"/>
      <c r="F6" s="6"/>
      <c r="G6" s="6"/>
      <c r="H6" s="6"/>
      <c r="I6" s="6"/>
      <c r="J6" s="6"/>
      <c r="K6" s="4" t="s">
        <v>15</v>
      </c>
      <c r="L6" s="4" t="s">
        <v>21</v>
      </c>
    </row>
    <row r="7" spans="1:12" x14ac:dyDescent="0.25">
      <c r="E7" s="6"/>
      <c r="F7" s="6"/>
      <c r="G7" s="6"/>
      <c r="H7" s="6"/>
      <c r="I7" s="6"/>
      <c r="J7" s="6"/>
      <c r="K7" s="4" t="s">
        <v>16</v>
      </c>
      <c r="L7" s="4" t="s">
        <v>22</v>
      </c>
    </row>
    <row r="8" spans="1:12" ht="25.8" x14ac:dyDescent="0.25">
      <c r="A8" s="1" t="s">
        <v>0</v>
      </c>
      <c r="B8" s="1">
        <f>BS_call(S,σ,rf,q,T,X)</f>
        <v>7.4421669789018239</v>
      </c>
      <c r="C8" s="1"/>
      <c r="E8" s="6"/>
      <c r="F8" s="6"/>
      <c r="G8" s="6"/>
      <c r="H8" s="6"/>
      <c r="I8" s="6"/>
      <c r="J8" s="6"/>
    </row>
    <row r="9" spans="1:12" ht="25.8" x14ac:dyDescent="0.25">
      <c r="A9" s="1" t="s">
        <v>1</v>
      </c>
      <c r="B9" s="1">
        <f>BS_put(S,σ,rf,q,T,X)</f>
        <v>7.9053347234242466</v>
      </c>
      <c r="C9" s="1"/>
      <c r="K9" s="5"/>
    </row>
    <row r="10" spans="1:12" ht="25.8" x14ac:dyDescent="0.25">
      <c r="A10" s="1" t="s">
        <v>23</v>
      </c>
      <c r="B10" s="1">
        <f>in_val_call(S,σ,rf,q,T,X)</f>
        <v>0</v>
      </c>
      <c r="C10" s="1"/>
      <c r="K10" s="5"/>
    </row>
    <row r="11" spans="1:12" ht="25.8" x14ac:dyDescent="0.25">
      <c r="A11" s="1" t="s">
        <v>24</v>
      </c>
      <c r="B11" s="1">
        <f>in_val_put(S,σ,rf,q,T,X)</f>
        <v>2</v>
      </c>
      <c r="G11" s="3"/>
      <c r="J11" s="3"/>
      <c r="K11" s="5"/>
    </row>
    <row r="12" spans="1:12" ht="25.8" x14ac:dyDescent="0.25">
      <c r="A12" s="1" t="s">
        <v>25</v>
      </c>
      <c r="B12" s="1">
        <f>floor_call(S,σ,rf,q,T,X)</f>
        <v>0</v>
      </c>
      <c r="C12" s="1"/>
    </row>
    <row r="13" spans="1:12" ht="25.8" x14ac:dyDescent="0.25">
      <c r="A13" s="1" t="s">
        <v>26</v>
      </c>
      <c r="B13" s="1">
        <f>floor_put(S,σ,rf,q,T,X)</f>
        <v>0.46316774452242271</v>
      </c>
      <c r="C13" s="1"/>
      <c r="G13" s="3"/>
    </row>
    <row r="14" spans="1:12" ht="25.8" x14ac:dyDescent="0.25">
      <c r="A14" s="1"/>
      <c r="B14" s="1"/>
    </row>
    <row r="15" spans="1:12" ht="25.8" x14ac:dyDescent="0.25">
      <c r="A15" s="1"/>
      <c r="B15" s="1"/>
    </row>
    <row r="16" spans="1:12" ht="25.8" x14ac:dyDescent="0.25">
      <c r="A16" s="2" t="s">
        <v>7</v>
      </c>
      <c r="B16" s="1" t="s">
        <v>0</v>
      </c>
      <c r="C16" s="1" t="s">
        <v>1</v>
      </c>
    </row>
    <row r="17" spans="1:3" ht="25.8" x14ac:dyDescent="0.25">
      <c r="A17" s="1">
        <v>50</v>
      </c>
      <c r="B17" s="1">
        <f>BS_call($B$1,$B$2,$B$3,$B$4,$B$5,A17)</f>
        <v>50.123135797587395</v>
      </c>
      <c r="C17" s="1">
        <f>BS_put($B$1,$B$2,$B$3,$B$4,$B$5,A17)</f>
        <v>7.3016987714618369E-23</v>
      </c>
    </row>
    <row r="18" spans="1:3" ht="25.8" x14ac:dyDescent="0.25">
      <c r="A18" s="1">
        <v>51</v>
      </c>
      <c r="B18" s="1">
        <f t="shared" ref="B18:B81" si="0">BS_call($B$1,$B$2,$B$3,$B$4,$B$5,A18)</f>
        <v>49.125598513539146</v>
      </c>
      <c r="C18" s="1">
        <f t="shared" ref="C18:C81" si="1">BS_put($B$1,$B$2,$B$3,$B$4,$B$5,A18)</f>
        <v>1.0965793206633851E-21</v>
      </c>
    </row>
    <row r="19" spans="1:3" ht="25.8" x14ac:dyDescent="0.25">
      <c r="A19" s="1">
        <v>52</v>
      </c>
      <c r="B19" s="1">
        <f t="shared" si="0"/>
        <v>48.128061229490896</v>
      </c>
      <c r="C19" s="1">
        <f t="shared" si="1"/>
        <v>1.4530267520211344E-20</v>
      </c>
    </row>
    <row r="20" spans="1:3" ht="25.8" x14ac:dyDescent="0.25">
      <c r="A20" s="1">
        <v>53</v>
      </c>
      <c r="B20" s="1">
        <f t="shared" si="0"/>
        <v>47.13052394544264</v>
      </c>
      <c r="C20" s="1">
        <f t="shared" si="1"/>
        <v>1.7093305751103268E-19</v>
      </c>
    </row>
    <row r="21" spans="1:3" ht="25.8" x14ac:dyDescent="0.25">
      <c r="A21" s="1">
        <v>54</v>
      </c>
      <c r="B21" s="1">
        <f t="shared" si="0"/>
        <v>46.132986661394391</v>
      </c>
      <c r="C21" s="1">
        <f t="shared" si="1"/>
        <v>1.7956680250395304E-18</v>
      </c>
    </row>
    <row r="22" spans="1:3" ht="25.8" x14ac:dyDescent="0.25">
      <c r="A22" s="1">
        <v>55</v>
      </c>
      <c r="B22" s="1">
        <f t="shared" si="0"/>
        <v>45.135449377346141</v>
      </c>
      <c r="C22" s="1">
        <f t="shared" si="1"/>
        <v>1.693726884436959E-17</v>
      </c>
    </row>
    <row r="23" spans="1:3" ht="25.8" x14ac:dyDescent="0.25">
      <c r="A23" s="1">
        <v>56</v>
      </c>
      <c r="B23" s="1">
        <f t="shared" si="0"/>
        <v>44.137912093297878</v>
      </c>
      <c r="C23" s="1">
        <f t="shared" si="1"/>
        <v>1.4417888668192808E-16</v>
      </c>
    </row>
    <row r="24" spans="1:3" ht="25.8" x14ac:dyDescent="0.25">
      <c r="A24" s="1">
        <v>57</v>
      </c>
      <c r="B24" s="1">
        <f t="shared" si="0"/>
        <v>43.140374809249636</v>
      </c>
      <c r="C24" s="1">
        <f t="shared" si="1"/>
        <v>1.112986200514394E-15</v>
      </c>
    </row>
    <row r="25" spans="1:3" ht="25.8" x14ac:dyDescent="0.25">
      <c r="A25" s="1">
        <v>58</v>
      </c>
      <c r="B25" s="1">
        <f t="shared" si="0"/>
        <v>42.142837525201394</v>
      </c>
      <c r="C25" s="1">
        <f t="shared" si="1"/>
        <v>7.8265838225472788E-15</v>
      </c>
    </row>
    <row r="26" spans="1:3" ht="25.8" x14ac:dyDescent="0.25">
      <c r="A26" s="1">
        <v>59</v>
      </c>
      <c r="B26" s="1">
        <f t="shared" si="0"/>
        <v>41.14530024115318</v>
      </c>
      <c r="C26" s="1">
        <f t="shared" si="1"/>
        <v>5.0349907447550559E-14</v>
      </c>
    </row>
    <row r="27" spans="1:3" ht="25.8" x14ac:dyDescent="0.25">
      <c r="A27" s="1">
        <v>60</v>
      </c>
      <c r="B27" s="1">
        <f t="shared" si="0"/>
        <v>40.147762957105179</v>
      </c>
      <c r="C27" s="1">
        <f t="shared" si="1"/>
        <v>2.9751743355319521E-13</v>
      </c>
    </row>
    <row r="28" spans="1:3" ht="25.8" x14ac:dyDescent="0.25">
      <c r="A28" s="1">
        <v>61</v>
      </c>
      <c r="B28" s="1">
        <f t="shared" si="0"/>
        <v>39.150225673058245</v>
      </c>
      <c r="C28" s="1">
        <f t="shared" si="1"/>
        <v>1.620907970308065E-12</v>
      </c>
    </row>
    <row r="29" spans="1:3" ht="25.8" x14ac:dyDescent="0.25">
      <c r="A29" s="1">
        <v>62</v>
      </c>
      <c r="B29" s="1">
        <f t="shared" si="0"/>
        <v>38.152688389016546</v>
      </c>
      <c r="C29" s="1">
        <f t="shared" si="1"/>
        <v>8.1712803920389409E-12</v>
      </c>
    </row>
    <row r="30" spans="1:3" ht="25.8" x14ac:dyDescent="0.25">
      <c r="A30" s="1">
        <v>63</v>
      </c>
      <c r="B30" s="1">
        <f t="shared" si="0"/>
        <v>37.155151104998353</v>
      </c>
      <c r="C30" s="1">
        <f t="shared" si="1"/>
        <v>3.8245170729946088E-11</v>
      </c>
    </row>
    <row r="31" spans="1:3" ht="25.8" x14ac:dyDescent="0.25">
      <c r="A31" s="1">
        <v>64</v>
      </c>
      <c r="B31" s="1">
        <f t="shared" si="0"/>
        <v>36.157613821078598</v>
      </c>
      <c r="C31" s="1">
        <f t="shared" si="1"/>
        <v>1.6672781824257839E-10</v>
      </c>
    </row>
    <row r="32" spans="1:3" ht="25.8" x14ac:dyDescent="0.25">
      <c r="A32" s="1">
        <v>65</v>
      </c>
      <c r="B32" s="1">
        <f t="shared" si="0"/>
        <v>35.160076537542665</v>
      </c>
      <c r="C32" s="1">
        <f t="shared" si="1"/>
        <v>6.7904974163558684E-10</v>
      </c>
    </row>
    <row r="33" spans="1:3" ht="25.8" x14ac:dyDescent="0.25">
      <c r="A33" s="1">
        <v>66</v>
      </c>
      <c r="B33" s="1">
        <f t="shared" si="0"/>
        <v>34.1625392554066</v>
      </c>
      <c r="C33" s="1">
        <f t="shared" si="1"/>
        <v>2.5912313414980523E-9</v>
      </c>
    </row>
    <row r="34" spans="1:3" ht="25.8" x14ac:dyDescent="0.25">
      <c r="A34" s="1">
        <v>67</v>
      </c>
      <c r="B34" s="1">
        <f t="shared" si="0"/>
        <v>33.165001978056935</v>
      </c>
      <c r="C34" s="1">
        <f t="shared" si="1"/>
        <v>9.2898244614350642E-9</v>
      </c>
    </row>
    <row r="35" spans="1:3" ht="25.8" x14ac:dyDescent="0.25">
      <c r="A35" s="1">
        <v>68</v>
      </c>
      <c r="B35" s="1">
        <f t="shared" si="0"/>
        <v>32.167464716090137</v>
      </c>
      <c r="C35" s="1">
        <f t="shared" si="1"/>
        <v>3.1371272549146075E-8</v>
      </c>
    </row>
    <row r="36" spans="1:3" ht="25.8" x14ac:dyDescent="0.25">
      <c r="A36" s="1">
        <v>69</v>
      </c>
      <c r="B36" s="1">
        <f t="shared" si="0"/>
        <v>31.169927500705526</v>
      </c>
      <c r="C36" s="1">
        <f t="shared" si="1"/>
        <v>1.0003491430372157E-7</v>
      </c>
    </row>
    <row r="37" spans="1:3" ht="25.8" x14ac:dyDescent="0.25">
      <c r="A37" s="1">
        <v>70</v>
      </c>
      <c r="B37" s="1">
        <f t="shared" si="0"/>
        <v>30.172390418538313</v>
      </c>
      <c r="C37" s="1">
        <f t="shared" si="1"/>
        <v>3.0191597364476809E-7</v>
      </c>
    </row>
    <row r="38" spans="1:3" ht="25.8" x14ac:dyDescent="0.25">
      <c r="A38" s="1">
        <v>71</v>
      </c>
      <c r="B38" s="1">
        <f t="shared" si="0"/>
        <v>29.174853696960355</v>
      </c>
      <c r="C38" s="1">
        <f t="shared" si="1"/>
        <v>8.6438625296901864E-7</v>
      </c>
    </row>
    <row r="39" spans="1:3" ht="25.8" x14ac:dyDescent="0.25">
      <c r="A39" s="1">
        <v>72</v>
      </c>
      <c r="B39" s="1">
        <f t="shared" si="0"/>
        <v>28.177317901105894</v>
      </c>
      <c r="C39" s="1">
        <f t="shared" si="1"/>
        <v>2.3525800328738167E-6</v>
      </c>
    </row>
    <row r="40" spans="1:3" ht="25.8" x14ac:dyDescent="0.25">
      <c r="A40" s="1">
        <v>73</v>
      </c>
      <c r="B40" s="1">
        <f t="shared" si="0"/>
        <v>27.179784363798902</v>
      </c>
      <c r="C40" s="1">
        <f t="shared" si="1"/>
        <v>6.0993212921444436E-6</v>
      </c>
    </row>
    <row r="41" spans="1:3" ht="25.8" x14ac:dyDescent="0.25">
      <c r="A41" s="1">
        <v>74</v>
      </c>
      <c r="B41" s="1">
        <f t="shared" si="0"/>
        <v>26.182256073093768</v>
      </c>
      <c r="C41" s="1">
        <f t="shared" si="1"/>
        <v>1.5092664401477598E-5</v>
      </c>
    </row>
    <row r="42" spans="1:3" ht="25.8" x14ac:dyDescent="0.25">
      <c r="A42" s="1">
        <v>75</v>
      </c>
      <c r="B42" s="1">
        <f t="shared" si="0"/>
        <v>25.184739407869046</v>
      </c>
      <c r="C42" s="1">
        <f t="shared" si="1"/>
        <v>3.5711487961649722E-5</v>
      </c>
    </row>
    <row r="43" spans="1:3" ht="25.8" x14ac:dyDescent="0.25">
      <c r="A43" s="1">
        <v>76</v>
      </c>
      <c r="B43" s="1">
        <f t="shared" si="0"/>
        <v>24.187247356194305</v>
      </c>
      <c r="C43" s="1">
        <f t="shared" si="1"/>
        <v>8.0943861450317317E-5</v>
      </c>
    </row>
    <row r="44" spans="1:3" ht="25.8" x14ac:dyDescent="0.25">
      <c r="A44" s="1">
        <v>77</v>
      </c>
      <c r="B44" s="1">
        <f t="shared" si="0"/>
        <v>23.189805179243521</v>
      </c>
      <c r="C44" s="1">
        <f t="shared" si="1"/>
        <v>1.7605095891747025E-4</v>
      </c>
    </row>
    <row r="45" spans="1:3" ht="25.8" x14ac:dyDescent="0.25">
      <c r="A45" s="1">
        <v>78</v>
      </c>
      <c r="B45" s="1">
        <f t="shared" si="0"/>
        <v>22.192459876844197</v>
      </c>
      <c r="C45" s="1">
        <f t="shared" si="1"/>
        <v>3.6803260786386766E-4</v>
      </c>
    </row>
    <row r="46" spans="1:3" ht="25.8" x14ac:dyDescent="0.25">
      <c r="A46" s="1">
        <v>79</v>
      </c>
      <c r="B46" s="1">
        <f t="shared" si="0"/>
        <v>21.195295213390779</v>
      </c>
      <c r="C46" s="1">
        <f t="shared" si="1"/>
        <v>7.4065320268439094E-4</v>
      </c>
    </row>
    <row r="47" spans="1:3" ht="25.8" x14ac:dyDescent="0.25">
      <c r="A47" s="1">
        <v>80</v>
      </c>
      <c r="B47" s="1">
        <f t="shared" si="0"/>
        <v>20.198454371884395</v>
      </c>
      <c r="C47" s="1">
        <f t="shared" si="1"/>
        <v>1.4370957445616894E-3</v>
      </c>
    </row>
    <row r="48" spans="1:3" ht="25.8" x14ac:dyDescent="0.25">
      <c r="A48" s="1">
        <v>81</v>
      </c>
      <c r="B48" s="1">
        <f t="shared" si="0"/>
        <v>19.202172370849794</v>
      </c>
      <c r="C48" s="1">
        <f t="shared" si="1"/>
        <v>2.6923787582130154E-3</v>
      </c>
    </row>
    <row r="49" spans="1:3" ht="25.8" x14ac:dyDescent="0.25">
      <c r="A49" s="1">
        <v>82</v>
      </c>
      <c r="B49" s="1">
        <f t="shared" si="0"/>
        <v>18.206820029105131</v>
      </c>
      <c r="C49" s="1">
        <f t="shared" si="1"/>
        <v>4.8773210618067442E-3</v>
      </c>
    </row>
    <row r="50" spans="1:3" ht="25.8" x14ac:dyDescent="0.25">
      <c r="A50" s="1">
        <v>83</v>
      </c>
      <c r="B50" s="1">
        <f t="shared" si="0"/>
        <v>17.212960335662643</v>
      </c>
      <c r="C50" s="1">
        <f t="shared" si="1"/>
        <v>8.5549116675681658E-3</v>
      </c>
    </row>
    <row r="51" spans="1:3" ht="25.8" x14ac:dyDescent="0.25">
      <c r="A51" s="1">
        <v>84</v>
      </c>
      <c r="B51" s="1">
        <f t="shared" si="0"/>
        <v>16.221416485200805</v>
      </c>
      <c r="C51" s="1">
        <f t="shared" si="1"/>
        <v>1.4548345253972306E-2</v>
      </c>
    </row>
    <row r="52" spans="1:3" ht="25.8" x14ac:dyDescent="0.25">
      <c r="A52" s="1">
        <v>85</v>
      </c>
      <c r="B52" s="1">
        <f t="shared" si="0"/>
        <v>15.233348612644804</v>
      </c>
      <c r="C52" s="1">
        <f t="shared" si="1"/>
        <v>2.401775674622908E-2</v>
      </c>
    </row>
    <row r="53" spans="1:3" ht="25.8" x14ac:dyDescent="0.25">
      <c r="A53" s="1">
        <v>86</v>
      </c>
      <c r="B53" s="1">
        <f t="shared" si="0"/>
        <v>14.25033361756185</v>
      </c>
      <c r="C53" s="1">
        <f t="shared" si="1"/>
        <v>3.8540045711516147E-2</v>
      </c>
    </row>
    <row r="54" spans="1:3" ht="25.8" x14ac:dyDescent="0.25">
      <c r="A54" s="1">
        <v>87</v>
      </c>
      <c r="B54" s="1">
        <f t="shared" si="0"/>
        <v>13.274439807710507</v>
      </c>
      <c r="C54" s="1">
        <f t="shared" si="1"/>
        <v>6.0183519908443728E-2</v>
      </c>
    </row>
    <row r="55" spans="1:3" ht="25.8" x14ac:dyDescent="0.25">
      <c r="A55" s="1">
        <v>88</v>
      </c>
      <c r="B55" s="1">
        <f t="shared" si="0"/>
        <v>12.308285948455932</v>
      </c>
      <c r="C55" s="1">
        <f t="shared" si="1"/>
        <v>9.1566944702116793E-2</v>
      </c>
    </row>
    <row r="56" spans="1:3" ht="25.8" x14ac:dyDescent="0.25">
      <c r="A56" s="1">
        <v>89</v>
      </c>
      <c r="B56" s="1">
        <f t="shared" si="0"/>
        <v>11.355073261771594</v>
      </c>
      <c r="C56" s="1">
        <f t="shared" si="1"/>
        <v>0.13589154206601783</v>
      </c>
    </row>
    <row r="57" spans="1:3" ht="25.8" x14ac:dyDescent="0.25">
      <c r="A57" s="1">
        <v>90</v>
      </c>
      <c r="B57" s="1">
        <f t="shared" si="0"/>
        <v>10.418579466641916</v>
      </c>
      <c r="C57" s="1">
        <f t="shared" si="1"/>
        <v>0.19693503098461118</v>
      </c>
    </row>
    <row r="58" spans="1:3" ht="25.8" x14ac:dyDescent="0.25">
      <c r="A58" s="1">
        <v>91</v>
      </c>
      <c r="B58" s="1">
        <f t="shared" si="0"/>
        <v>9.5031063554981046</v>
      </c>
      <c r="C58" s="1">
        <f t="shared" si="1"/>
        <v>0.27899920388903965</v>
      </c>
    </row>
    <row r="59" spans="1:3" ht="25.8" x14ac:dyDescent="0.25">
      <c r="A59" s="1">
        <v>92</v>
      </c>
      <c r="B59" s="1">
        <f t="shared" si="0"/>
        <v>8.6133765899918444</v>
      </c>
      <c r="C59" s="1">
        <f t="shared" si="1"/>
        <v>0.38680672243104475</v>
      </c>
    </row>
    <row r="60" spans="1:3" ht="25.8" x14ac:dyDescent="0.25">
      <c r="A60" s="1">
        <v>93</v>
      </c>
      <c r="B60" s="1">
        <f t="shared" si="0"/>
        <v>7.7543809358365365</v>
      </c>
      <c r="C60" s="1">
        <f t="shared" si="1"/>
        <v>0.52534835232398081</v>
      </c>
    </row>
    <row r="61" spans="1:3" ht="25.8" x14ac:dyDescent="0.25">
      <c r="A61" s="1">
        <v>94</v>
      </c>
      <c r="B61" s="1">
        <f t="shared" si="0"/>
        <v>6.9311832827261242</v>
      </c>
      <c r="C61" s="1">
        <f t="shared" si="1"/>
        <v>0.69968798326179993</v>
      </c>
    </row>
    <row r="62" spans="1:3" ht="25.8" x14ac:dyDescent="0.25">
      <c r="A62" s="1">
        <v>95</v>
      </c>
      <c r="B62" s="1">
        <f t="shared" si="0"/>
        <v>6.1486965642761362</v>
      </c>
      <c r="C62" s="1">
        <f t="shared" si="1"/>
        <v>0.91473854886007189</v>
      </c>
    </row>
    <row r="63" spans="1:3" ht="25.8" x14ac:dyDescent="0.25">
      <c r="A63" s="1">
        <v>96</v>
      </c>
      <c r="B63" s="1">
        <f t="shared" si="0"/>
        <v>5.4114471512957891</v>
      </c>
      <c r="C63" s="1">
        <f t="shared" si="1"/>
        <v>1.1750264199279847</v>
      </c>
    </row>
    <row r="64" spans="1:3" ht="25.8" x14ac:dyDescent="0.25">
      <c r="A64" s="1">
        <v>97</v>
      </c>
      <c r="B64" s="1">
        <f t="shared" si="0"/>
        <v>4.7233476727604682</v>
      </c>
      <c r="C64" s="1">
        <f t="shared" si="1"/>
        <v>1.4844642254409273</v>
      </c>
    </row>
    <row r="65" spans="1:3" ht="25.8" x14ac:dyDescent="0.25">
      <c r="A65" s="1">
        <v>98</v>
      </c>
      <c r="B65" s="1">
        <f t="shared" si="0"/>
        <v>4.0874980974605322</v>
      </c>
      <c r="C65" s="1">
        <f t="shared" si="1"/>
        <v>1.8461519341892298</v>
      </c>
    </row>
    <row r="66" spans="1:3" ht="25.8" x14ac:dyDescent="0.25">
      <c r="A66" s="1">
        <v>99</v>
      </c>
      <c r="B66" s="1">
        <f t="shared" si="0"/>
        <v>3.5060322832912263</v>
      </c>
      <c r="C66" s="1">
        <f t="shared" si="1"/>
        <v>2.2622234040681732</v>
      </c>
    </row>
    <row r="67" spans="1:3" ht="25.8" x14ac:dyDescent="0.25">
      <c r="A67" s="1">
        <v>100</v>
      </c>
      <c r="B67" s="1">
        <f t="shared" si="0"/>
        <v>2.9800224824696073</v>
      </c>
      <c r="C67" s="1">
        <f t="shared" si="1"/>
        <v>2.7337508872948177</v>
      </c>
    </row>
    <row r="68" spans="1:3" ht="25.8" x14ac:dyDescent="0.25">
      <c r="A68" s="1">
        <v>101</v>
      </c>
      <c r="B68" s="1">
        <f t="shared" si="0"/>
        <v>2.5094482131327283</v>
      </c>
      <c r="C68" s="1">
        <f t="shared" si="1"/>
        <v>3.2607139020062021</v>
      </c>
    </row>
    <row r="69" spans="1:3" ht="25.8" x14ac:dyDescent="0.25">
      <c r="A69" s="1">
        <v>102</v>
      </c>
      <c r="B69" s="1">
        <f t="shared" si="0"/>
        <v>2.09322937572923</v>
      </c>
      <c r="C69" s="1">
        <f t="shared" si="1"/>
        <v>3.8420323486509318</v>
      </c>
    </row>
    <row r="70" spans="1:3" ht="25.8" x14ac:dyDescent="0.25">
      <c r="A70" s="1">
        <v>103</v>
      </c>
      <c r="B70" s="1">
        <f t="shared" si="0"/>
        <v>1.7293174121751917</v>
      </c>
      <c r="C70" s="1">
        <f t="shared" si="1"/>
        <v>4.4756576691451571</v>
      </c>
    </row>
    <row r="71" spans="1:3" ht="25.8" x14ac:dyDescent="0.25">
      <c r="A71" s="1">
        <v>104</v>
      </c>
      <c r="B71" s="1">
        <f t="shared" si="0"/>
        <v>1.4148334303201082</v>
      </c>
      <c r="C71" s="1">
        <f t="shared" si="1"/>
        <v>5.1587109713383228</v>
      </c>
    </row>
    <row r="72" spans="1:3" ht="25.8" x14ac:dyDescent="0.25">
      <c r="A72" s="1">
        <v>105</v>
      </c>
      <c r="B72" s="1">
        <f t="shared" si="0"/>
        <v>1.1462390399274689</v>
      </c>
      <c r="C72" s="1">
        <f t="shared" si="1"/>
        <v>5.8876538649939221</v>
      </c>
    </row>
    <row r="73" spans="1:3" ht="25.8" x14ac:dyDescent="0.25">
      <c r="A73" s="1">
        <v>106</v>
      </c>
      <c r="B73" s="1">
        <f t="shared" si="0"/>
        <v>0.91952435802527788</v>
      </c>
      <c r="C73" s="1">
        <f t="shared" si="1"/>
        <v>6.6584764671400194</v>
      </c>
    </row>
    <row r="74" spans="1:3" ht="25.8" x14ac:dyDescent="0.25">
      <c r="A74" s="1">
        <v>107</v>
      </c>
      <c r="B74" s="1">
        <f t="shared" si="0"/>
        <v>0.73039813961069555</v>
      </c>
      <c r="C74" s="1">
        <f t="shared" si="1"/>
        <v>7.4668875327736686</v>
      </c>
    </row>
    <row r="75" spans="1:3" ht="25.8" x14ac:dyDescent="0.25">
      <c r="A75" s="1">
        <v>108</v>
      </c>
      <c r="B75" s="1">
        <f t="shared" si="0"/>
        <v>0.57446694463057035</v>
      </c>
      <c r="C75" s="1">
        <f t="shared" si="1"/>
        <v>8.3084936218417909</v>
      </c>
    </row>
    <row r="76" spans="1:3" ht="25.8" x14ac:dyDescent="0.25">
      <c r="A76" s="1">
        <v>109</v>
      </c>
      <c r="B76" s="1">
        <f t="shared" si="0"/>
        <v>0.44739319557951163</v>
      </c>
      <c r="C76" s="1">
        <f t="shared" si="1"/>
        <v>9.1789571568389903</v>
      </c>
    </row>
    <row r="77" spans="1:3" ht="25.8" x14ac:dyDescent="0.25">
      <c r="A77" s="1">
        <v>110</v>
      </c>
      <c r="B77" s="1">
        <f t="shared" si="0"/>
        <v>0.34502540011754412</v>
      </c>
      <c r="C77" s="1">
        <f t="shared" si="1"/>
        <v>10.074126645425281</v>
      </c>
    </row>
    <row r="78" spans="1:3" ht="25.8" x14ac:dyDescent="0.25">
      <c r="A78" s="1">
        <v>111</v>
      </c>
      <c r="B78" s="1">
        <f t="shared" si="0"/>
        <v>0.26349723711461515</v>
      </c>
      <c r="C78" s="1">
        <f t="shared" si="1"/>
        <v>10.990135766470601</v>
      </c>
    </row>
    <row r="79" spans="1:3" ht="25.8" x14ac:dyDescent="0.25">
      <c r="A79" s="1">
        <v>112</v>
      </c>
      <c r="B79" s="1">
        <f t="shared" si="0"/>
        <v>0.19929525750102961</v>
      </c>
      <c r="C79" s="1">
        <f t="shared" si="1"/>
        <v>11.923471070905265</v>
      </c>
    </row>
    <row r="80" spans="1:3" ht="25.8" x14ac:dyDescent="0.25">
      <c r="A80" s="1">
        <v>113</v>
      </c>
      <c r="B80" s="1">
        <f t="shared" si="0"/>
        <v>0.14929738605747023</v>
      </c>
      <c r="C80" s="1">
        <f t="shared" si="1"/>
        <v>12.871010483509949</v>
      </c>
    </row>
    <row r="81" spans="1:3" ht="25.8" x14ac:dyDescent="0.25">
      <c r="A81" s="1">
        <v>114</v>
      </c>
      <c r="B81" s="1">
        <f t="shared" si="0"/>
        <v>0.11078611096332924</v>
      </c>
      <c r="C81" s="1">
        <f t="shared" si="1"/>
        <v>13.830036492464075</v>
      </c>
    </row>
    <row r="82" spans="1:3" ht="25.8" x14ac:dyDescent="0.25">
      <c r="A82" s="1">
        <v>115</v>
      </c>
      <c r="B82" s="1">
        <f t="shared" ref="B82:B115" si="2">BS_call($B$1,$B$2,$B$3,$B$4,$B$5,A82)</f>
        <v>8.1441213170591276E-2</v>
      </c>
      <c r="C82" s="1">
        <f t="shared" ref="C82:C115" si="3">BS_put($B$1,$B$2,$B$3,$B$4,$B$5,A82)</f>
        <v>14.798228878719556</v>
      </c>
    </row>
    <row r="83" spans="1:3" ht="25.8" x14ac:dyDescent="0.25">
      <c r="A83" s="1">
        <v>116</v>
      </c>
      <c r="B83" s="1">
        <f t="shared" si="2"/>
        <v>5.9317201490109106E-2</v>
      </c>
      <c r="C83" s="1">
        <f t="shared" si="3"/>
        <v>15.773642151087344</v>
      </c>
    </row>
    <row r="84" spans="1:3" ht="25.8" x14ac:dyDescent="0.25">
      <c r="A84" s="1">
        <v>117</v>
      </c>
      <c r="B84" s="1">
        <f t="shared" si="2"/>
        <v>4.2810417620734231E-2</v>
      </c>
      <c r="C84" s="1">
        <f t="shared" si="3"/>
        <v>16.754672651266219</v>
      </c>
    </row>
    <row r="85" spans="1:3" ht="25.8" x14ac:dyDescent="0.25">
      <c r="A85" s="1">
        <v>118</v>
      </c>
      <c r="B85" s="1">
        <f t="shared" si="2"/>
        <v>3.0620214761612807E-2</v>
      </c>
      <c r="C85" s="1">
        <f t="shared" si="3"/>
        <v>17.740019732455352</v>
      </c>
    </row>
    <row r="86" spans="1:3" ht="25.8" x14ac:dyDescent="0.25">
      <c r="A86" s="1">
        <v>119</v>
      </c>
      <c r="B86" s="1">
        <f t="shared" si="2"/>
        <v>2.1707845920035274E-2</v>
      </c>
      <c r="C86" s="1">
        <f t="shared" si="3"/>
        <v>18.728644647662023</v>
      </c>
    </row>
    <row r="87" spans="1:3" ht="25.8" x14ac:dyDescent="0.25">
      <c r="A87" s="1">
        <v>120</v>
      </c>
      <c r="B87" s="1">
        <f t="shared" si="2"/>
        <v>1.5255853955120968E-2</v>
      </c>
      <c r="C87" s="1">
        <f t="shared" si="3"/>
        <v>19.719729939745349</v>
      </c>
    </row>
    <row r="88" spans="1:3" ht="25.8" x14ac:dyDescent="0.25">
      <c r="A88" s="1">
        <v>121</v>
      </c>
      <c r="B88" s="1">
        <f t="shared" si="2"/>
        <v>1.0629934590137169E-2</v>
      </c>
      <c r="C88" s="1">
        <f t="shared" si="3"/>
        <v>20.712641304428629</v>
      </c>
    </row>
    <row r="89" spans="1:3" ht="25.8" x14ac:dyDescent="0.25">
      <c r="A89" s="1">
        <v>122</v>
      </c>
      <c r="B89" s="1">
        <f t="shared" si="2"/>
        <v>7.3445131117125806E-3</v>
      </c>
      <c r="C89" s="1">
        <f t="shared" si="3"/>
        <v>21.706893166998455</v>
      </c>
    </row>
    <row r="90" spans="1:3" ht="25.8" x14ac:dyDescent="0.25">
      <c r="A90" s="1">
        <v>123</v>
      </c>
      <c r="B90" s="1">
        <f t="shared" si="2"/>
        <v>5.0326721999938151E-3</v>
      </c>
      <c r="C90" s="1">
        <f t="shared" si="3"/>
        <v>22.702118610134988</v>
      </c>
    </row>
    <row r="91" spans="1:3" ht="25.8" x14ac:dyDescent="0.25">
      <c r="A91" s="1">
        <v>124</v>
      </c>
      <c r="B91" s="1">
        <f t="shared" si="2"/>
        <v>3.4206047508229809E-3</v>
      </c>
      <c r="C91" s="1">
        <f t="shared" si="3"/>
        <v>23.698043826734079</v>
      </c>
    </row>
    <row r="92" spans="1:3" ht="25.8" x14ac:dyDescent="0.25">
      <c r="A92" s="1">
        <v>125</v>
      </c>
      <c r="B92" s="1">
        <f t="shared" si="2"/>
        <v>2.306436346698193E-3</v>
      </c>
      <c r="C92" s="1">
        <f t="shared" si="3"/>
        <v>24.694466942378199</v>
      </c>
    </row>
    <row r="93" spans="1:3" ht="25.8" x14ac:dyDescent="0.25">
      <c r="A93" s="1">
        <v>126</v>
      </c>
      <c r="B93" s="1">
        <f t="shared" si="2"/>
        <v>1.5430507113099595E-3</v>
      </c>
      <c r="C93" s="1">
        <f t="shared" si="3"/>
        <v>25.691240840791068</v>
      </c>
    </row>
    <row r="94" spans="1:3" ht="25.8" x14ac:dyDescent="0.25">
      <c r="A94" s="1">
        <v>127</v>
      </c>
      <c r="B94" s="1">
        <f t="shared" si="2"/>
        <v>1.0244359807652648E-3</v>
      </c>
      <c r="C94" s="1">
        <f t="shared" si="3"/>
        <v>26.688259510108779</v>
      </c>
    </row>
    <row r="95" spans="1:3" ht="25.8" x14ac:dyDescent="0.25">
      <c r="A95" s="1">
        <v>128</v>
      </c>
      <c r="B95" s="1">
        <f t="shared" si="2"/>
        <v>6.7502658823267309E-4</v>
      </c>
      <c r="C95" s="1">
        <f t="shared" si="3"/>
        <v>27.685447384764487</v>
      </c>
    </row>
    <row r="96" spans="1:3" ht="25.8" x14ac:dyDescent="0.25">
      <c r="A96" s="1">
        <v>129</v>
      </c>
      <c r="B96" s="1">
        <f t="shared" si="2"/>
        <v>4.4152321848973941E-4</v>
      </c>
      <c r="C96" s="1">
        <f t="shared" si="3"/>
        <v>28.68275116544298</v>
      </c>
    </row>
    <row r="97" spans="1:3" ht="25.8" x14ac:dyDescent="0.25">
      <c r="A97" s="1">
        <v>130</v>
      </c>
      <c r="B97" s="1">
        <f t="shared" si="2"/>
        <v>2.8671310232680075E-4</v>
      </c>
      <c r="C97" s="1">
        <f t="shared" si="3"/>
        <v>29.6801336393751</v>
      </c>
    </row>
    <row r="98" spans="1:3" ht="25.8" x14ac:dyDescent="0.25">
      <c r="A98" s="1">
        <v>131</v>
      </c>
      <c r="B98" s="1">
        <f t="shared" si="2"/>
        <v>1.8487024085533585E-4</v>
      </c>
      <c r="C98" s="1">
        <f t="shared" si="3"/>
        <v>30.677569080561881</v>
      </c>
    </row>
    <row r="99" spans="1:3" ht="25.8" x14ac:dyDescent="0.25">
      <c r="A99" s="1">
        <v>132</v>
      </c>
      <c r="B99" s="1">
        <f t="shared" si="2"/>
        <v>1.1837921249018436E-4</v>
      </c>
      <c r="C99" s="1">
        <f t="shared" si="3"/>
        <v>31.675039873581767</v>
      </c>
    </row>
    <row r="100" spans="1:3" ht="25.8" x14ac:dyDescent="0.25">
      <c r="A100" s="1">
        <v>133</v>
      </c>
      <c r="B100" s="1">
        <f t="shared" si="2"/>
        <v>7.5289711831031704E-5</v>
      </c>
      <c r="C100" s="1">
        <f t="shared" si="3"/>
        <v>32.672534068129352</v>
      </c>
    </row>
    <row r="101" spans="1:3" ht="25.8" x14ac:dyDescent="0.25">
      <c r="A101" s="1">
        <v>134</v>
      </c>
      <c r="B101" s="1">
        <f t="shared" si="2"/>
        <v>4.7567416638202333E-5</v>
      </c>
      <c r="C101" s="1">
        <f t="shared" si="3"/>
        <v>33.6700436298824</v>
      </c>
    </row>
    <row r="102" spans="1:3" ht="25.8" x14ac:dyDescent="0.25">
      <c r="A102" s="1">
        <v>135</v>
      </c>
      <c r="B102" s="1">
        <f t="shared" si="2"/>
        <v>2.9857840857235073E-5</v>
      </c>
      <c r="C102" s="1">
        <f t="shared" si="3"/>
        <v>34.667563204354906</v>
      </c>
    </row>
    <row r="103" spans="1:3" ht="25.8" x14ac:dyDescent="0.25">
      <c r="A103" s="1">
        <v>136</v>
      </c>
      <c r="B103" s="1">
        <f t="shared" si="2"/>
        <v>1.8622690181589871E-5</v>
      </c>
      <c r="C103" s="1">
        <f t="shared" si="3"/>
        <v>35.665089253252461</v>
      </c>
    </row>
    <row r="104" spans="1:3" ht="25.8" x14ac:dyDescent="0.25">
      <c r="A104" s="1">
        <v>137</v>
      </c>
      <c r="B104" s="1">
        <f t="shared" si="2"/>
        <v>1.1543061157046259E-5</v>
      </c>
      <c r="C104" s="1">
        <f t="shared" si="3"/>
        <v>36.662619457671695</v>
      </c>
    </row>
    <row r="105" spans="1:3" ht="25.8" x14ac:dyDescent="0.25">
      <c r="A105" s="1">
        <v>138</v>
      </c>
      <c r="B105" s="1">
        <f t="shared" si="2"/>
        <v>7.1113584394920295E-6</v>
      </c>
      <c r="C105" s="1">
        <f t="shared" si="3"/>
        <v>37.66015231001721</v>
      </c>
    </row>
    <row r="106" spans="1:3" ht="25.8" x14ac:dyDescent="0.25">
      <c r="A106" s="1">
        <v>139</v>
      </c>
      <c r="B106" s="1">
        <f t="shared" si="2"/>
        <v>4.3550646962375655E-6</v>
      </c>
      <c r="C106" s="1">
        <f t="shared" si="3"/>
        <v>38.657686837771735</v>
      </c>
    </row>
    <row r="107" spans="1:3" ht="25.8" x14ac:dyDescent="0.25">
      <c r="A107" s="1">
        <v>140</v>
      </c>
      <c r="B107" s="1">
        <f t="shared" si="2"/>
        <v>2.6515731964062725E-6</v>
      </c>
      <c r="C107" s="1">
        <f t="shared" si="3"/>
        <v>39.655222418328478</v>
      </c>
    </row>
    <row r="108" spans="1:3" ht="25.8" x14ac:dyDescent="0.25">
      <c r="A108" s="1">
        <v>141</v>
      </c>
      <c r="B108" s="1">
        <f t="shared" si="2"/>
        <v>1.6052220150870286E-6</v>
      </c>
      <c r="C108" s="1">
        <f t="shared" si="3"/>
        <v>40.652758656025554</v>
      </c>
    </row>
    <row r="109" spans="1:3" ht="25.8" x14ac:dyDescent="0.25">
      <c r="A109" s="1">
        <v>142</v>
      </c>
      <c r="B109" s="1">
        <f t="shared" si="2"/>
        <v>9.6637032738373918E-7</v>
      </c>
      <c r="C109" s="1">
        <f t="shared" si="3"/>
        <v>41.650295301222116</v>
      </c>
    </row>
    <row r="110" spans="1:3" ht="25.8" x14ac:dyDescent="0.25">
      <c r="A110" s="1">
        <v>143</v>
      </c>
      <c r="B110" s="1">
        <f t="shared" si="2"/>
        <v>5.7860551869543328E-7</v>
      </c>
      <c r="C110" s="1">
        <f t="shared" si="3"/>
        <v>42.647832197505537</v>
      </c>
    </row>
    <row r="111" spans="1:3" ht="25.8" x14ac:dyDescent="0.25">
      <c r="A111" s="1">
        <v>144</v>
      </c>
      <c r="B111" s="1">
        <f t="shared" si="2"/>
        <v>3.4459151219380852E-7</v>
      </c>
      <c r="C111" s="1">
        <f t="shared" si="3"/>
        <v>43.645369247539804</v>
      </c>
    </row>
    <row r="112" spans="1:3" ht="25.8" x14ac:dyDescent="0.25">
      <c r="A112" s="1">
        <v>145</v>
      </c>
      <c r="B112" s="1">
        <f t="shared" si="2"/>
        <v>2.0415551330283754E-7</v>
      </c>
      <c r="C112" s="1">
        <f t="shared" si="3"/>
        <v>44.642906391152081</v>
      </c>
    </row>
    <row r="113" spans="1:3" ht="25.8" x14ac:dyDescent="0.25">
      <c r="A113" s="1">
        <v>146</v>
      </c>
      <c r="B113" s="1">
        <f t="shared" si="2"/>
        <v>1.2033797521055263E-7</v>
      </c>
      <c r="C113" s="1">
        <f t="shared" si="3"/>
        <v>45.640443591382748</v>
      </c>
    </row>
    <row r="114" spans="1:3" ht="25.8" x14ac:dyDescent="0.25">
      <c r="A114" s="1">
        <v>147</v>
      </c>
      <c r="B114" s="1">
        <f t="shared" si="2"/>
        <v>7.0579546843627804E-8</v>
      </c>
      <c r="C114" s="1">
        <f t="shared" si="3"/>
        <v>46.637980825672614</v>
      </c>
    </row>
    <row r="115" spans="1:3" ht="25.8" x14ac:dyDescent="0.25">
      <c r="A115" s="1">
        <v>148</v>
      </c>
      <c r="B115" s="1">
        <f t="shared" si="2"/>
        <v>4.1194397636837939E-8</v>
      </c>
      <c r="C115" s="1">
        <f t="shared" si="3"/>
        <v>47.635518080335686</v>
      </c>
    </row>
    <row r="116" spans="1:3" ht="25.8" x14ac:dyDescent="0.25">
      <c r="A116" s="1">
        <v>149</v>
      </c>
      <c r="B116" s="1">
        <f t="shared" ref="B116:B117" si="4">BS_call($B$1,$B$2,$B$3,$B$4,$B$5,A116)</f>
        <v>2.392919823890451E-8</v>
      </c>
      <c r="C116" s="1">
        <f t="shared" ref="C116:C117" si="5">BS_put($B$1,$B$2,$B$3,$B$4,$B$5,A116)</f>
        <v>48.63305534711877</v>
      </c>
    </row>
    <row r="117" spans="1:3" ht="25.8" x14ac:dyDescent="0.25">
      <c r="A117" s="1">
        <v>150</v>
      </c>
      <c r="B117" s="1">
        <f t="shared" si="4"/>
        <v>1.3835518855237167E-8</v>
      </c>
      <c r="C117" s="1">
        <f t="shared" si="5"/>
        <v>49.630592621073333</v>
      </c>
    </row>
  </sheetData>
  <mergeCells count="1">
    <mergeCell ref="E1:J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6</vt:i4>
      </vt:variant>
    </vt:vector>
  </HeadingPairs>
  <TitlesOfParts>
    <vt:vector size="13" baseType="lpstr">
      <vt:lpstr>公式应用示例</vt:lpstr>
      <vt:lpstr>资产价格</vt:lpstr>
      <vt:lpstr>资产波动率</vt:lpstr>
      <vt:lpstr>无风险利率</vt:lpstr>
      <vt:lpstr>红利率</vt:lpstr>
      <vt:lpstr>到期期限</vt:lpstr>
      <vt:lpstr>执行价格</vt:lpstr>
      <vt:lpstr>q</vt:lpstr>
      <vt:lpstr>rf</vt:lpstr>
      <vt:lpstr>S</vt:lpstr>
      <vt:lpstr>T</vt:lpstr>
      <vt:lpstr>X</vt:lpstr>
      <vt:lpstr>σ</vt:lpstr>
    </vt:vector>
  </TitlesOfParts>
  <Company>liu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Liu</cp:lastModifiedBy>
  <dcterms:created xsi:type="dcterms:W3CDTF">2011-06-15T02:36:38Z</dcterms:created>
  <dcterms:modified xsi:type="dcterms:W3CDTF">2022-12-11T02:55:08Z</dcterms:modified>
</cp:coreProperties>
</file>