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bsidian_git\5course\金融工程学\第九讲实验报告任务--期权价格特征\"/>
    </mc:Choice>
  </mc:AlternateContent>
  <xr:revisionPtr revIDLastSave="0" documentId="13_ncr:1_{50F33164-606A-4E3A-B56B-BDB123614131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公式应用示例" sheetId="1" r:id="rId1"/>
    <sheet name="资产价格" sheetId="2" r:id="rId2"/>
    <sheet name="资产波动率" sheetId="3" r:id="rId3"/>
    <sheet name="无风险利率" sheetId="4" r:id="rId4"/>
    <sheet name="红利率" sheetId="5" r:id="rId5"/>
    <sheet name="到期期限" sheetId="6" r:id="rId6"/>
    <sheet name="执行价格" sheetId="7" r:id="rId7"/>
  </sheets>
  <functionGroups builtInGroupCount="19"/>
  <definedNames>
    <definedName name="q">公式应用示例!$B$4</definedName>
    <definedName name="rf">公式应用示例!$B$3</definedName>
    <definedName name="S">公式应用示例!$B$1</definedName>
    <definedName name="T">公式应用示例!$B$5</definedName>
    <definedName name="X">公式应用示例!$B$6</definedName>
    <definedName name="σ">公式应用示例!$B$2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7" i="6" l="1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C18" i="7"/>
  <c r="C22" i="7"/>
  <c r="C26" i="7"/>
  <c r="C30" i="7"/>
  <c r="C34" i="7"/>
  <c r="C38" i="7"/>
  <c r="C42" i="7"/>
  <c r="C46" i="7"/>
  <c r="C50" i="7"/>
  <c r="C54" i="7"/>
  <c r="C58" i="7"/>
  <c r="C62" i="7"/>
  <c r="C66" i="7"/>
  <c r="C70" i="7"/>
  <c r="C74" i="7"/>
  <c r="C78" i="7"/>
  <c r="C82" i="7"/>
  <c r="C86" i="7"/>
  <c r="C90" i="7"/>
  <c r="C94" i="7"/>
  <c r="C98" i="7"/>
  <c r="C102" i="7"/>
  <c r="C106" i="7"/>
  <c r="C110" i="7"/>
  <c r="C114" i="7"/>
  <c r="B107" i="7"/>
  <c r="B115" i="7"/>
  <c r="C19" i="7"/>
  <c r="C27" i="7"/>
  <c r="C31" i="7"/>
  <c r="C39" i="7"/>
  <c r="C43" i="7"/>
  <c r="C47" i="7"/>
  <c r="C51" i="7"/>
  <c r="C59" i="7"/>
  <c r="C71" i="7"/>
  <c r="C83" i="7"/>
  <c r="C91" i="7"/>
  <c r="C103" i="7"/>
  <c r="C111" i="7"/>
  <c r="B20" i="7"/>
  <c r="B32" i="7"/>
  <c r="B40" i="7"/>
  <c r="B48" i="7"/>
  <c r="B56" i="7"/>
  <c r="B64" i="7"/>
  <c r="B72" i="7"/>
  <c r="B80" i="7"/>
  <c r="B88" i="7"/>
  <c r="B100" i="7"/>
  <c r="B108" i="7"/>
  <c r="C20" i="7"/>
  <c r="C32" i="7"/>
  <c r="C40" i="7"/>
  <c r="C48" i="7"/>
  <c r="C60" i="7"/>
  <c r="C68" i="7"/>
  <c r="C80" i="7"/>
  <c r="C92" i="7"/>
  <c r="C100" i="7"/>
  <c r="C112" i="7"/>
  <c r="B25" i="7"/>
  <c r="B29" i="7"/>
  <c r="B37" i="7"/>
  <c r="B49" i="7"/>
  <c r="B61" i="7"/>
  <c r="B69" i="7"/>
  <c r="B81" i="7"/>
  <c r="B93" i="7"/>
  <c r="B101" i="7"/>
  <c r="B113" i="7"/>
  <c r="C21" i="7"/>
  <c r="C33" i="7"/>
  <c r="C41" i="7"/>
  <c r="C53" i="7"/>
  <c r="C61" i="7"/>
  <c r="C65" i="7"/>
  <c r="C77" i="7"/>
  <c r="C85" i="7"/>
  <c r="C93" i="7"/>
  <c r="C101" i="7"/>
  <c r="C109" i="7"/>
  <c r="C69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11" i="7"/>
  <c r="C35" i="7"/>
  <c r="C63" i="7"/>
  <c r="C75" i="7"/>
  <c r="C87" i="7"/>
  <c r="C99" i="7"/>
  <c r="B96" i="7"/>
  <c r="C28" i="7"/>
  <c r="C56" i="7"/>
  <c r="C72" i="7"/>
  <c r="C84" i="7"/>
  <c r="C96" i="7"/>
  <c r="C108" i="7"/>
  <c r="B45" i="7"/>
  <c r="B73" i="7"/>
  <c r="B85" i="7"/>
  <c r="B97" i="7"/>
  <c r="B105" i="7"/>
  <c r="C29" i="7"/>
  <c r="C23" i="7"/>
  <c r="C55" i="7"/>
  <c r="C67" i="7"/>
  <c r="C79" i="7"/>
  <c r="C95" i="7"/>
  <c r="C107" i="7"/>
  <c r="C115" i="7"/>
  <c r="B24" i="7"/>
  <c r="B28" i="7"/>
  <c r="B36" i="7"/>
  <c r="B44" i="7"/>
  <c r="B52" i="7"/>
  <c r="B60" i="7"/>
  <c r="B68" i="7"/>
  <c r="B76" i="7"/>
  <c r="B84" i="7"/>
  <c r="B92" i="7"/>
  <c r="B104" i="7"/>
  <c r="B112" i="7"/>
  <c r="C24" i="7"/>
  <c r="C36" i="7"/>
  <c r="C44" i="7"/>
  <c r="C52" i="7"/>
  <c r="C64" i="7"/>
  <c r="C76" i="7"/>
  <c r="C88" i="7"/>
  <c r="C104" i="7"/>
  <c r="B21" i="7"/>
  <c r="B33" i="7"/>
  <c r="B41" i="7"/>
  <c r="B53" i="7"/>
  <c r="B57" i="7"/>
  <c r="B65" i="7"/>
  <c r="B77" i="7"/>
  <c r="B89" i="7"/>
  <c r="B109" i="7"/>
  <c r="C25" i="7"/>
  <c r="C37" i="7"/>
  <c r="C45" i="7"/>
  <c r="C49" i="7"/>
  <c r="C57" i="7"/>
  <c r="C73" i="7"/>
  <c r="C81" i="7"/>
  <c r="C89" i="7"/>
  <c r="C97" i="7"/>
  <c r="C105" i="7"/>
  <c r="C113" i="7"/>
  <c r="C17" i="7"/>
  <c r="B17" i="7"/>
  <c r="B12" i="7"/>
  <c r="B11" i="7"/>
  <c r="B10" i="7"/>
  <c r="B9" i="7"/>
  <c r="B8" i="7"/>
  <c r="B13" i="7"/>
  <c r="B18" i="6"/>
  <c r="B22" i="6"/>
  <c r="B26" i="6"/>
  <c r="B30" i="6"/>
  <c r="B34" i="6"/>
  <c r="B38" i="6"/>
  <c r="B42" i="6"/>
  <c r="B46" i="6"/>
  <c r="B50" i="6"/>
  <c r="B54" i="6"/>
  <c r="B58" i="6"/>
  <c r="B62" i="6"/>
  <c r="B66" i="6"/>
  <c r="B70" i="6"/>
  <c r="B74" i="6"/>
  <c r="B78" i="6"/>
  <c r="B82" i="6"/>
  <c r="B86" i="6"/>
  <c r="B90" i="6"/>
  <c r="B94" i="6"/>
  <c r="B98" i="6"/>
  <c r="B102" i="6"/>
  <c r="B106" i="6"/>
  <c r="B110" i="6"/>
  <c r="B114" i="6"/>
  <c r="C99" i="6"/>
  <c r="C41" i="6"/>
  <c r="C85" i="6"/>
  <c r="C113" i="6"/>
  <c r="C18" i="6"/>
  <c r="C22" i="6"/>
  <c r="C26" i="6"/>
  <c r="C30" i="6"/>
  <c r="C34" i="6"/>
  <c r="C38" i="6"/>
  <c r="C42" i="6"/>
  <c r="C46" i="6"/>
  <c r="C50" i="6"/>
  <c r="C54" i="6"/>
  <c r="C58" i="6"/>
  <c r="C62" i="6"/>
  <c r="C66" i="6"/>
  <c r="C70" i="6"/>
  <c r="C74" i="6"/>
  <c r="C78" i="6"/>
  <c r="C82" i="6"/>
  <c r="C86" i="6"/>
  <c r="C90" i="6"/>
  <c r="C94" i="6"/>
  <c r="C98" i="6"/>
  <c r="C102" i="6"/>
  <c r="C106" i="6"/>
  <c r="C110" i="6"/>
  <c r="C114" i="6"/>
  <c r="C19" i="6"/>
  <c r="C27" i="6"/>
  <c r="C39" i="6"/>
  <c r="C47" i="6"/>
  <c r="C55" i="6"/>
  <c r="C63" i="6"/>
  <c r="C71" i="6"/>
  <c r="C79" i="6"/>
  <c r="C87" i="6"/>
  <c r="C95" i="6"/>
  <c r="C103" i="6"/>
  <c r="C115" i="6"/>
  <c r="C29" i="6"/>
  <c r="C57" i="6"/>
  <c r="C89" i="6"/>
  <c r="C105" i="6"/>
  <c r="B19" i="6"/>
  <c r="B23" i="6"/>
  <c r="B27" i="6"/>
  <c r="B31" i="6"/>
  <c r="B35" i="6"/>
  <c r="B39" i="6"/>
  <c r="B43" i="6"/>
  <c r="B47" i="6"/>
  <c r="B51" i="6"/>
  <c r="B55" i="6"/>
  <c r="B59" i="6"/>
  <c r="B63" i="6"/>
  <c r="B67" i="6"/>
  <c r="B71" i="6"/>
  <c r="B75" i="6"/>
  <c r="B79" i="6"/>
  <c r="B83" i="6"/>
  <c r="B87" i="6"/>
  <c r="B91" i="6"/>
  <c r="B95" i="6"/>
  <c r="B99" i="6"/>
  <c r="B103" i="6"/>
  <c r="B107" i="6"/>
  <c r="B111" i="6"/>
  <c r="B115" i="6"/>
  <c r="C23" i="6"/>
  <c r="C31" i="6"/>
  <c r="C35" i="6"/>
  <c r="C43" i="6"/>
  <c r="C51" i="6"/>
  <c r="C59" i="6"/>
  <c r="C67" i="6"/>
  <c r="C75" i="6"/>
  <c r="C83" i="6"/>
  <c r="C91" i="6"/>
  <c r="C107" i="6"/>
  <c r="C25" i="6"/>
  <c r="C45" i="6"/>
  <c r="C61" i="6"/>
  <c r="C73" i="6"/>
  <c r="C97" i="6"/>
  <c r="C111" i="6"/>
  <c r="C53" i="6"/>
  <c r="C81" i="6"/>
  <c r="C109" i="6"/>
  <c r="B20" i="6"/>
  <c r="B24" i="6"/>
  <c r="B28" i="6"/>
  <c r="B32" i="6"/>
  <c r="B36" i="6"/>
  <c r="B40" i="6"/>
  <c r="B44" i="6"/>
  <c r="B48" i="6"/>
  <c r="B52" i="6"/>
  <c r="B56" i="6"/>
  <c r="B60" i="6"/>
  <c r="B64" i="6"/>
  <c r="B68" i="6"/>
  <c r="B72" i="6"/>
  <c r="B76" i="6"/>
  <c r="B80" i="6"/>
  <c r="B84" i="6"/>
  <c r="B88" i="6"/>
  <c r="B92" i="6"/>
  <c r="B96" i="6"/>
  <c r="B100" i="6"/>
  <c r="B104" i="6"/>
  <c r="B108" i="6"/>
  <c r="B112" i="6"/>
  <c r="B25" i="6"/>
  <c r="B33" i="6"/>
  <c r="B41" i="6"/>
  <c r="B49" i="6"/>
  <c r="B57" i="6"/>
  <c r="B65" i="6"/>
  <c r="B73" i="6"/>
  <c r="B81" i="6"/>
  <c r="B89" i="6"/>
  <c r="B97" i="6"/>
  <c r="B105" i="6"/>
  <c r="B113" i="6"/>
  <c r="C33" i="6"/>
  <c r="C65" i="6"/>
  <c r="C77" i="6"/>
  <c r="C101" i="6"/>
  <c r="C20" i="6"/>
  <c r="C24" i="6"/>
  <c r="C28" i="6"/>
  <c r="C32" i="6"/>
  <c r="C36" i="6"/>
  <c r="C40" i="6"/>
  <c r="C44" i="6"/>
  <c r="C48" i="6"/>
  <c r="C52" i="6"/>
  <c r="C56" i="6"/>
  <c r="C60" i="6"/>
  <c r="C64" i="6"/>
  <c r="C68" i="6"/>
  <c r="C72" i="6"/>
  <c r="C76" i="6"/>
  <c r="C80" i="6"/>
  <c r="C84" i="6"/>
  <c r="C88" i="6"/>
  <c r="C92" i="6"/>
  <c r="C96" i="6"/>
  <c r="C100" i="6"/>
  <c r="C104" i="6"/>
  <c r="C108" i="6"/>
  <c r="C112" i="6"/>
  <c r="B21" i="6"/>
  <c r="B29" i="6"/>
  <c r="B37" i="6"/>
  <c r="B45" i="6"/>
  <c r="B53" i="6"/>
  <c r="B61" i="6"/>
  <c r="B69" i="6"/>
  <c r="B77" i="6"/>
  <c r="B85" i="6"/>
  <c r="B93" i="6"/>
  <c r="B101" i="6"/>
  <c r="B109" i="6"/>
  <c r="C21" i="6"/>
  <c r="C49" i="6"/>
  <c r="C69" i="6"/>
  <c r="C93" i="6"/>
  <c r="C37" i="6"/>
  <c r="C17" i="6"/>
  <c r="B17" i="6"/>
  <c r="B13" i="6"/>
  <c r="B12" i="6"/>
  <c r="B11" i="6"/>
  <c r="B10" i="6"/>
  <c r="B8" i="6"/>
  <c r="B9" i="6"/>
  <c r="B18" i="5"/>
  <c r="B22" i="5"/>
  <c r="B26" i="5"/>
  <c r="B30" i="5"/>
  <c r="B34" i="5"/>
  <c r="B38" i="5"/>
  <c r="B42" i="5"/>
  <c r="B46" i="5"/>
  <c r="B50" i="5"/>
  <c r="B54" i="5"/>
  <c r="B58" i="5"/>
  <c r="B62" i="5"/>
  <c r="B66" i="5"/>
  <c r="B70" i="5"/>
  <c r="B74" i="5"/>
  <c r="B78" i="5"/>
  <c r="B82" i="5"/>
  <c r="B86" i="5"/>
  <c r="B90" i="5"/>
  <c r="B94" i="5"/>
  <c r="B98" i="5"/>
  <c r="B102" i="5"/>
  <c r="B106" i="5"/>
  <c r="B110" i="5"/>
  <c r="B114" i="5"/>
  <c r="C22" i="5"/>
  <c r="C26" i="5"/>
  <c r="C30" i="5"/>
  <c r="C34" i="5"/>
  <c r="C38" i="5"/>
  <c r="C42" i="5"/>
  <c r="C50" i="5"/>
  <c r="C54" i="5"/>
  <c r="C58" i="5"/>
  <c r="C66" i="5"/>
  <c r="C70" i="5"/>
  <c r="C78" i="5"/>
  <c r="C86" i="5"/>
  <c r="C94" i="5"/>
  <c r="C102" i="5"/>
  <c r="C110" i="5"/>
  <c r="C44" i="5"/>
  <c r="C64" i="5"/>
  <c r="C80" i="5"/>
  <c r="C92" i="5"/>
  <c r="C104" i="5"/>
  <c r="C101" i="5"/>
  <c r="C18" i="5"/>
  <c r="C46" i="5"/>
  <c r="C62" i="5"/>
  <c r="C74" i="5"/>
  <c r="C82" i="5"/>
  <c r="C90" i="5"/>
  <c r="C98" i="5"/>
  <c r="C106" i="5"/>
  <c r="C114" i="5"/>
  <c r="C52" i="5"/>
  <c r="C72" i="5"/>
  <c r="C88" i="5"/>
  <c r="C100" i="5"/>
  <c r="C112" i="5"/>
  <c r="C97" i="5"/>
  <c r="B19" i="5"/>
  <c r="B23" i="5"/>
  <c r="B27" i="5"/>
  <c r="B31" i="5"/>
  <c r="B35" i="5"/>
  <c r="B39" i="5"/>
  <c r="B43" i="5"/>
  <c r="B47" i="5"/>
  <c r="B51" i="5"/>
  <c r="B55" i="5"/>
  <c r="B59" i="5"/>
  <c r="B63" i="5"/>
  <c r="B67" i="5"/>
  <c r="B71" i="5"/>
  <c r="B75" i="5"/>
  <c r="B79" i="5"/>
  <c r="B83" i="5"/>
  <c r="B87" i="5"/>
  <c r="B91" i="5"/>
  <c r="B95" i="5"/>
  <c r="B99" i="5"/>
  <c r="B103" i="5"/>
  <c r="B107" i="5"/>
  <c r="B111" i="5"/>
  <c r="B115" i="5"/>
  <c r="B68" i="5"/>
  <c r="B76" i="5"/>
  <c r="B84" i="5"/>
  <c r="B92" i="5"/>
  <c r="B100" i="5"/>
  <c r="B112" i="5"/>
  <c r="C68" i="5"/>
  <c r="C116" i="5"/>
  <c r="C109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115" i="5"/>
  <c r="B72" i="5"/>
  <c r="B80" i="5"/>
  <c r="B88" i="5"/>
  <c r="B96" i="5"/>
  <c r="B104" i="5"/>
  <c r="B108" i="5"/>
  <c r="B116" i="5"/>
  <c r="C20" i="5"/>
  <c r="C24" i="5"/>
  <c r="C28" i="5"/>
  <c r="C32" i="5"/>
  <c r="C36" i="5"/>
  <c r="C40" i="5"/>
  <c r="C48" i="5"/>
  <c r="C56" i="5"/>
  <c r="C60" i="5"/>
  <c r="C76" i="5"/>
  <c r="C84" i="5"/>
  <c r="C96" i="5"/>
  <c r="C108" i="5"/>
  <c r="C93" i="5"/>
  <c r="B20" i="5"/>
  <c r="B24" i="5"/>
  <c r="B28" i="5"/>
  <c r="B32" i="5"/>
  <c r="B36" i="5"/>
  <c r="B40" i="5"/>
  <c r="B44" i="5"/>
  <c r="B48" i="5"/>
  <c r="B52" i="5"/>
  <c r="B56" i="5"/>
  <c r="B60" i="5"/>
  <c r="B64" i="5"/>
  <c r="B21" i="5"/>
  <c r="B25" i="5"/>
  <c r="B29" i="5"/>
  <c r="B33" i="5"/>
  <c r="B37" i="5"/>
  <c r="B41" i="5"/>
  <c r="B45" i="5"/>
  <c r="B49" i="5"/>
  <c r="B53" i="5"/>
  <c r="B57" i="5"/>
  <c r="B61" i="5"/>
  <c r="B65" i="5"/>
  <c r="B69" i="5"/>
  <c r="B73" i="5"/>
  <c r="B77" i="5"/>
  <c r="B81" i="5"/>
  <c r="B85" i="5"/>
  <c r="B89" i="5"/>
  <c r="B93" i="5"/>
  <c r="B97" i="5"/>
  <c r="B101" i="5"/>
  <c r="B105" i="5"/>
  <c r="B109" i="5"/>
  <c r="B113" i="5"/>
  <c r="C21" i="5"/>
  <c r="C25" i="5"/>
  <c r="C29" i="5"/>
  <c r="C33" i="5"/>
  <c r="C37" i="5"/>
  <c r="C41" i="5"/>
  <c r="C45" i="5"/>
  <c r="C49" i="5"/>
  <c r="C53" i="5"/>
  <c r="C57" i="5"/>
  <c r="C61" i="5"/>
  <c r="C65" i="5"/>
  <c r="C69" i="5"/>
  <c r="C73" i="5"/>
  <c r="C77" i="5"/>
  <c r="C81" i="5"/>
  <c r="C85" i="5"/>
  <c r="C89" i="5"/>
  <c r="C105" i="5"/>
  <c r="C113" i="5"/>
  <c r="C17" i="5"/>
  <c r="B17" i="5"/>
  <c r="B13" i="5"/>
  <c r="B12" i="5"/>
  <c r="B11" i="5"/>
  <c r="B9" i="5"/>
  <c r="B10" i="5"/>
  <c r="B8" i="5"/>
  <c r="B18" i="4"/>
  <c r="B22" i="4"/>
  <c r="B26" i="4"/>
  <c r="B30" i="4"/>
  <c r="B34" i="4"/>
  <c r="B38" i="4"/>
  <c r="B42" i="4"/>
  <c r="B46" i="4"/>
  <c r="B50" i="4"/>
  <c r="B54" i="4"/>
  <c r="B58" i="4"/>
  <c r="B62" i="4"/>
  <c r="B66" i="4"/>
  <c r="B70" i="4"/>
  <c r="B74" i="4"/>
  <c r="B78" i="4"/>
  <c r="B82" i="4"/>
  <c r="B86" i="4"/>
  <c r="B90" i="4"/>
  <c r="B94" i="4"/>
  <c r="B98" i="4"/>
  <c r="B102" i="4"/>
  <c r="B106" i="4"/>
  <c r="B110" i="4"/>
  <c r="B1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6" i="4"/>
  <c r="C29" i="4"/>
  <c r="C57" i="4"/>
  <c r="C77" i="4"/>
  <c r="C97" i="4"/>
  <c r="B19" i="4"/>
  <c r="B23" i="4"/>
  <c r="B27" i="4"/>
  <c r="B31" i="4"/>
  <c r="B35" i="4"/>
  <c r="B39" i="4"/>
  <c r="B43" i="4"/>
  <c r="B47" i="4"/>
  <c r="B51" i="4"/>
  <c r="B55" i="4"/>
  <c r="B59" i="4"/>
  <c r="B63" i="4"/>
  <c r="B67" i="4"/>
  <c r="B71" i="4"/>
  <c r="B75" i="4"/>
  <c r="B79" i="4"/>
  <c r="B83" i="4"/>
  <c r="B87" i="4"/>
  <c r="B91" i="4"/>
  <c r="B95" i="4"/>
  <c r="B99" i="4"/>
  <c r="B103" i="4"/>
  <c r="B107" i="4"/>
  <c r="B111" i="4"/>
  <c r="B115" i="4"/>
  <c r="C37" i="4"/>
  <c r="C73" i="4"/>
  <c r="C101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08" i="4"/>
  <c r="C33" i="4"/>
  <c r="C61" i="4"/>
  <c r="C89" i="4"/>
  <c r="C113" i="4"/>
  <c r="B20" i="4"/>
  <c r="B24" i="4"/>
  <c r="B28" i="4"/>
  <c r="B32" i="4"/>
  <c r="B36" i="4"/>
  <c r="B40" i="4"/>
  <c r="B44" i="4"/>
  <c r="B48" i="4"/>
  <c r="B52" i="4"/>
  <c r="B56" i="4"/>
  <c r="B60" i="4"/>
  <c r="B64" i="4"/>
  <c r="B68" i="4"/>
  <c r="B72" i="4"/>
  <c r="B76" i="4"/>
  <c r="B80" i="4"/>
  <c r="B84" i="4"/>
  <c r="B88" i="4"/>
  <c r="B92" i="4"/>
  <c r="B96" i="4"/>
  <c r="B100" i="4"/>
  <c r="B104" i="4"/>
  <c r="B108" i="4"/>
  <c r="B112" i="4"/>
  <c r="B116" i="4"/>
  <c r="C104" i="4"/>
  <c r="C41" i="4"/>
  <c r="C65" i="4"/>
  <c r="C93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C100" i="4"/>
  <c r="C112" i="4"/>
  <c r="C49" i="4"/>
  <c r="C81" i="4"/>
  <c r="C109" i="4"/>
  <c r="B21" i="4"/>
  <c r="B25" i="4"/>
  <c r="B29" i="4"/>
  <c r="B33" i="4"/>
  <c r="B37" i="4"/>
  <c r="B41" i="4"/>
  <c r="B45" i="4"/>
  <c r="B49" i="4"/>
  <c r="B53" i="4"/>
  <c r="B57" i="4"/>
  <c r="B61" i="4"/>
  <c r="B65" i="4"/>
  <c r="B69" i="4"/>
  <c r="B73" i="4"/>
  <c r="B77" i="4"/>
  <c r="B81" i="4"/>
  <c r="B85" i="4"/>
  <c r="B89" i="4"/>
  <c r="B93" i="4"/>
  <c r="B97" i="4"/>
  <c r="B101" i="4"/>
  <c r="B105" i="4"/>
  <c r="B109" i="4"/>
  <c r="B113" i="4"/>
  <c r="C25" i="4"/>
  <c r="C45" i="4"/>
  <c r="C53" i="4"/>
  <c r="C69" i="4"/>
  <c r="C85" i="4"/>
  <c r="C105" i="4"/>
  <c r="C21" i="4"/>
  <c r="C17" i="4"/>
  <c r="B17" i="4"/>
  <c r="B13" i="4"/>
  <c r="B12" i="4"/>
  <c r="B11" i="4"/>
  <c r="B10" i="4"/>
  <c r="B9" i="4"/>
  <c r="B8" i="4"/>
  <c r="B18" i="3"/>
  <c r="B26" i="3"/>
  <c r="B34" i="3"/>
  <c r="B42" i="3"/>
  <c r="B50" i="3"/>
  <c r="B58" i="3"/>
  <c r="B66" i="3"/>
  <c r="B74" i="3"/>
  <c r="B82" i="3"/>
  <c r="B90" i="3"/>
  <c r="B98" i="3"/>
  <c r="B106" i="3"/>
  <c r="B114" i="3"/>
  <c r="B28" i="3"/>
  <c r="B36" i="3"/>
  <c r="B52" i="3"/>
  <c r="B68" i="3"/>
  <c r="B84" i="3"/>
  <c r="B108" i="3"/>
  <c r="B19" i="3"/>
  <c r="B27" i="3"/>
  <c r="B35" i="3"/>
  <c r="B43" i="3"/>
  <c r="B51" i="3"/>
  <c r="B59" i="3"/>
  <c r="B67" i="3"/>
  <c r="B75" i="3"/>
  <c r="B83" i="3"/>
  <c r="B91" i="3"/>
  <c r="B99" i="3"/>
  <c r="B107" i="3"/>
  <c r="B115" i="3"/>
  <c r="B20" i="3"/>
  <c r="B44" i="3"/>
  <c r="B60" i="3"/>
  <c r="B76" i="3"/>
  <c r="B92" i="3"/>
  <c r="B116" i="3"/>
  <c r="B100" i="3"/>
  <c r="B21" i="3"/>
  <c r="B29" i="3"/>
  <c r="B37" i="3"/>
  <c r="B45" i="3"/>
  <c r="B53" i="3"/>
  <c r="B61" i="3"/>
  <c r="B69" i="3"/>
  <c r="B77" i="3"/>
  <c r="B85" i="3"/>
  <c r="B93" i="3"/>
  <c r="B101" i="3"/>
  <c r="B109" i="3"/>
  <c r="B49" i="3"/>
  <c r="B81" i="3"/>
  <c r="B105" i="3"/>
  <c r="B22" i="3"/>
  <c r="B30" i="3"/>
  <c r="B38" i="3"/>
  <c r="B46" i="3"/>
  <c r="B54" i="3"/>
  <c r="B62" i="3"/>
  <c r="B70" i="3"/>
  <c r="B78" i="3"/>
  <c r="B86" i="3"/>
  <c r="B94" i="3"/>
  <c r="B102" i="3"/>
  <c r="B110" i="3"/>
  <c r="B25" i="3"/>
  <c r="B65" i="3"/>
  <c r="B97" i="3"/>
  <c r="B23" i="3"/>
  <c r="B31" i="3"/>
  <c r="B39" i="3"/>
  <c r="B47" i="3"/>
  <c r="B55" i="3"/>
  <c r="B63" i="3"/>
  <c r="B71" i="3"/>
  <c r="B79" i="3"/>
  <c r="B87" i="3"/>
  <c r="B95" i="3"/>
  <c r="B103" i="3"/>
  <c r="B111" i="3"/>
  <c r="B33" i="3"/>
  <c r="B57" i="3"/>
  <c r="B89" i="3"/>
  <c r="B24" i="3"/>
  <c r="B32" i="3"/>
  <c r="B40" i="3"/>
  <c r="B48" i="3"/>
  <c r="B56" i="3"/>
  <c r="B64" i="3"/>
  <c r="B72" i="3"/>
  <c r="B80" i="3"/>
  <c r="B88" i="3"/>
  <c r="B96" i="3"/>
  <c r="B104" i="3"/>
  <c r="B112" i="3"/>
  <c r="B41" i="3"/>
  <c r="B73" i="3"/>
  <c r="B113" i="3"/>
  <c r="B17" i="3"/>
  <c r="C41" i="3"/>
  <c r="C53" i="3"/>
  <c r="C85" i="3"/>
  <c r="C113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33" i="3"/>
  <c r="C65" i="3"/>
  <c r="C93" i="3"/>
  <c r="C29" i="3"/>
  <c r="C69" i="3"/>
  <c r="C97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37" i="3"/>
  <c r="C73" i="3"/>
  <c r="C105" i="3"/>
  <c r="C25" i="3"/>
  <c r="C45" i="3"/>
  <c r="C57" i="3"/>
  <c r="C81" i="3"/>
  <c r="C101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21" i="3"/>
  <c r="C49" i="3"/>
  <c r="C61" i="3"/>
  <c r="C77" i="3"/>
  <c r="C89" i="3"/>
  <c r="C109" i="3"/>
  <c r="C17" i="3"/>
  <c r="B13" i="3"/>
  <c r="B12" i="3"/>
  <c r="B11" i="3"/>
  <c r="B10" i="3"/>
  <c r="B9" i="3"/>
  <c r="B8" i="3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106" i="2"/>
  <c r="B110" i="2"/>
  <c r="B114" i="2"/>
  <c r="B28" i="2"/>
  <c r="B40" i="2"/>
  <c r="B56" i="2"/>
  <c r="B68" i="2"/>
  <c r="B84" i="2"/>
  <c r="B100" i="2"/>
  <c r="C20" i="2"/>
  <c r="C44" i="2"/>
  <c r="C60" i="2"/>
  <c r="C72" i="2"/>
  <c r="C84" i="2"/>
  <c r="C96" i="2"/>
  <c r="C108" i="2"/>
  <c r="C18" i="2"/>
  <c r="C22" i="2"/>
  <c r="C26" i="2"/>
  <c r="C30" i="2"/>
  <c r="C34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94" i="2"/>
  <c r="C98" i="2"/>
  <c r="C102" i="2"/>
  <c r="C106" i="2"/>
  <c r="C110" i="2"/>
  <c r="C114" i="2"/>
  <c r="B32" i="2"/>
  <c r="B36" i="2"/>
  <c r="B52" i="2"/>
  <c r="B72" i="2"/>
  <c r="B88" i="2"/>
  <c r="B104" i="2"/>
  <c r="B116" i="2"/>
  <c r="C24" i="2"/>
  <c r="C56" i="2"/>
  <c r="C76" i="2"/>
  <c r="C88" i="2"/>
  <c r="C100" i="2"/>
  <c r="C112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24" i="2"/>
  <c r="B48" i="2"/>
  <c r="B64" i="2"/>
  <c r="B80" i="2"/>
  <c r="B96" i="2"/>
  <c r="B112" i="2"/>
  <c r="C28" i="2"/>
  <c r="C40" i="2"/>
  <c r="C52" i="2"/>
  <c r="C68" i="2"/>
  <c r="C80" i="2"/>
  <c r="C92" i="2"/>
  <c r="C104" i="2"/>
  <c r="C116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B20" i="2"/>
  <c r="B44" i="2"/>
  <c r="B60" i="2"/>
  <c r="B76" i="2"/>
  <c r="B92" i="2"/>
  <c r="B108" i="2"/>
  <c r="C32" i="2"/>
  <c r="C36" i="2"/>
  <c r="C48" i="2"/>
  <c r="C64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C25" i="2"/>
  <c r="C29" i="2"/>
  <c r="C33" i="2"/>
  <c r="C37" i="2"/>
  <c r="C41" i="2"/>
  <c r="C45" i="2"/>
  <c r="C49" i="2"/>
  <c r="C53" i="2"/>
  <c r="C57" i="2"/>
  <c r="C61" i="2"/>
  <c r="C65" i="2"/>
  <c r="C69" i="2"/>
  <c r="C73" i="2"/>
  <c r="C77" i="2"/>
  <c r="C81" i="2"/>
  <c r="C85" i="2"/>
  <c r="C89" i="2"/>
  <c r="C93" i="2"/>
  <c r="C97" i="2"/>
  <c r="C101" i="2"/>
  <c r="C105" i="2"/>
  <c r="C109" i="2"/>
  <c r="C113" i="2"/>
  <c r="C21" i="2"/>
  <c r="C17" i="2"/>
  <c r="B17" i="2"/>
  <c r="B13" i="2"/>
  <c r="B12" i="2"/>
  <c r="B11" i="2"/>
  <c r="B10" i="2"/>
  <c r="B9" i="2"/>
  <c r="B8" i="2"/>
  <c r="B13" i="1"/>
  <c r="B12" i="1"/>
  <c r="B11" i="1"/>
  <c r="B10" i="1"/>
  <c r="B8" i="1"/>
  <c r="B9" i="1"/>
</calcChain>
</file>

<file path=xl/sharedStrings.xml><?xml version="1.0" encoding="utf-8"?>
<sst xmlns="http://schemas.openxmlformats.org/spreadsheetml/2006/main" count="207" uniqueCount="27">
  <si>
    <t>看涨期权B-S</t>
    <phoneticPr fontId="1" type="noConversion"/>
  </si>
  <si>
    <t>看跌期权B-S</t>
    <phoneticPr fontId="1" type="noConversion"/>
  </si>
  <si>
    <t>资产价格(S)</t>
    <phoneticPr fontId="1" type="noConversion"/>
  </si>
  <si>
    <r>
      <t>资产波动率(</t>
    </r>
    <r>
      <rPr>
        <sz val="20"/>
        <rFont val="Tahoma"/>
        <family val="2"/>
      </rPr>
      <t>σ</t>
    </r>
    <r>
      <rPr>
        <sz val="20"/>
        <rFont val="宋体"/>
        <family val="3"/>
        <charset val="134"/>
      </rPr>
      <t>)</t>
    </r>
    <phoneticPr fontId="1" type="noConversion"/>
  </si>
  <si>
    <t>红利率(q)</t>
    <phoneticPr fontId="1" type="noConversion"/>
  </si>
  <si>
    <t>到期期限(T,year)</t>
    <phoneticPr fontId="1" type="noConversion"/>
  </si>
  <si>
    <t>无风险利率（ r )</t>
    <phoneticPr fontId="1" type="noConversion"/>
  </si>
  <si>
    <t>执行价格（X）</t>
    <phoneticPr fontId="1" type="noConversion"/>
  </si>
  <si>
    <t>bs_call(S,σ,rf,q,T,X)</t>
    <phoneticPr fontId="1" type="noConversion"/>
  </si>
  <si>
    <t>bs_put(S,σ,rf,q,T,X)</t>
    <phoneticPr fontId="1" type="noConversion"/>
  </si>
  <si>
    <t>函数名</t>
    <phoneticPr fontId="1" type="noConversion"/>
  </si>
  <si>
    <t>操作说明：1.该工作簿中函数参数顺序完全一致，参数依次表示：标的资产价格，标的资产的波动率，无风险利率，红利率，期权到期期限（以年为单位），执行价格。参数个数不可缺少，顺序不可倒换</t>
    <phoneticPr fontId="1" type="noConversion"/>
  </si>
  <si>
    <t>in_val_call(S,σ,rf,q,T,X)</t>
    <phoneticPr fontId="1" type="noConversion"/>
  </si>
  <si>
    <t>用途</t>
    <phoneticPr fontId="1" type="noConversion"/>
  </si>
  <si>
    <t>in_val_put(S,σ,rf,q,T,X)</t>
    <phoneticPr fontId="1" type="noConversion"/>
  </si>
  <si>
    <t>floor_call(S,σ,rf,q,T,X)</t>
    <phoneticPr fontId="1" type="noConversion"/>
  </si>
  <si>
    <t>floor_put(S,σ,rf,q,T,X)</t>
    <phoneticPr fontId="1" type="noConversion"/>
  </si>
  <si>
    <t>计算欧式看涨期权价值</t>
    <phoneticPr fontId="1" type="noConversion"/>
  </si>
  <si>
    <t>计算欧式看跌期权价值</t>
    <phoneticPr fontId="1" type="noConversion"/>
  </si>
  <si>
    <t>计算看涨期权内在价值</t>
    <phoneticPr fontId="1" type="noConversion"/>
  </si>
  <si>
    <t>计算看跌期权内在价值</t>
    <phoneticPr fontId="1" type="noConversion"/>
  </si>
  <si>
    <t>计算欧式看涨期权下限</t>
    <phoneticPr fontId="1" type="noConversion"/>
  </si>
  <si>
    <t>计算欧式看跌期权下限</t>
    <phoneticPr fontId="1" type="noConversion"/>
  </si>
  <si>
    <t>看涨期权内在价值</t>
    <phoneticPr fontId="1" type="noConversion"/>
  </si>
  <si>
    <t>看跌期权内在价值</t>
    <phoneticPr fontId="1" type="noConversion"/>
  </si>
  <si>
    <t>欧式看涨下限</t>
    <phoneticPr fontId="1" type="noConversion"/>
  </si>
  <si>
    <t>欧式看跌下限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</si>
</sst>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20"/>
      <name val="Tahoma"/>
      <family val="2"/>
    </font>
    <font>
      <b/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4" fillId="0" borderId="0" xfId="0" applyFont="1">
      <alignment vertical="center"/>
    </xf>
    <xf numFmtId="0" fontId="6" fillId="4" borderId="1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3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workbookViewId="0">
      <selection activeCell="D16" sqref="A1:XFD1048576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1"/>
      <c r="B16" s="1"/>
    </row>
    <row r="17" spans="1:2" ht="25.5" x14ac:dyDescent="0.15">
      <c r="A17" s="1"/>
      <c r="B17" s="1"/>
    </row>
    <row r="18" spans="1:2" ht="25.5" x14ac:dyDescent="0.15">
      <c r="A18" s="1"/>
      <c r="B18" s="1"/>
    </row>
    <row r="19" spans="1:2" ht="25.5" x14ac:dyDescent="0.15">
      <c r="A19" s="1"/>
      <c r="B19" s="1"/>
    </row>
    <row r="20" spans="1:2" ht="25.5" x14ac:dyDescent="0.15">
      <c r="A20" s="1"/>
      <c r="B20" s="1"/>
    </row>
    <row r="21" spans="1:2" ht="25.5" x14ac:dyDescent="0.15">
      <c r="A21" s="1"/>
      <c r="B21" s="1"/>
    </row>
  </sheetData>
  <mergeCells count="1">
    <mergeCell ref="E1:J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6"/>
  <sheetViews>
    <sheetView workbookViewId="0">
      <selection activeCell="F17" sqref="A1:XFD1048576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2" t="s">
        <v>2</v>
      </c>
      <c r="B16" s="1" t="s">
        <v>0</v>
      </c>
      <c r="C16" s="1" t="s">
        <v>1</v>
      </c>
    </row>
    <row r="17" spans="1:3" ht="25.5" x14ac:dyDescent="0.15">
      <c r="A17" s="1">
        <v>1</v>
      </c>
      <c r="B17" s="1">
        <f>BS_call(A17,$B$2,$B$3,$B$4,$B$5,$B$6)</f>
        <v>3.1551119606248154E-25</v>
      </c>
      <c r="C17" s="1">
        <f>BS_put(A17,$B$2,$B$3,$B$4,$B$5,$B$6)</f>
        <v>49.463167744522423</v>
      </c>
    </row>
    <row r="18" spans="1:3" ht="25.5" x14ac:dyDescent="0.15">
      <c r="A18" s="1">
        <v>2</v>
      </c>
      <c r="B18" s="1">
        <f t="shared" ref="B18:B81" si="0">BS_call(A18,$B$2,$B$3,$B$4,$B$5,$B$6)</f>
        <v>1.1630889207257742E-17</v>
      </c>
      <c r="C18" s="1">
        <f t="shared" ref="C18:C81" si="1">BS_put(A18,$B$2,$B$3,$B$4,$B$5,$B$6)</f>
        <v>48.463167744522423</v>
      </c>
    </row>
    <row r="19" spans="1:3" ht="25.5" x14ac:dyDescent="0.15">
      <c r="A19" s="1">
        <v>3</v>
      </c>
      <c r="B19" s="1">
        <f t="shared" si="0"/>
        <v>7.1733841891935185E-14</v>
      </c>
      <c r="C19" s="1">
        <f t="shared" si="1"/>
        <v>47.463167744522494</v>
      </c>
    </row>
    <row r="20" spans="1:3" ht="25.5" x14ac:dyDescent="0.15">
      <c r="A20" s="1">
        <v>4</v>
      </c>
      <c r="B20" s="1">
        <f t="shared" si="0"/>
        <v>1.8290275199438499E-11</v>
      </c>
      <c r="C20" s="1">
        <f t="shared" si="1"/>
        <v>46.463167744540712</v>
      </c>
    </row>
    <row r="21" spans="1:3" ht="25.5" x14ac:dyDescent="0.15">
      <c r="A21" s="1">
        <v>5</v>
      </c>
      <c r="B21" s="1">
        <f t="shared" si="0"/>
        <v>9.2981127574567986E-10</v>
      </c>
      <c r="C21" s="1">
        <f t="shared" si="1"/>
        <v>45.463167745452239</v>
      </c>
    </row>
    <row r="22" spans="1:3" ht="25.5" x14ac:dyDescent="0.15">
      <c r="A22" s="1">
        <v>6</v>
      </c>
      <c r="B22" s="1">
        <f t="shared" si="0"/>
        <v>1.8158777988545427E-8</v>
      </c>
      <c r="C22" s="1">
        <f t="shared" si="1"/>
        <v>44.463167762681202</v>
      </c>
    </row>
    <row r="23" spans="1:3" ht="25.5" x14ac:dyDescent="0.15">
      <c r="A23" s="1">
        <v>7</v>
      </c>
      <c r="B23" s="1">
        <f t="shared" si="0"/>
        <v>1.8981277599221581E-7</v>
      </c>
      <c r="C23" s="1">
        <f t="shared" si="1"/>
        <v>43.463167934335196</v>
      </c>
    </row>
    <row r="24" spans="1:3" ht="25.5" x14ac:dyDescent="0.15">
      <c r="A24" s="1">
        <v>8</v>
      </c>
      <c r="B24" s="1">
        <f t="shared" si="0"/>
        <v>1.2830708967517747E-6</v>
      </c>
      <c r="C24" s="1">
        <f t="shared" si="1"/>
        <v>42.463169027593317</v>
      </c>
    </row>
    <row r="25" spans="1:3" ht="25.5" x14ac:dyDescent="0.15">
      <c r="A25" s="1">
        <v>9</v>
      </c>
      <c r="B25" s="1">
        <f t="shared" si="0"/>
        <v>6.3060424399817219E-6</v>
      </c>
      <c r="C25" s="1">
        <f t="shared" si="1"/>
        <v>41.463174050564866</v>
      </c>
    </row>
    <row r="26" spans="1:3" ht="25.5" x14ac:dyDescent="0.15">
      <c r="A26" s="1">
        <v>10</v>
      </c>
      <c r="B26" s="1">
        <f t="shared" si="0"/>
        <v>2.4342219381922573E-5</v>
      </c>
      <c r="C26" s="1">
        <f t="shared" si="1"/>
        <v>40.463192086741806</v>
      </c>
    </row>
    <row r="27" spans="1:3" ht="25.5" x14ac:dyDescent="0.15">
      <c r="A27" s="1">
        <v>11</v>
      </c>
      <c r="B27" s="1">
        <f t="shared" si="0"/>
        <v>7.7837485631562504E-5</v>
      </c>
      <c r="C27" s="1">
        <f t="shared" si="1"/>
        <v>39.463245582008057</v>
      </c>
    </row>
    <row r="28" spans="1:3" ht="25.5" x14ac:dyDescent="0.15">
      <c r="A28" s="1">
        <v>12</v>
      </c>
      <c r="B28" s="1">
        <f t="shared" si="0"/>
        <v>2.141932764198151E-4</v>
      </c>
      <c r="C28" s="1">
        <f t="shared" si="1"/>
        <v>38.463381937798843</v>
      </c>
    </row>
    <row r="29" spans="1:3" ht="25.5" x14ac:dyDescent="0.15">
      <c r="A29" s="1">
        <v>13</v>
      </c>
      <c r="B29" s="1">
        <f t="shared" si="0"/>
        <v>5.217180829257791E-4</v>
      </c>
      <c r="C29" s="1">
        <f t="shared" si="1"/>
        <v>37.463689462605352</v>
      </c>
    </row>
    <row r="30" spans="1:3" ht="25.5" x14ac:dyDescent="0.15">
      <c r="A30" s="1">
        <v>14</v>
      </c>
      <c r="B30" s="1">
        <f t="shared" si="0"/>
        <v>1.1490267011872498E-3</v>
      </c>
      <c r="C30" s="1">
        <f t="shared" si="1"/>
        <v>36.464316771223608</v>
      </c>
    </row>
    <row r="31" spans="1:3" ht="25.5" x14ac:dyDescent="0.15">
      <c r="A31" s="1">
        <v>15</v>
      </c>
      <c r="B31" s="1">
        <f t="shared" si="0"/>
        <v>2.3261557603931511E-3</v>
      </c>
      <c r="C31" s="1">
        <f t="shared" si="1"/>
        <v>35.465493900282816</v>
      </c>
    </row>
    <row r="32" spans="1:3" ht="25.5" x14ac:dyDescent="0.15">
      <c r="A32" s="1">
        <v>16</v>
      </c>
      <c r="B32" s="1">
        <f t="shared" si="0"/>
        <v>4.3851959784328015E-3</v>
      </c>
      <c r="C32" s="1">
        <f t="shared" si="1"/>
        <v>34.467552940500852</v>
      </c>
    </row>
    <row r="33" spans="1:3" ht="25.5" x14ac:dyDescent="0.15">
      <c r="A33" s="1">
        <v>17</v>
      </c>
      <c r="B33" s="1">
        <f t="shared" si="0"/>
        <v>7.7781953254583563E-3</v>
      </c>
      <c r="C33" s="1">
        <f t="shared" si="1"/>
        <v>33.47094593984788</v>
      </c>
    </row>
    <row r="34" spans="1:3" ht="25.5" x14ac:dyDescent="0.15">
      <c r="A34" s="1">
        <v>18</v>
      </c>
      <c r="B34" s="1">
        <f t="shared" si="0"/>
        <v>1.3090410262434779E-2</v>
      </c>
      <c r="C34" s="1">
        <f t="shared" si="1"/>
        <v>32.476258154784858</v>
      </c>
    </row>
    <row r="35" spans="1:3" ht="25.5" x14ac:dyDescent="0.15">
      <c r="A35" s="1">
        <v>19</v>
      </c>
      <c r="B35" s="1">
        <f t="shared" si="0"/>
        <v>2.1047552123076851E-2</v>
      </c>
      <c r="C35" s="1">
        <f t="shared" si="1"/>
        <v>31.484215296645498</v>
      </c>
    </row>
    <row r="36" spans="1:3" ht="25.5" x14ac:dyDescent="0.15">
      <c r="A36" s="1">
        <v>20</v>
      </c>
      <c r="B36" s="1">
        <f t="shared" si="0"/>
        <v>3.2516352374758167E-2</v>
      </c>
      <c r="C36" s="1">
        <f t="shared" si="1"/>
        <v>30.495684096897183</v>
      </c>
    </row>
    <row r="37" spans="1:3" ht="25.5" x14ac:dyDescent="0.15">
      <c r="A37" s="1">
        <v>21</v>
      </c>
      <c r="B37" s="1">
        <f t="shared" si="0"/>
        <v>4.8498432254886426E-2</v>
      </c>
      <c r="C37" s="1">
        <f t="shared" si="1"/>
        <v>29.511666176777307</v>
      </c>
    </row>
    <row r="38" spans="1:3" ht="25.5" x14ac:dyDescent="0.15">
      <c r="A38" s="1">
        <v>22</v>
      </c>
      <c r="B38" s="1">
        <f t="shared" si="0"/>
        <v>7.0118023650273809E-2</v>
      </c>
      <c r="C38" s="1">
        <f t="shared" si="1"/>
        <v>28.533285768172693</v>
      </c>
    </row>
    <row r="39" spans="1:3" ht="25.5" x14ac:dyDescent="0.15">
      <c r="A39" s="1">
        <v>23</v>
      </c>
      <c r="B39" s="1">
        <f t="shared" si="0"/>
        <v>9.8604502811767913E-2</v>
      </c>
      <c r="C39" s="1">
        <f t="shared" si="1"/>
        <v>27.561772247334186</v>
      </c>
    </row>
    <row r="40" spans="1:3" ht="25.5" x14ac:dyDescent="0.15">
      <c r="A40" s="1">
        <v>24</v>
      </c>
      <c r="B40" s="1">
        <f t="shared" si="0"/>
        <v>0.13527095375529785</v>
      </c>
      <c r="C40" s="1">
        <f t="shared" si="1"/>
        <v>26.598438698277725</v>
      </c>
    </row>
    <row r="41" spans="1:3" ht="25.5" x14ac:dyDescent="0.15">
      <c r="A41" s="1">
        <v>25</v>
      </c>
      <c r="B41" s="1">
        <f t="shared" si="0"/>
        <v>0.18149008510873199</v>
      </c>
      <c r="C41" s="1">
        <f t="shared" si="1"/>
        <v>25.644657829631157</v>
      </c>
    </row>
    <row r="42" spans="1:3" ht="25.5" x14ac:dyDescent="0.15">
      <c r="A42" s="1">
        <v>26</v>
      </c>
      <c r="B42" s="1">
        <f t="shared" si="0"/>
        <v>0.23866880802228985</v>
      </c>
      <c r="C42" s="1">
        <f t="shared" si="1"/>
        <v>24.701836552544716</v>
      </c>
    </row>
    <row r="43" spans="1:3" ht="25.5" x14ac:dyDescent="0.15">
      <c r="A43" s="1">
        <v>27</v>
      </c>
      <c r="B43" s="1">
        <f t="shared" si="0"/>
        <v>0.30822267491319666</v>
      </c>
      <c r="C43" s="1">
        <f t="shared" si="1"/>
        <v>23.771390419435622</v>
      </c>
    </row>
    <row r="44" spans="1:3" ht="25.5" x14ac:dyDescent="0.15">
      <c r="A44" s="1">
        <v>28</v>
      </c>
      <c r="B44" s="1">
        <f t="shared" si="0"/>
        <v>0.39155121078289579</v>
      </c>
      <c r="C44" s="1">
        <f t="shared" si="1"/>
        <v>22.854718955305319</v>
      </c>
    </row>
    <row r="45" spans="1:3" ht="25.5" x14ac:dyDescent="0.15">
      <c r="A45" s="1">
        <v>29</v>
      </c>
      <c r="B45" s="1">
        <f t="shared" si="0"/>
        <v>0.49001496867517069</v>
      </c>
      <c r="C45" s="1">
        <f t="shared" si="1"/>
        <v>21.953182713197588</v>
      </c>
    </row>
    <row r="46" spans="1:3" ht="25.5" x14ac:dyDescent="0.15">
      <c r="A46" s="1">
        <v>30</v>
      </c>
      <c r="B46" s="1">
        <f t="shared" si="0"/>
        <v>0.60491493128156648</v>
      </c>
      <c r="C46" s="1">
        <f t="shared" si="1"/>
        <v>21.068082675803989</v>
      </c>
    </row>
    <row r="47" spans="1:3" ht="25.5" x14ac:dyDescent="0.15">
      <c r="A47" s="1">
        <v>31</v>
      </c>
      <c r="B47" s="1">
        <f t="shared" si="0"/>
        <v>0.73747467867191174</v>
      </c>
      <c r="C47" s="1">
        <f t="shared" si="1"/>
        <v>20.200642423194331</v>
      </c>
    </row>
    <row r="48" spans="1:3" ht="25.5" x14ac:dyDescent="0.15">
      <c r="A48" s="1">
        <v>32</v>
      </c>
      <c r="B48" s="1">
        <f t="shared" si="0"/>
        <v>0.88882555906027072</v>
      </c>
      <c r="C48" s="1">
        <f t="shared" si="1"/>
        <v>19.351993303582695</v>
      </c>
    </row>
    <row r="49" spans="1:3" ht="25.5" x14ac:dyDescent="0.15">
      <c r="A49" s="1">
        <v>33</v>
      </c>
      <c r="B49" s="1">
        <f t="shared" si="0"/>
        <v>1.0599949421207491</v>
      </c>
      <c r="C49" s="1">
        <f t="shared" si="1"/>
        <v>18.523162686643172</v>
      </c>
    </row>
    <row r="50" spans="1:3" ht="25.5" x14ac:dyDescent="0.15">
      <c r="A50" s="1">
        <v>34</v>
      </c>
      <c r="B50" s="1">
        <f t="shared" si="0"/>
        <v>1.2518975056025257</v>
      </c>
      <c r="C50" s="1">
        <f t="shared" si="1"/>
        <v>17.715065250124951</v>
      </c>
    </row>
    <row r="51" spans="1:3" ht="25.5" x14ac:dyDescent="0.15">
      <c r="A51" s="1">
        <v>35</v>
      </c>
      <c r="B51" s="1">
        <f t="shared" si="0"/>
        <v>1.465329406039336</v>
      </c>
      <c r="C51" s="1">
        <f t="shared" si="1"/>
        <v>16.928497150561757</v>
      </c>
    </row>
    <row r="52" spans="1:3" ht="25.5" x14ac:dyDescent="0.15">
      <c r="A52" s="1">
        <v>36</v>
      </c>
      <c r="B52" s="1">
        <f t="shared" si="0"/>
        <v>1.7009651114796602</v>
      </c>
      <c r="C52" s="1">
        <f t="shared" si="1"/>
        <v>16.164132856002084</v>
      </c>
    </row>
    <row r="53" spans="1:3" ht="25.5" x14ac:dyDescent="0.15">
      <c r="A53" s="1">
        <v>37</v>
      </c>
      <c r="B53" s="1">
        <f t="shared" si="0"/>
        <v>1.9593566254791668</v>
      </c>
      <c r="C53" s="1">
        <f t="shared" si="1"/>
        <v>15.422524370001597</v>
      </c>
    </row>
    <row r="54" spans="1:3" ht="25.5" x14ac:dyDescent="0.15">
      <c r="A54" s="1">
        <v>38</v>
      </c>
      <c r="B54" s="1">
        <f t="shared" si="0"/>
        <v>2.2409348035884875</v>
      </c>
      <c r="C54" s="1">
        <f t="shared" si="1"/>
        <v>14.704102548110917</v>
      </c>
    </row>
    <row r="55" spans="1:3" ht="25.5" x14ac:dyDescent="0.15">
      <c r="A55" s="1">
        <v>39</v>
      </c>
      <c r="B55" s="1">
        <f t="shared" si="0"/>
        <v>2.5460124525441739</v>
      </c>
      <c r="C55" s="1">
        <f t="shared" si="1"/>
        <v>14.009180197066595</v>
      </c>
    </row>
    <row r="56" spans="1:3" ht="25.5" x14ac:dyDescent="0.15">
      <c r="A56" s="1">
        <v>40</v>
      </c>
      <c r="B56" s="1">
        <f t="shared" si="0"/>
        <v>2.8747889047417843</v>
      </c>
      <c r="C56" s="1">
        <f t="shared" si="1"/>
        <v>13.337956649264203</v>
      </c>
    </row>
    <row r="57" spans="1:3" ht="25.5" x14ac:dyDescent="0.15">
      <c r="A57" s="1">
        <v>41</v>
      </c>
      <c r="B57" s="1">
        <f t="shared" si="0"/>
        <v>3.2273557730391804</v>
      </c>
      <c r="C57" s="1">
        <f t="shared" si="1"/>
        <v>12.690523517561601</v>
      </c>
    </row>
    <row r="58" spans="1:3" ht="25.5" x14ac:dyDescent="0.15">
      <c r="A58" s="1">
        <v>42</v>
      </c>
      <c r="B58" s="1">
        <f t="shared" si="0"/>
        <v>3.6037036106051303</v>
      </c>
      <c r="C58" s="1">
        <f t="shared" si="1"/>
        <v>12.066871355127553</v>
      </c>
    </row>
    <row r="59" spans="1:3" ht="25.5" x14ac:dyDescent="0.15">
      <c r="A59" s="1">
        <v>43</v>
      </c>
      <c r="B59" s="1">
        <f t="shared" si="0"/>
        <v>4.0037292249257135</v>
      </c>
      <c r="C59" s="1">
        <f t="shared" si="1"/>
        <v>11.466896969448133</v>
      </c>
    </row>
    <row r="60" spans="1:3" ht="25.5" x14ac:dyDescent="0.15">
      <c r="A60" s="1">
        <v>44</v>
      </c>
      <c r="B60" s="1">
        <f t="shared" si="0"/>
        <v>4.4272434221882584</v>
      </c>
      <c r="C60" s="1">
        <f t="shared" si="1"/>
        <v>10.890411166710681</v>
      </c>
    </row>
    <row r="61" spans="1:3" ht="25.5" x14ac:dyDescent="0.15">
      <c r="A61" s="1">
        <v>45</v>
      </c>
      <c r="B61" s="1">
        <f t="shared" si="0"/>
        <v>4.8739789864672272</v>
      </c>
      <c r="C61" s="1">
        <f t="shared" si="1"/>
        <v>10.337146730989645</v>
      </c>
    </row>
    <row r="62" spans="1:3" ht="25.5" x14ac:dyDescent="0.15">
      <c r="A62" s="1">
        <v>46</v>
      </c>
      <c r="B62" s="1">
        <f t="shared" si="0"/>
        <v>5.3435987262062703</v>
      </c>
      <c r="C62" s="1">
        <f t="shared" si="1"/>
        <v>9.8067664707286895</v>
      </c>
    </row>
    <row r="63" spans="1:3" ht="25.5" x14ac:dyDescent="0.15">
      <c r="A63" s="1">
        <v>47</v>
      </c>
      <c r="B63" s="1">
        <f t="shared" si="0"/>
        <v>5.8357034475146143</v>
      </c>
      <c r="C63" s="1">
        <f t="shared" si="1"/>
        <v>9.2988711920370406</v>
      </c>
    </row>
    <row r="64" spans="1:3" ht="25.5" x14ac:dyDescent="0.15">
      <c r="A64" s="1">
        <v>48</v>
      </c>
      <c r="B64" s="1">
        <f t="shared" si="0"/>
        <v>6.3498397391388721</v>
      </c>
      <c r="C64" s="1">
        <f t="shared" si="1"/>
        <v>8.8130074836612948</v>
      </c>
    </row>
    <row r="65" spans="1:3" ht="25.5" x14ac:dyDescent="0.15">
      <c r="A65" s="1">
        <v>49</v>
      </c>
      <c r="B65" s="1">
        <f t="shared" si="0"/>
        <v>6.885507477223392</v>
      </c>
      <c r="C65" s="1">
        <f t="shared" si="1"/>
        <v>8.3486752217458147</v>
      </c>
    </row>
    <row r="66" spans="1:3" ht="25.5" x14ac:dyDescent="0.15">
      <c r="A66" s="1">
        <v>50</v>
      </c>
      <c r="B66" s="1">
        <f t="shared" si="0"/>
        <v>7.4421669789018239</v>
      </c>
      <c r="C66" s="1">
        <f t="shared" si="1"/>
        <v>7.9053347234242466</v>
      </c>
    </row>
    <row r="67" spans="1:3" ht="25.5" x14ac:dyDescent="0.15">
      <c r="A67" s="1">
        <v>51</v>
      </c>
      <c r="B67" s="1">
        <f t="shared" si="0"/>
        <v>8.0192457522780956</v>
      </c>
      <c r="C67" s="1">
        <f t="shared" si="1"/>
        <v>7.4824134968005183</v>
      </c>
    </row>
    <row r="68" spans="1:3" ht="25.5" x14ac:dyDescent="0.15">
      <c r="A68" s="1">
        <v>52</v>
      </c>
      <c r="B68" s="1">
        <f t="shared" si="0"/>
        <v>8.6161448064700146</v>
      </c>
      <c r="C68" s="1">
        <f t="shared" si="1"/>
        <v>7.0793125509924373</v>
      </c>
    </row>
    <row r="69" spans="1:3" ht="25.5" x14ac:dyDescent="0.15">
      <c r="A69" s="1">
        <v>53</v>
      </c>
      <c r="B69" s="1">
        <f t="shared" si="0"/>
        <v>9.232244499190454</v>
      </c>
      <c r="C69" s="1">
        <f t="shared" si="1"/>
        <v>6.6954122437128731</v>
      </c>
    </row>
    <row r="70" spans="1:3" ht="25.5" x14ac:dyDescent="0.15">
      <c r="A70" s="1">
        <v>54</v>
      </c>
      <c r="B70" s="1">
        <f t="shared" si="0"/>
        <v>9.8669099109716996</v>
      </c>
      <c r="C70" s="1">
        <f t="shared" si="1"/>
        <v>6.3300776554941258</v>
      </c>
    </row>
    <row r="71" spans="1:3" ht="25.5" x14ac:dyDescent="0.15">
      <c r="A71" s="1">
        <v>55</v>
      </c>
      <c r="B71" s="1">
        <f t="shared" si="0"/>
        <v>10.519495744769131</v>
      </c>
      <c r="C71" s="1">
        <f t="shared" si="1"/>
        <v>5.9826634892915571</v>
      </c>
    </row>
    <row r="72" spans="1:3" ht="25.5" x14ac:dyDescent="0.15">
      <c r="A72" s="1">
        <v>56</v>
      </c>
      <c r="B72" s="1">
        <f t="shared" si="0"/>
        <v>11.189350757504229</v>
      </c>
      <c r="C72" s="1">
        <f t="shared" si="1"/>
        <v>5.652518502026652</v>
      </c>
    </row>
    <row r="73" spans="1:3" ht="25.5" x14ac:dyDescent="0.15">
      <c r="A73" s="1">
        <v>57</v>
      </c>
      <c r="B73" s="1">
        <f t="shared" si="0"/>
        <v>11.875821736320699</v>
      </c>
      <c r="C73" s="1">
        <f t="shared" si="1"/>
        <v>5.3389894808431215</v>
      </c>
    </row>
    <row r="74" spans="1:3" ht="25.5" x14ac:dyDescent="0.15">
      <c r="A74" s="1">
        <v>58</v>
      </c>
      <c r="B74" s="1">
        <f t="shared" si="0"/>
        <v>12.578257037127898</v>
      </c>
      <c r="C74" s="1">
        <f t="shared" si="1"/>
        <v>5.041424781650317</v>
      </c>
    </row>
    <row r="75" spans="1:3" ht="25.5" x14ac:dyDescent="0.15">
      <c r="A75" s="1">
        <v>59</v>
      </c>
      <c r="B75" s="1">
        <f t="shared" si="0"/>
        <v>13.296009706582115</v>
      </c>
      <c r="C75" s="1">
        <f t="shared" si="1"/>
        <v>4.7591774511045415</v>
      </c>
    </row>
    <row r="76" spans="1:3" ht="25.5" x14ac:dyDescent="0.15">
      <c r="A76" s="1">
        <v>60</v>
      </c>
      <c r="B76" s="1">
        <f t="shared" si="0"/>
        <v>14.028440211185554</v>
      </c>
      <c r="C76" s="1">
        <f t="shared" si="1"/>
        <v>4.4916079557079733</v>
      </c>
    </row>
    <row r="77" spans="1:3" ht="25.5" x14ac:dyDescent="0.15">
      <c r="A77" s="1">
        <v>61</v>
      </c>
      <c r="B77" s="1">
        <f t="shared" si="0"/>
        <v>14.774918798828384</v>
      </c>
      <c r="C77" s="1">
        <f t="shared" si="1"/>
        <v>4.2380865433508088</v>
      </c>
    </row>
    <row r="78" spans="1:3" ht="25.5" x14ac:dyDescent="0.15">
      <c r="A78" s="1">
        <v>62</v>
      </c>
      <c r="B78" s="1">
        <f t="shared" si="0"/>
        <v>15.534827519009866</v>
      </c>
      <c r="C78" s="1">
        <f t="shared" si="1"/>
        <v>3.9979952635322853</v>
      </c>
    </row>
    <row r="79" spans="1:3" ht="25.5" x14ac:dyDescent="0.15">
      <c r="A79" s="1">
        <v>63</v>
      </c>
      <c r="B79" s="1">
        <f t="shared" si="0"/>
        <v>16.30756192828143</v>
      </c>
      <c r="C79" s="1">
        <f t="shared" si="1"/>
        <v>3.7707296728038564</v>
      </c>
    </row>
    <row r="80" spans="1:3" ht="25.5" x14ac:dyDescent="0.15">
      <c r="A80" s="1">
        <v>64</v>
      </c>
      <c r="B80" s="1">
        <f t="shared" si="0"/>
        <v>17.092532507276076</v>
      </c>
      <c r="C80" s="1">
        <f t="shared" si="1"/>
        <v>3.5557002517984966</v>
      </c>
    </row>
    <row r="81" spans="1:3" ht="25.5" x14ac:dyDescent="0.15">
      <c r="A81" s="1">
        <v>65</v>
      </c>
      <c r="B81" s="1">
        <f t="shared" si="0"/>
        <v>17.889165815124748</v>
      </c>
      <c r="C81" s="1">
        <f t="shared" si="1"/>
        <v>3.3523335596471675</v>
      </c>
    </row>
    <row r="82" spans="1:3" ht="25.5" x14ac:dyDescent="0.15">
      <c r="A82" s="1">
        <v>66</v>
      </c>
      <c r="B82" s="1">
        <f t="shared" ref="B82:B116" si="2">BS_call(A82,$B$2,$B$3,$B$4,$B$5,$B$6)</f>
        <v>18.69690540620099</v>
      </c>
      <c r="C82" s="1">
        <f t="shared" ref="C82:C116" si="3">BS_put(A82,$B$2,$B$3,$B$4,$B$5,$B$6)</f>
        <v>3.1600731507234059</v>
      </c>
    </row>
    <row r="83" spans="1:3" ht="25.5" x14ac:dyDescent="0.15">
      <c r="A83" s="1">
        <v>67</v>
      </c>
      <c r="B83" s="1">
        <f t="shared" si="2"/>
        <v>19.515212533053763</v>
      </c>
      <c r="C83" s="1">
        <f t="shared" si="3"/>
        <v>2.9783802775761856</v>
      </c>
    </row>
    <row r="84" spans="1:3" ht="25.5" x14ac:dyDescent="0.15">
      <c r="A84" s="1">
        <v>68</v>
      </c>
      <c r="B84" s="1">
        <f t="shared" si="2"/>
        <v>20.34356665814952</v>
      </c>
      <c r="C84" s="1">
        <f t="shared" si="3"/>
        <v>2.8067344026719372</v>
      </c>
    </row>
    <row r="85" spans="1:3" ht="25.5" x14ac:dyDescent="0.15">
      <c r="A85" s="1">
        <v>69</v>
      </c>
      <c r="B85" s="1">
        <f t="shared" si="2"/>
        <v>21.181465795699559</v>
      </c>
      <c r="C85" s="1">
        <f t="shared" si="3"/>
        <v>2.6446335402219869</v>
      </c>
    </row>
    <row r="86" spans="1:3" ht="25.5" x14ac:dyDescent="0.15">
      <c r="A86" s="1">
        <v>70</v>
      </c>
      <c r="B86" s="1">
        <f t="shared" si="2"/>
        <v>22.028426703443408</v>
      </c>
      <c r="C86" s="1">
        <f t="shared" si="3"/>
        <v>2.4915944479658307</v>
      </c>
    </row>
    <row r="87" spans="1:3" ht="25.5" x14ac:dyDescent="0.15">
      <c r="A87" s="1">
        <v>71</v>
      </c>
      <c r="B87" s="1">
        <f t="shared" si="2"/>
        <v>22.883984942825855</v>
      </c>
      <c r="C87" s="1">
        <f t="shared" si="3"/>
        <v>2.3471526873482684</v>
      </c>
    </row>
    <row r="88" spans="1:3" ht="25.5" x14ac:dyDescent="0.15">
      <c r="A88" s="1">
        <v>72</v>
      </c>
      <c r="B88" s="1">
        <f t="shared" si="2"/>
        <v>23.747694824575916</v>
      </c>
      <c r="C88" s="1">
        <f t="shared" si="3"/>
        <v>2.2108625690983441</v>
      </c>
    </row>
    <row r="89" spans="1:3" ht="25.5" x14ac:dyDescent="0.15">
      <c r="A89" s="1">
        <v>73</v>
      </c>
      <c r="B89" s="1">
        <f t="shared" si="2"/>
        <v>24.619129255290169</v>
      </c>
      <c r="C89" s="1">
        <f t="shared" si="3"/>
        <v>2.0822969998125878</v>
      </c>
    </row>
    <row r="90" spans="1:3" ht="25.5" x14ac:dyDescent="0.15">
      <c r="A90" s="1">
        <v>74</v>
      </c>
      <c r="B90" s="1">
        <f t="shared" si="2"/>
        <v>25.497879499259057</v>
      </c>
      <c r="C90" s="1">
        <f t="shared" si="3"/>
        <v>1.9610472437814774</v>
      </c>
    </row>
    <row r="91" spans="1:3" ht="25.5" x14ac:dyDescent="0.15">
      <c r="A91" s="1">
        <v>75</v>
      </c>
      <c r="B91" s="1">
        <f t="shared" si="2"/>
        <v>26.383554868466391</v>
      </c>
      <c r="C91" s="1">
        <f t="shared" si="3"/>
        <v>1.846722612988815</v>
      </c>
    </row>
    <row r="92" spans="1:3" ht="25.5" x14ac:dyDescent="0.15">
      <c r="A92" s="1">
        <v>76</v>
      </c>
      <c r="B92" s="1">
        <f t="shared" si="2"/>
        <v>27.275782352446441</v>
      </c>
      <c r="C92" s="1">
        <f t="shared" si="3"/>
        <v>1.7389500969688596</v>
      </c>
    </row>
    <row r="93" spans="1:3" ht="25.5" x14ac:dyDescent="0.15">
      <c r="A93" s="1">
        <v>77</v>
      </c>
      <c r="B93" s="1">
        <f t="shared" si="2"/>
        <v>28.174206198508308</v>
      </c>
      <c r="C93" s="1">
        <f t="shared" si="3"/>
        <v>1.6373739430307328</v>
      </c>
    </row>
    <row r="94" spans="1:3" ht="25.5" x14ac:dyDescent="0.15">
      <c r="A94" s="1">
        <v>78</v>
      </c>
      <c r="B94" s="1">
        <f t="shared" si="2"/>
        <v>29.078487451736137</v>
      </c>
      <c r="C94" s="1">
        <f t="shared" si="3"/>
        <v>1.541655196258553</v>
      </c>
    </row>
    <row r="95" spans="1:3" ht="25.5" x14ac:dyDescent="0.15">
      <c r="A95" s="1">
        <v>79</v>
      </c>
      <c r="B95" s="1">
        <f t="shared" si="2"/>
        <v>29.988303463147645</v>
      </c>
      <c r="C95" s="1">
        <f t="shared" si="3"/>
        <v>1.451471207670064</v>
      </c>
    </row>
    <row r="96" spans="1:3" ht="25.5" x14ac:dyDescent="0.15">
      <c r="A96" s="1">
        <v>80</v>
      </c>
      <c r="B96" s="1">
        <f t="shared" si="2"/>
        <v>30.903347373444184</v>
      </c>
      <c r="C96" s="1">
        <f t="shared" si="3"/>
        <v>1.3665151179666077</v>
      </c>
    </row>
    <row r="97" spans="1:3" ht="25.5" x14ac:dyDescent="0.15">
      <c r="A97" s="1">
        <v>81</v>
      </c>
      <c r="B97" s="1">
        <f t="shared" si="2"/>
        <v>31.823327578909534</v>
      </c>
      <c r="C97" s="1">
        <f t="shared" si="3"/>
        <v>1.2864953234319625</v>
      </c>
    </row>
    <row r="98" spans="1:3" ht="25.5" x14ac:dyDescent="0.15">
      <c r="A98" s="1">
        <v>82</v>
      </c>
      <c r="B98" s="1">
        <f t="shared" si="2"/>
        <v>32.747967185212715</v>
      </c>
      <c r="C98" s="1">
        <f t="shared" si="3"/>
        <v>1.2111349297351346</v>
      </c>
    </row>
    <row r="99" spans="1:3" ht="25.5" x14ac:dyDescent="0.15">
      <c r="A99" s="1">
        <v>83</v>
      </c>
      <c r="B99" s="1">
        <f t="shared" si="2"/>
        <v>33.677003454136774</v>
      </c>
      <c r="C99" s="1">
        <f t="shared" si="3"/>
        <v>1.1401711986592025</v>
      </c>
    </row>
    <row r="100" spans="1:3" ht="25.5" x14ac:dyDescent="0.15">
      <c r="A100" s="1">
        <v>84</v>
      </c>
      <c r="B100" s="1">
        <f t="shared" si="2"/>
        <v>34.610187247589764</v>
      </c>
      <c r="C100" s="1">
        <f t="shared" si="3"/>
        <v>1.0733549921121925</v>
      </c>
    </row>
    <row r="101" spans="1:3" ht="25.5" x14ac:dyDescent="0.15">
      <c r="A101" s="1">
        <v>85</v>
      </c>
      <c r="B101" s="1">
        <f t="shared" si="2"/>
        <v>35.547282472650544</v>
      </c>
      <c r="C101" s="1">
        <f t="shared" si="3"/>
        <v>1.0104502171729601</v>
      </c>
    </row>
    <row r="102" spans="1:3" ht="25.5" x14ac:dyDescent="0.15">
      <c r="A102" s="1">
        <v>86</v>
      </c>
      <c r="B102" s="1">
        <f t="shared" si="2"/>
        <v>36.488065530858222</v>
      </c>
      <c r="C102" s="1">
        <f t="shared" si="3"/>
        <v>0.95123327538064917</v>
      </c>
    </row>
    <row r="103" spans="1:3" ht="25.5" x14ac:dyDescent="0.15">
      <c r="A103" s="1">
        <v>87</v>
      </c>
      <c r="B103" s="1">
        <f t="shared" si="2"/>
        <v>37.432324774465499</v>
      </c>
      <c r="C103" s="1">
        <f t="shared" si="3"/>
        <v>0.89549251898791749</v>
      </c>
    </row>
    <row r="104" spans="1:3" ht="25.5" x14ac:dyDescent="0.15">
      <c r="A104" s="1">
        <v>88</v>
      </c>
      <c r="B104" s="1">
        <f t="shared" si="2"/>
        <v>38.379859971937812</v>
      </c>
      <c r="C104" s="1">
        <f t="shared" si="3"/>
        <v>0.843027716460238</v>
      </c>
    </row>
    <row r="105" spans="1:3" ht="25.5" x14ac:dyDescent="0.15">
      <c r="A105" s="1">
        <v>89</v>
      </c>
      <c r="B105" s="1">
        <f t="shared" si="2"/>
        <v>39.330481784591321</v>
      </c>
      <c r="C105" s="1">
        <f t="shared" si="3"/>
        <v>0.79364952911374242</v>
      </c>
    </row>
    <row r="106" spans="1:3" ht="25.5" x14ac:dyDescent="0.15">
      <c r="A106" s="1">
        <v>90</v>
      </c>
      <c r="B106" s="1">
        <f t="shared" si="2"/>
        <v>40.284011255914855</v>
      </c>
      <c r="C106" s="1">
        <f t="shared" si="3"/>
        <v>0.7471790004372787</v>
      </c>
    </row>
    <row r="107" spans="1:3" ht="25.5" x14ac:dyDescent="0.15">
      <c r="A107" s="1">
        <v>91</v>
      </c>
      <c r="B107" s="1">
        <f t="shared" si="2"/>
        <v>41.240279314815503</v>
      </c>
      <c r="C107" s="1">
        <f t="shared" si="3"/>
        <v>0.70344705933792406</v>
      </c>
    </row>
    <row r="108" spans="1:3" ht="25.5" x14ac:dyDescent="0.15">
      <c r="A108" s="1">
        <v>92</v>
      </c>
      <c r="B108" s="1">
        <f t="shared" si="2"/>
        <v>42.199126293756478</v>
      </c>
      <c r="C108" s="1">
        <f t="shared" si="3"/>
        <v>0.66229403827890332</v>
      </c>
    </row>
    <row r="109" spans="1:3" ht="25.5" x14ac:dyDescent="0.15">
      <c r="A109" s="1">
        <v>93</v>
      </c>
      <c r="B109" s="1">
        <f t="shared" si="2"/>
        <v>43.16040146251941</v>
      </c>
      <c r="C109" s="1">
        <f t="shared" si="3"/>
        <v>0.62356920704183816</v>
      </c>
    </row>
    <row r="110" spans="1:3" ht="25.5" x14ac:dyDescent="0.15">
      <c r="A110" s="1">
        <v>94</v>
      </c>
      <c r="B110" s="1">
        <f t="shared" si="2"/>
        <v>44.12396257811578</v>
      </c>
      <c r="C110" s="1">
        <f t="shared" si="3"/>
        <v>0.58713032263819676</v>
      </c>
    </row>
    <row r="111" spans="1:3" ht="25.5" x14ac:dyDescent="0.15">
      <c r="A111" s="1">
        <v>95</v>
      </c>
      <c r="B111" s="1">
        <f t="shared" si="2"/>
        <v>45.089675451192441</v>
      </c>
      <c r="C111" s="1">
        <f t="shared" si="3"/>
        <v>0.55284319571486806</v>
      </c>
    </row>
    <row r="112" spans="1:3" ht="25.5" x14ac:dyDescent="0.15">
      <c r="A112" s="1">
        <v>96</v>
      </c>
      <c r="B112" s="1">
        <f t="shared" si="2"/>
        <v>46.057413529120893</v>
      </c>
      <c r="C112" s="1">
        <f t="shared" si="3"/>
        <v>0.52058127364331508</v>
      </c>
    </row>
    <row r="113" spans="1:3" ht="25.5" x14ac:dyDescent="0.15">
      <c r="A113" s="1">
        <v>97</v>
      </c>
      <c r="B113" s="1">
        <f t="shared" si="2"/>
        <v>47.027057495825545</v>
      </c>
      <c r="C113" s="1">
        <f t="shared" si="3"/>
        <v>0.49022524034797144</v>
      </c>
    </row>
    <row r="114" spans="1:3" ht="25.5" x14ac:dyDescent="0.15">
      <c r="A114" s="1">
        <v>98</v>
      </c>
      <c r="B114" s="1">
        <f t="shared" si="2"/>
        <v>47.998494888293202</v>
      </c>
      <c r="C114" s="1">
        <f t="shared" si="3"/>
        <v>0.46166263281563413</v>
      </c>
    </row>
    <row r="115" spans="1:3" ht="25.5" x14ac:dyDescent="0.15">
      <c r="A115" s="1">
        <v>99</v>
      </c>
      <c r="B115" s="1">
        <f t="shared" si="2"/>
        <v>48.971619729608527</v>
      </c>
      <c r="C115" s="1">
        <f t="shared" si="3"/>
        <v>0.43478747413095364</v>
      </c>
    </row>
    <row r="116" spans="1:3" ht="25.5" x14ac:dyDescent="0.15">
      <c r="A116" s="1">
        <v>100</v>
      </c>
      <c r="B116" s="1">
        <f t="shared" si="2"/>
        <v>49.946332178279576</v>
      </c>
      <c r="C116" s="1">
        <f t="shared" si="3"/>
        <v>0.40949992280200265</v>
      </c>
    </row>
  </sheetData>
  <mergeCells count="1">
    <mergeCell ref="E1:J8"/>
  </mergeCells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1BCC0-B9E0-45AB-85FD-E2294164E78A}">
  <dimension ref="A1:L116"/>
  <sheetViews>
    <sheetView workbookViewId="0">
      <selection activeCell="G14" sqref="A1:XFD1048576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  <c r="G13" s="3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2" t="s">
        <v>3</v>
      </c>
      <c r="B16" s="1" t="s">
        <v>0</v>
      </c>
      <c r="C16" s="1" t="s">
        <v>1</v>
      </c>
    </row>
    <row r="17" spans="1:3" ht="25.5" x14ac:dyDescent="0.15">
      <c r="A17" s="1">
        <v>0.01</v>
      </c>
      <c r="B17" s="1">
        <f>BS_call($B$1,A17,$B$3,$B$4,$B$5,$B$6)</f>
        <v>4.8438969009978905E-2</v>
      </c>
      <c r="C17" s="1">
        <f>BS_put($B$1,A17,$B$3,$B$4,$B$5,$B$6)</f>
        <v>0.51160671353240872</v>
      </c>
    </row>
    <row r="18" spans="1:3" ht="25.5" x14ac:dyDescent="0.15">
      <c r="A18" s="1">
        <v>0.03</v>
      </c>
      <c r="B18" s="1">
        <f t="shared" ref="B18:B81" si="0">BS_call($B$1,A18,$B$3,$B$4,$B$5,$B$6)</f>
        <v>0.39775028362757681</v>
      </c>
      <c r="C18" s="1">
        <f t="shared" ref="C18:C81" si="1">BS_put($B$1,A18,$B$3,$B$4,$B$5,$B$6)</f>
        <v>0.86091802814999596</v>
      </c>
    </row>
    <row r="19" spans="1:3" ht="25.5" x14ac:dyDescent="0.15">
      <c r="A19" s="1">
        <v>0.05</v>
      </c>
      <c r="B19" s="1">
        <f t="shared" si="0"/>
        <v>0.78727121056790139</v>
      </c>
      <c r="C19" s="1">
        <f t="shared" si="1"/>
        <v>1.2504389550903241</v>
      </c>
    </row>
    <row r="20" spans="1:3" ht="25.5" x14ac:dyDescent="0.15">
      <c r="A20" s="1">
        <v>6.9999999999999993E-2</v>
      </c>
      <c r="B20" s="1">
        <f t="shared" si="0"/>
        <v>1.1830397762799585</v>
      </c>
      <c r="C20" s="1">
        <f t="shared" si="1"/>
        <v>1.6462075208023812</v>
      </c>
    </row>
    <row r="21" spans="1:3" ht="25.5" x14ac:dyDescent="0.15">
      <c r="A21" s="1">
        <v>0.09</v>
      </c>
      <c r="B21" s="1">
        <f t="shared" si="0"/>
        <v>1.5808104209636546</v>
      </c>
      <c r="C21" s="1">
        <f t="shared" si="1"/>
        <v>2.0439781654860774</v>
      </c>
    </row>
    <row r="22" spans="1:3" ht="25.5" x14ac:dyDescent="0.15">
      <c r="A22" s="1">
        <v>0.11</v>
      </c>
      <c r="B22" s="1">
        <f t="shared" si="0"/>
        <v>1.9793787626978592</v>
      </c>
      <c r="C22" s="1">
        <f t="shared" si="1"/>
        <v>2.4425465072202854</v>
      </c>
    </row>
    <row r="23" spans="1:3" ht="25.5" x14ac:dyDescent="0.15">
      <c r="A23" s="1">
        <v>0.13</v>
      </c>
      <c r="B23" s="1">
        <f t="shared" si="0"/>
        <v>2.3782545908606281</v>
      </c>
      <c r="C23" s="1">
        <f t="shared" si="1"/>
        <v>2.8414223353830543</v>
      </c>
    </row>
    <row r="24" spans="1:3" ht="25.5" x14ac:dyDescent="0.15">
      <c r="A24" s="1">
        <v>0.15000000000000002</v>
      </c>
      <c r="B24" s="1">
        <f t="shared" si="0"/>
        <v>2.7771873567924494</v>
      </c>
      <c r="C24" s="1">
        <f t="shared" si="1"/>
        <v>3.2403551013148721</v>
      </c>
    </row>
    <row r="25" spans="1:3" ht="25.5" x14ac:dyDescent="0.15">
      <c r="A25" s="1">
        <v>0.17</v>
      </c>
      <c r="B25" s="1">
        <f t="shared" si="0"/>
        <v>3.1760255694528468</v>
      </c>
      <c r="C25" s="1">
        <f t="shared" si="1"/>
        <v>3.6391933139752695</v>
      </c>
    </row>
    <row r="26" spans="1:3" ht="25.5" x14ac:dyDescent="0.15">
      <c r="A26" s="1">
        <v>0.19</v>
      </c>
      <c r="B26" s="1">
        <f t="shared" si="0"/>
        <v>3.5746648016847438</v>
      </c>
      <c r="C26" s="1">
        <f t="shared" si="1"/>
        <v>4.0378325462071629</v>
      </c>
    </row>
    <row r="27" spans="1:3" ht="25.5" x14ac:dyDescent="0.15">
      <c r="A27" s="1">
        <v>0.21000000000000002</v>
      </c>
      <c r="B27" s="1">
        <f t="shared" si="0"/>
        <v>3.9730253631601293</v>
      </c>
      <c r="C27" s="1">
        <f t="shared" si="1"/>
        <v>4.4361931076825556</v>
      </c>
    </row>
    <row r="28" spans="1:3" ht="25.5" x14ac:dyDescent="0.15">
      <c r="A28" s="1">
        <v>0.23</v>
      </c>
      <c r="B28" s="1">
        <f t="shared" si="0"/>
        <v>4.3710416126165725</v>
      </c>
      <c r="C28" s="1">
        <f t="shared" si="1"/>
        <v>4.8342093571389917</v>
      </c>
    </row>
    <row r="29" spans="1:3" ht="25.5" x14ac:dyDescent="0.15">
      <c r="A29" s="1">
        <v>0.25</v>
      </c>
      <c r="B29" s="1">
        <f t="shared" si="0"/>
        <v>4.7686564001875311</v>
      </c>
      <c r="C29" s="1">
        <f t="shared" si="1"/>
        <v>5.2318241447099503</v>
      </c>
    </row>
    <row r="30" spans="1:3" ht="25.5" x14ac:dyDescent="0.15">
      <c r="A30" s="1">
        <v>0.27</v>
      </c>
      <c r="B30" s="1">
        <f t="shared" si="0"/>
        <v>5.1658179827039241</v>
      </c>
      <c r="C30" s="1">
        <f t="shared" si="1"/>
        <v>5.6289857272263468</v>
      </c>
    </row>
    <row r="31" spans="1:3" ht="25.5" x14ac:dyDescent="0.15">
      <c r="A31" s="1">
        <v>0.29000000000000004</v>
      </c>
      <c r="B31" s="1">
        <f t="shared" si="0"/>
        <v>5.5624782191956754</v>
      </c>
      <c r="C31" s="1">
        <f t="shared" si="1"/>
        <v>6.0256459637180946</v>
      </c>
    </row>
    <row r="32" spans="1:3" ht="25.5" x14ac:dyDescent="0.15">
      <c r="A32" s="1">
        <v>0.31</v>
      </c>
      <c r="B32" s="1">
        <f t="shared" si="0"/>
        <v>5.9585914688602344</v>
      </c>
      <c r="C32" s="1">
        <f t="shared" si="1"/>
        <v>6.4217592133826606</v>
      </c>
    </row>
    <row r="33" spans="1:3" ht="25.5" x14ac:dyDescent="0.15">
      <c r="A33" s="1">
        <v>0.33</v>
      </c>
      <c r="B33" s="1">
        <f t="shared" si="0"/>
        <v>6.3541138936485915</v>
      </c>
      <c r="C33" s="1">
        <f t="shared" si="1"/>
        <v>6.8172816381710142</v>
      </c>
    </row>
    <row r="34" spans="1:3" ht="25.5" x14ac:dyDescent="0.15">
      <c r="A34" s="1">
        <v>0.35000000000000003</v>
      </c>
      <c r="B34" s="1">
        <f t="shared" si="0"/>
        <v>6.7490030036806843</v>
      </c>
      <c r="C34" s="1">
        <f t="shared" si="1"/>
        <v>7.2121707482030999</v>
      </c>
    </row>
    <row r="35" spans="1:3" ht="25.5" x14ac:dyDescent="0.15">
      <c r="A35" s="1">
        <v>0.37</v>
      </c>
      <c r="B35" s="1">
        <f t="shared" si="0"/>
        <v>7.1432173536192245</v>
      </c>
      <c r="C35" s="1">
        <f t="shared" si="1"/>
        <v>7.6063850981416472</v>
      </c>
    </row>
    <row r="36" spans="1:3" ht="25.5" x14ac:dyDescent="0.15">
      <c r="A36" s="1">
        <v>0.39</v>
      </c>
      <c r="B36" s="1">
        <f t="shared" si="0"/>
        <v>7.5367163357990137</v>
      </c>
      <c r="C36" s="1">
        <f t="shared" si="1"/>
        <v>7.9998840803214399</v>
      </c>
    </row>
    <row r="37" spans="1:3" ht="25.5" x14ac:dyDescent="0.15">
      <c r="A37" s="1">
        <v>0.41000000000000003</v>
      </c>
      <c r="B37" s="1">
        <f t="shared" si="0"/>
        <v>7.9294600370485959</v>
      </c>
      <c r="C37" s="1">
        <f t="shared" si="1"/>
        <v>8.3926277815710186</v>
      </c>
    </row>
    <row r="38" spans="1:3" ht="25.5" x14ac:dyDescent="0.15">
      <c r="A38" s="1">
        <v>0.43</v>
      </c>
      <c r="B38" s="1">
        <f t="shared" si="0"/>
        <v>8.3214091384367066</v>
      </c>
      <c r="C38" s="1">
        <f t="shared" si="1"/>
        <v>8.7845768829591258</v>
      </c>
    </row>
    <row r="39" spans="1:3" ht="25.5" x14ac:dyDescent="0.15">
      <c r="A39" s="1">
        <v>0.45</v>
      </c>
      <c r="B39" s="1">
        <f t="shared" si="0"/>
        <v>8.7125248445550874</v>
      </c>
      <c r="C39" s="1">
        <f t="shared" si="1"/>
        <v>9.1756925890775065</v>
      </c>
    </row>
    <row r="40" spans="1:3" ht="25.5" x14ac:dyDescent="0.15">
      <c r="A40" s="1">
        <v>0.47000000000000003</v>
      </c>
      <c r="B40" s="1">
        <f t="shared" si="0"/>
        <v>9.1027688335037382</v>
      </c>
      <c r="C40" s="1">
        <f t="shared" si="1"/>
        <v>9.5659365780261574</v>
      </c>
    </row>
    <row r="41" spans="1:3" ht="25.5" x14ac:dyDescent="0.15">
      <c r="A41" s="1">
        <v>0.49</v>
      </c>
      <c r="B41" s="1">
        <f t="shared" si="0"/>
        <v>9.4921032216265679</v>
      </c>
      <c r="C41" s="1">
        <f t="shared" si="1"/>
        <v>9.9552709661489907</v>
      </c>
    </row>
    <row r="42" spans="1:3" ht="25.5" x14ac:dyDescent="0.15">
      <c r="A42" s="1">
        <v>0.51</v>
      </c>
      <c r="B42" s="1">
        <f t="shared" si="0"/>
        <v>9.8804905389108875</v>
      </c>
      <c r="C42" s="1">
        <f t="shared" si="1"/>
        <v>10.34365828343331</v>
      </c>
    </row>
    <row r="43" spans="1:3" ht="25.5" x14ac:dyDescent="0.15">
      <c r="A43" s="1">
        <v>0.53</v>
      </c>
      <c r="B43" s="1">
        <f t="shared" si="0"/>
        <v>10.267893712195779</v>
      </c>
      <c r="C43" s="1">
        <f t="shared" si="1"/>
        <v>10.731061456718198</v>
      </c>
    </row>
    <row r="44" spans="1:3" ht="25.5" x14ac:dyDescent="0.15">
      <c r="A44" s="1">
        <v>0.55000000000000004</v>
      </c>
      <c r="B44" s="1">
        <f t="shared" si="0"/>
        <v>10.654276054163645</v>
      </c>
      <c r="C44" s="1">
        <f t="shared" si="1"/>
        <v>11.117443798686072</v>
      </c>
    </row>
    <row r="45" spans="1:3" ht="25.5" x14ac:dyDescent="0.15">
      <c r="A45" s="1">
        <v>0.57000000000000006</v>
      </c>
      <c r="B45" s="1">
        <f t="shared" si="0"/>
        <v>11.039601256656287</v>
      </c>
      <c r="C45" s="1">
        <f t="shared" si="1"/>
        <v>11.502769001178709</v>
      </c>
    </row>
    <row r="46" spans="1:3" ht="25.5" x14ac:dyDescent="0.15">
      <c r="A46" s="1">
        <v>0.59</v>
      </c>
      <c r="B46" s="1">
        <f t="shared" si="0"/>
        <v>11.423833387251172</v>
      </c>
      <c r="C46" s="1">
        <f t="shared" si="1"/>
        <v>11.887001131773594</v>
      </c>
    </row>
    <row r="47" spans="1:3" ht="25.5" x14ac:dyDescent="0.15">
      <c r="A47" s="1">
        <v>0.61</v>
      </c>
      <c r="B47" s="1">
        <f t="shared" si="0"/>
        <v>11.80693688831165</v>
      </c>
      <c r="C47" s="1">
        <f t="shared" si="1"/>
        <v>12.270104632834073</v>
      </c>
    </row>
    <row r="48" spans="1:3" ht="25.5" x14ac:dyDescent="0.15">
      <c r="A48" s="1">
        <v>0.63</v>
      </c>
      <c r="B48" s="1">
        <f t="shared" si="0"/>
        <v>12.188876577923335</v>
      </c>
      <c r="C48" s="1">
        <f t="shared" si="1"/>
        <v>12.652044322445764</v>
      </c>
    </row>
    <row r="49" spans="1:3" ht="25.5" x14ac:dyDescent="0.15">
      <c r="A49" s="1">
        <v>0.65</v>
      </c>
      <c r="B49" s="1">
        <f t="shared" si="0"/>
        <v>12.569617652272566</v>
      </c>
      <c r="C49" s="1">
        <f t="shared" si="1"/>
        <v>13.032785396794988</v>
      </c>
    </row>
    <row r="50" spans="1:3" ht="25.5" x14ac:dyDescent="0.15">
      <c r="A50" s="1">
        <v>0.67</v>
      </c>
      <c r="B50" s="1">
        <f t="shared" si="0"/>
        <v>12.949125689128074</v>
      </c>
      <c r="C50" s="1">
        <f t="shared" si="1"/>
        <v>13.412293433650493</v>
      </c>
    </row>
    <row r="51" spans="1:3" ht="25.5" x14ac:dyDescent="0.15">
      <c r="A51" s="1">
        <v>0.69000000000000006</v>
      </c>
      <c r="B51" s="1">
        <f t="shared" si="0"/>
        <v>13.327366652164542</v>
      </c>
      <c r="C51" s="1">
        <f t="shared" si="1"/>
        <v>13.790534396686965</v>
      </c>
    </row>
    <row r="52" spans="1:3" ht="25.5" x14ac:dyDescent="0.15">
      <c r="A52" s="1">
        <v>0.71000000000000008</v>
      </c>
      <c r="B52" s="1">
        <f t="shared" si="0"/>
        <v>13.704306895924862</v>
      </c>
      <c r="C52" s="1">
        <f t="shared" si="1"/>
        <v>14.167474640447274</v>
      </c>
    </row>
    <row r="53" spans="1:3" ht="25.5" x14ac:dyDescent="0.15">
      <c r="A53" s="1">
        <v>0.73</v>
      </c>
      <c r="B53" s="1">
        <f t="shared" si="0"/>
        <v>14.079913171261609</v>
      </c>
      <c r="C53" s="1">
        <f t="shared" si="1"/>
        <v>14.543080915784032</v>
      </c>
    </row>
    <row r="54" spans="1:3" ht="25.5" x14ac:dyDescent="0.15">
      <c r="A54" s="1">
        <v>0.75</v>
      </c>
      <c r="B54" s="1">
        <f t="shared" si="0"/>
        <v>14.454152631131798</v>
      </c>
      <c r="C54" s="1">
        <f t="shared" si="1"/>
        <v>14.91732037565421</v>
      </c>
    </row>
    <row r="55" spans="1:3" ht="25.5" x14ac:dyDescent="0.15">
      <c r="A55" s="1">
        <v>0.77</v>
      </c>
      <c r="B55" s="1">
        <f t="shared" si="0"/>
        <v>14.826992836643971</v>
      </c>
      <c r="C55" s="1">
        <f t="shared" si="1"/>
        <v>15.29016058116639</v>
      </c>
    </row>
    <row r="56" spans="1:3" ht="25.5" x14ac:dyDescent="0.15">
      <c r="A56" s="1">
        <v>0.79</v>
      </c>
      <c r="B56" s="1">
        <f t="shared" si="0"/>
        <v>15.198401763277143</v>
      </c>
      <c r="C56" s="1">
        <f t="shared" si="1"/>
        <v>15.661569507799566</v>
      </c>
    </row>
    <row r="57" spans="1:3" ht="25.5" x14ac:dyDescent="0.15">
      <c r="A57" s="1">
        <v>0.81</v>
      </c>
      <c r="B57" s="1">
        <f t="shared" si="0"/>
        <v>15.568347807205939</v>
      </c>
      <c r="C57" s="1">
        <f t="shared" si="1"/>
        <v>16.031515551728365</v>
      </c>
    </row>
    <row r="58" spans="1:3" ht="25.5" x14ac:dyDescent="0.15">
      <c r="A58" s="1">
        <v>0.83000000000000007</v>
      </c>
      <c r="B58" s="1">
        <f t="shared" si="0"/>
        <v>15.936799791678574</v>
      </c>
      <c r="C58" s="1">
        <f t="shared" si="1"/>
        <v>16.399967536200997</v>
      </c>
    </row>
    <row r="59" spans="1:3" ht="25.5" x14ac:dyDescent="0.15">
      <c r="A59" s="1">
        <v>0.85</v>
      </c>
      <c r="B59" s="1">
        <f t="shared" si="0"/>
        <v>16.303726973403933</v>
      </c>
      <c r="C59" s="1">
        <f t="shared" si="1"/>
        <v>16.766894717926352</v>
      </c>
    </row>
    <row r="60" spans="1:3" ht="25.5" x14ac:dyDescent="0.15">
      <c r="A60" s="1">
        <v>0.87</v>
      </c>
      <c r="B60" s="1">
        <f t="shared" si="0"/>
        <v>16.669099048911541</v>
      </c>
      <c r="C60" s="1">
        <f t="shared" si="1"/>
        <v>17.132266793433956</v>
      </c>
    </row>
    <row r="61" spans="1:3" ht="25.5" x14ac:dyDescent="0.15">
      <c r="A61" s="1">
        <v>0.89</v>
      </c>
      <c r="B61" s="1">
        <f t="shared" si="0"/>
        <v>17.032886160854254</v>
      </c>
      <c r="C61" s="1">
        <f t="shared" si="1"/>
        <v>17.49605390537668</v>
      </c>
    </row>
    <row r="62" spans="1:3" ht="25.5" x14ac:dyDescent="0.15">
      <c r="A62" s="1">
        <v>0.91</v>
      </c>
      <c r="B62" s="1">
        <f t="shared" si="0"/>
        <v>17.395058904228573</v>
      </c>
      <c r="C62" s="1">
        <f t="shared" si="1"/>
        <v>17.858226648750993</v>
      </c>
    </row>
    <row r="63" spans="1:3" ht="25.5" x14ac:dyDescent="0.15">
      <c r="A63" s="1">
        <v>0.93</v>
      </c>
      <c r="B63" s="1">
        <f t="shared" si="0"/>
        <v>17.755588332491225</v>
      </c>
      <c r="C63" s="1">
        <f t="shared" si="1"/>
        <v>18.218756077013641</v>
      </c>
    </row>
    <row r="64" spans="1:3" ht="25.5" x14ac:dyDescent="0.15">
      <c r="A64" s="1">
        <v>0.95000000000000007</v>
      </c>
      <c r="B64" s="1">
        <f t="shared" si="0"/>
        <v>18.114445963554314</v>
      </c>
      <c r="C64" s="1">
        <f t="shared" si="1"/>
        <v>18.577613708076726</v>
      </c>
    </row>
    <row r="65" spans="1:3" ht="25.5" x14ac:dyDescent="0.15">
      <c r="A65" s="1">
        <v>0.97</v>
      </c>
      <c r="B65" s="1">
        <f t="shared" si="0"/>
        <v>18.471603785643566</v>
      </c>
      <c r="C65" s="1">
        <f t="shared" si="1"/>
        <v>18.934771530165985</v>
      </c>
    </row>
    <row r="66" spans="1:3" ht="25.5" x14ac:dyDescent="0.15">
      <c r="A66" s="1">
        <v>0.99</v>
      </c>
      <c r="B66" s="1">
        <f t="shared" si="0"/>
        <v>18.827034263006823</v>
      </c>
      <c r="C66" s="1">
        <f t="shared" si="1"/>
        <v>19.290202007529246</v>
      </c>
    </row>
    <row r="67" spans="1:3" ht="25.5" x14ac:dyDescent="0.15">
      <c r="A67" s="1">
        <v>1.01</v>
      </c>
      <c r="B67" s="1">
        <f t="shared" si="0"/>
        <v>19.180710341461463</v>
      </c>
      <c r="C67" s="1">
        <f t="shared" si="1"/>
        <v>19.643878085983889</v>
      </c>
    </row>
    <row r="68" spans="1:3" ht="25.5" x14ac:dyDescent="0.15">
      <c r="A68" s="1">
        <v>1.03</v>
      </c>
      <c r="B68" s="1">
        <f t="shared" si="0"/>
        <v>19.532605453771218</v>
      </c>
      <c r="C68" s="1">
        <f t="shared" si="1"/>
        <v>19.995773198293641</v>
      </c>
    </row>
    <row r="69" spans="1:3" ht="25.5" x14ac:dyDescent="0.15">
      <c r="A69" s="1">
        <v>1.05</v>
      </c>
      <c r="B69" s="1">
        <f t="shared" si="0"/>
        <v>19.882693524844051</v>
      </c>
      <c r="C69" s="1">
        <f t="shared" si="1"/>
        <v>20.345861269366473</v>
      </c>
    </row>
    <row r="70" spans="1:3" ht="25.5" x14ac:dyDescent="0.15">
      <c r="A70" s="1">
        <v>1.07</v>
      </c>
      <c r="B70" s="1">
        <f t="shared" si="0"/>
        <v>20.230948976743953</v>
      </c>
      <c r="C70" s="1">
        <f t="shared" si="1"/>
        <v>20.694116721266376</v>
      </c>
    </row>
    <row r="71" spans="1:3" ht="25.5" x14ac:dyDescent="0.15">
      <c r="A71" s="1">
        <v>1.0900000000000001</v>
      </c>
      <c r="B71" s="1">
        <f t="shared" si="0"/>
        <v>20.577346733510289</v>
      </c>
      <c r="C71" s="1">
        <f t="shared" si="1"/>
        <v>21.040514478032712</v>
      </c>
    </row>
    <row r="72" spans="1:3" ht="25.5" x14ac:dyDescent="0.15">
      <c r="A72" s="1">
        <v>1.1100000000000001</v>
      </c>
      <c r="B72" s="1">
        <f t="shared" si="0"/>
        <v>20.921862225779435</v>
      </c>
      <c r="C72" s="1">
        <f t="shared" si="1"/>
        <v>21.385029970301854</v>
      </c>
    </row>
    <row r="73" spans="1:3" ht="25.5" x14ac:dyDescent="0.15">
      <c r="A73" s="1">
        <v>1.1300000000000001</v>
      </c>
      <c r="B73" s="1">
        <f t="shared" si="0"/>
        <v>21.264471395203891</v>
      </c>
      <c r="C73" s="1">
        <f t="shared" si="1"/>
        <v>21.727639139726307</v>
      </c>
    </row>
    <row r="74" spans="1:3" ht="25.5" x14ac:dyDescent="0.15">
      <c r="A74" s="1">
        <v>1.1500000000000001</v>
      </c>
      <c r="B74" s="1">
        <f t="shared" si="0"/>
        <v>21.605150698664893</v>
      </c>
      <c r="C74" s="1">
        <f t="shared" si="1"/>
        <v>22.068318443187316</v>
      </c>
    </row>
    <row r="75" spans="1:3" ht="25.5" x14ac:dyDescent="0.15">
      <c r="A75" s="1">
        <v>1.17</v>
      </c>
      <c r="B75" s="1">
        <f t="shared" si="0"/>
        <v>21.943877112274869</v>
      </c>
      <c r="C75" s="1">
        <f t="shared" si="1"/>
        <v>22.407044856797295</v>
      </c>
    </row>
    <row r="76" spans="1:3" ht="25.5" x14ac:dyDescent="0.15">
      <c r="A76" s="1">
        <v>1.19</v>
      </c>
      <c r="B76" s="1">
        <f t="shared" si="0"/>
        <v>22.280628135166872</v>
      </c>
      <c r="C76" s="1">
        <f t="shared" si="1"/>
        <v>22.743795879689294</v>
      </c>
    </row>
    <row r="77" spans="1:3" ht="25.5" x14ac:dyDescent="0.15">
      <c r="A77" s="1">
        <v>1.21</v>
      </c>
      <c r="B77" s="1">
        <f t="shared" si="0"/>
        <v>22.615381793068227</v>
      </c>
      <c r="C77" s="1">
        <f t="shared" si="1"/>
        <v>23.078549537590654</v>
      </c>
    </row>
    <row r="78" spans="1:3" ht="25.5" x14ac:dyDescent="0.15">
      <c r="A78" s="1">
        <v>1.23</v>
      </c>
      <c r="B78" s="1">
        <f t="shared" si="0"/>
        <v>22.948116641656348</v>
      </c>
      <c r="C78" s="1">
        <f t="shared" si="1"/>
        <v>23.411284386178771</v>
      </c>
    </row>
    <row r="79" spans="1:3" ht="25.5" x14ac:dyDescent="0.15">
      <c r="A79" s="1">
        <v>1.25</v>
      </c>
      <c r="B79" s="1">
        <f t="shared" si="0"/>
        <v>23.278811769694755</v>
      </c>
      <c r="C79" s="1">
        <f t="shared" si="1"/>
        <v>23.741979514217178</v>
      </c>
    </row>
    <row r="80" spans="1:3" ht="25.5" x14ac:dyDescent="0.15">
      <c r="A80" s="1">
        <v>1.27</v>
      </c>
      <c r="B80" s="1">
        <f t="shared" si="0"/>
        <v>23.60744680194782</v>
      </c>
      <c r="C80" s="1">
        <f t="shared" si="1"/>
        <v>24.070614546470246</v>
      </c>
    </row>
    <row r="81" spans="1:3" ht="25.5" x14ac:dyDescent="0.15">
      <c r="A81" s="1">
        <v>1.29</v>
      </c>
      <c r="B81" s="1">
        <f t="shared" si="0"/>
        <v>23.93400190187301</v>
      </c>
      <c r="C81" s="1">
        <f t="shared" si="1"/>
        <v>24.397169646395433</v>
      </c>
    </row>
    <row r="82" spans="1:3" ht="25.5" x14ac:dyDescent="0.15">
      <c r="A82" s="1">
        <v>1.31</v>
      </c>
      <c r="B82" s="1">
        <f t="shared" ref="B82:B116" si="2">BS_call($B$1,A82,$B$3,$B$4,$B$5,$B$6)</f>
        <v>24.258457774089791</v>
      </c>
      <c r="C82" s="1">
        <f t="shared" ref="C82:C116" si="3">BS_put($B$1,A82,$B$3,$B$4,$B$5,$B$6)</f>
        <v>24.72162551861221</v>
      </c>
    </row>
    <row r="83" spans="1:3" ht="25.5" x14ac:dyDescent="0.15">
      <c r="A83" s="1">
        <v>1.33</v>
      </c>
      <c r="B83" s="1">
        <f t="shared" si="2"/>
        <v>24.580795666624262</v>
      </c>
      <c r="C83" s="1">
        <f t="shared" si="3"/>
        <v>25.043963411146684</v>
      </c>
    </row>
    <row r="84" spans="1:3" ht="25.5" x14ac:dyDescent="0.15">
      <c r="A84" s="1">
        <v>1.35</v>
      </c>
      <c r="B84" s="1">
        <f t="shared" si="2"/>
        <v>24.900997372929361</v>
      </c>
      <c r="C84" s="1">
        <f t="shared" si="3"/>
        <v>25.364165117451783</v>
      </c>
    </row>
    <row r="85" spans="1:3" ht="25.5" x14ac:dyDescent="0.15">
      <c r="A85" s="1">
        <v>1.37</v>
      </c>
      <c r="B85" s="1">
        <f t="shared" si="2"/>
        <v>25.219045233680177</v>
      </c>
      <c r="C85" s="1">
        <f t="shared" si="3"/>
        <v>25.6822129782026</v>
      </c>
    </row>
    <row r="86" spans="1:3" ht="25.5" x14ac:dyDescent="0.15">
      <c r="A86" s="1">
        <v>1.3900000000000001</v>
      </c>
      <c r="B86" s="1">
        <f t="shared" si="2"/>
        <v>25.534922138344562</v>
      </c>
      <c r="C86" s="1">
        <f t="shared" si="3"/>
        <v>25.998089882866985</v>
      </c>
    </row>
    <row r="87" spans="1:3" ht="25.5" x14ac:dyDescent="0.15">
      <c r="A87" s="1">
        <v>1.4100000000000001</v>
      </c>
      <c r="B87" s="1">
        <f t="shared" si="2"/>
        <v>25.848611526529076</v>
      </c>
      <c r="C87" s="1">
        <f t="shared" si="3"/>
        <v>26.311779271051506</v>
      </c>
    </row>
    <row r="88" spans="1:3" ht="25.5" x14ac:dyDescent="0.15">
      <c r="A88" s="1">
        <v>1.43</v>
      </c>
      <c r="B88" s="1">
        <f t="shared" si="2"/>
        <v>26.160097389100777</v>
      </c>
      <c r="C88" s="1">
        <f t="shared" si="3"/>
        <v>26.623265133623196</v>
      </c>
    </row>
    <row r="89" spans="1:3" ht="25.5" x14ac:dyDescent="0.15">
      <c r="A89" s="1">
        <v>1.45</v>
      </c>
      <c r="B89" s="1">
        <f t="shared" si="2"/>
        <v>26.469364269085311</v>
      </c>
      <c r="C89" s="1">
        <f t="shared" si="3"/>
        <v>26.932532013607734</v>
      </c>
    </row>
    <row r="90" spans="1:3" ht="25.5" x14ac:dyDescent="0.15">
      <c r="A90" s="1">
        <v>1.47</v>
      </c>
      <c r="B90" s="1">
        <f t="shared" si="2"/>
        <v>26.776397262342186</v>
      </c>
      <c r="C90" s="1">
        <f t="shared" si="3"/>
        <v>27.239565006864609</v>
      </c>
    </row>
    <row r="91" spans="1:3" ht="25.5" x14ac:dyDescent="0.15">
      <c r="A91" s="1">
        <v>1.49</v>
      </c>
      <c r="B91" s="1">
        <f t="shared" si="2"/>
        <v>27.081182018017948</v>
      </c>
      <c r="C91" s="1">
        <f t="shared" si="3"/>
        <v>27.544349762540374</v>
      </c>
    </row>
    <row r="92" spans="1:3" ht="25.5" x14ac:dyDescent="0.15">
      <c r="A92" s="1">
        <v>1.51</v>
      </c>
      <c r="B92" s="1">
        <f t="shared" si="2"/>
        <v>27.38370473877859</v>
      </c>
      <c r="C92" s="1">
        <f t="shared" si="3"/>
        <v>27.846872483301013</v>
      </c>
    </row>
    <row r="93" spans="1:3" ht="25.5" x14ac:dyDescent="0.15">
      <c r="A93" s="1">
        <v>1.53</v>
      </c>
      <c r="B93" s="1">
        <f t="shared" si="2"/>
        <v>27.683952180822118</v>
      </c>
      <c r="C93" s="1">
        <f t="shared" si="3"/>
        <v>28.147119925344544</v>
      </c>
    </row>
    <row r="94" spans="1:3" ht="25.5" x14ac:dyDescent="0.15">
      <c r="A94" s="1">
        <v>1.55</v>
      </c>
      <c r="B94" s="1">
        <f t="shared" si="2"/>
        <v>27.981911653672967</v>
      </c>
      <c r="C94" s="1">
        <f t="shared" si="3"/>
        <v>28.445079398195389</v>
      </c>
    </row>
    <row r="95" spans="1:3" ht="25.5" x14ac:dyDescent="0.15">
      <c r="A95" s="1">
        <v>1.57</v>
      </c>
      <c r="B95" s="1">
        <f t="shared" si="2"/>
        <v>28.277571019759492</v>
      </c>
      <c r="C95" s="1">
        <f t="shared" si="3"/>
        <v>28.740738764281911</v>
      </c>
    </row>
    <row r="96" spans="1:3" ht="25.5" x14ac:dyDescent="0.15">
      <c r="A96" s="1">
        <v>1.59</v>
      </c>
      <c r="B96" s="1">
        <f t="shared" si="2"/>
        <v>28.570918693776456</v>
      </c>
      <c r="C96" s="1">
        <f t="shared" si="3"/>
        <v>29.034086438298878</v>
      </c>
    </row>
    <row r="97" spans="1:3" ht="25.5" x14ac:dyDescent="0.15">
      <c r="A97" s="1">
        <v>1.61</v>
      </c>
      <c r="B97" s="1">
        <f t="shared" si="2"/>
        <v>28.86194364183411</v>
      </c>
      <c r="C97" s="1">
        <f t="shared" si="3"/>
        <v>29.325111386356532</v>
      </c>
    </row>
    <row r="98" spans="1:3" ht="25.5" x14ac:dyDescent="0.15">
      <c r="A98" s="1">
        <v>1.6300000000000001</v>
      </c>
      <c r="B98" s="1">
        <f t="shared" si="2"/>
        <v>29.150635380395912</v>
      </c>
      <c r="C98" s="1">
        <f t="shared" si="3"/>
        <v>29.613803124918334</v>
      </c>
    </row>
    <row r="99" spans="1:3" ht="25.5" x14ac:dyDescent="0.15">
      <c r="A99" s="1">
        <v>1.6500000000000001</v>
      </c>
      <c r="B99" s="1">
        <f t="shared" si="2"/>
        <v>29.43698397500691</v>
      </c>
      <c r="C99" s="1">
        <f t="shared" si="3"/>
        <v>29.900151719529333</v>
      </c>
    </row>
    <row r="100" spans="1:3" ht="25.5" x14ac:dyDescent="0.15">
      <c r="A100" s="1">
        <v>1.6700000000000002</v>
      </c>
      <c r="B100" s="1">
        <f t="shared" si="2"/>
        <v>29.720980038814886</v>
      </c>
      <c r="C100" s="1">
        <f t="shared" si="3"/>
        <v>30.184147783337313</v>
      </c>
    </row>
    <row r="101" spans="1:3" ht="25.5" x14ac:dyDescent="0.15">
      <c r="A101" s="1">
        <v>1.69</v>
      </c>
      <c r="B101" s="1">
        <f t="shared" si="2"/>
        <v>30.002614730886734</v>
      </c>
      <c r="C101" s="1">
        <f t="shared" si="3"/>
        <v>30.465782475409164</v>
      </c>
    </row>
    <row r="102" spans="1:3" ht="25.5" x14ac:dyDescent="0.15">
      <c r="A102" s="1">
        <v>1.71</v>
      </c>
      <c r="B102" s="1">
        <f t="shared" si="2"/>
        <v>30.281879754322262</v>
      </c>
      <c r="C102" s="1">
        <f t="shared" si="3"/>
        <v>30.74504749884467</v>
      </c>
    </row>
    <row r="103" spans="1:3" ht="25.5" x14ac:dyDescent="0.15">
      <c r="A103" s="1">
        <v>1.73</v>
      </c>
      <c r="B103" s="1">
        <f t="shared" si="2"/>
        <v>30.55876735416809</v>
      </c>
      <c r="C103" s="1">
        <f t="shared" si="3"/>
        <v>31.021935098690513</v>
      </c>
    </row>
    <row r="104" spans="1:3" ht="25.5" x14ac:dyDescent="0.15">
      <c r="A104" s="1">
        <v>1.75</v>
      </c>
      <c r="B104" s="1">
        <f t="shared" si="2"/>
        <v>30.833270315134286</v>
      </c>
      <c r="C104" s="1">
        <f t="shared" si="3"/>
        <v>31.296438059656708</v>
      </c>
    </row>
    <row r="105" spans="1:3" ht="25.5" x14ac:dyDescent="0.15">
      <c r="A105" s="1">
        <v>1.77</v>
      </c>
      <c r="B105" s="1">
        <f t="shared" si="2"/>
        <v>31.105381959116272</v>
      </c>
      <c r="C105" s="1">
        <f t="shared" si="3"/>
        <v>31.568549703638695</v>
      </c>
    </row>
    <row r="106" spans="1:3" ht="25.5" x14ac:dyDescent="0.15">
      <c r="A106" s="1">
        <v>1.79</v>
      </c>
      <c r="B106" s="1">
        <f t="shared" si="2"/>
        <v>31.375096142525067</v>
      </c>
      <c r="C106" s="1">
        <f t="shared" si="3"/>
        <v>31.838263887047486</v>
      </c>
    </row>
    <row r="107" spans="1:3" ht="25.5" x14ac:dyDescent="0.15">
      <c r="A107" s="1">
        <v>1.81</v>
      </c>
      <c r="B107" s="1">
        <f t="shared" si="2"/>
        <v>31.642407253428672</v>
      </c>
      <c r="C107" s="1">
        <f t="shared" si="3"/>
        <v>32.105574997951095</v>
      </c>
    </row>
    <row r="108" spans="1:3" ht="25.5" x14ac:dyDescent="0.15">
      <c r="A108" s="1">
        <v>1.83</v>
      </c>
      <c r="B108" s="1">
        <f t="shared" si="2"/>
        <v>31.90731020850761</v>
      </c>
      <c r="C108" s="1">
        <f t="shared" si="3"/>
        <v>32.370477953030033</v>
      </c>
    </row>
    <row r="109" spans="1:3" ht="25.5" x14ac:dyDescent="0.15">
      <c r="A109" s="1">
        <v>1.85</v>
      </c>
      <c r="B109" s="1">
        <f t="shared" si="2"/>
        <v>32.169800449827797</v>
      </c>
      <c r="C109" s="1">
        <f t="shared" si="3"/>
        <v>32.632968194350219</v>
      </c>
    </row>
    <row r="110" spans="1:3" ht="25.5" x14ac:dyDescent="0.15">
      <c r="A110" s="1">
        <v>1.87</v>
      </c>
      <c r="B110" s="1">
        <f t="shared" si="2"/>
        <v>32.42987394143384</v>
      </c>
      <c r="C110" s="1">
        <f t="shared" si="3"/>
        <v>32.893041685956248</v>
      </c>
    </row>
    <row r="111" spans="1:3" ht="25.5" x14ac:dyDescent="0.15">
      <c r="A111" s="1">
        <v>1.8900000000000001</v>
      </c>
      <c r="B111" s="1">
        <f t="shared" si="2"/>
        <v>32.687527165766113</v>
      </c>
      <c r="C111" s="1">
        <f t="shared" si="3"/>
        <v>33.150694910288536</v>
      </c>
    </row>
    <row r="112" spans="1:3" ht="25.5" x14ac:dyDescent="0.15">
      <c r="A112" s="1">
        <v>1.9100000000000001</v>
      </c>
      <c r="B112" s="1">
        <f t="shared" si="2"/>
        <v>32.942757119905004</v>
      </c>
      <c r="C112" s="1">
        <f t="shared" si="3"/>
        <v>33.405924864427426</v>
      </c>
    </row>
    <row r="113" spans="1:3" ht="25.5" x14ac:dyDescent="0.15">
      <c r="A113" s="1">
        <v>1.93</v>
      </c>
      <c r="B113" s="1">
        <f t="shared" si="2"/>
        <v>33.195561311645626</v>
      </c>
      <c r="C113" s="1">
        <f t="shared" si="3"/>
        <v>33.658729056168049</v>
      </c>
    </row>
    <row r="114" spans="1:3" ht="25.5" x14ac:dyDescent="0.15">
      <c r="A114" s="1">
        <v>1.95</v>
      </c>
      <c r="B114" s="1">
        <f t="shared" si="2"/>
        <v>33.445937755406632</v>
      </c>
      <c r="C114" s="1">
        <f t="shared" si="3"/>
        <v>33.909105499929055</v>
      </c>
    </row>
    <row r="115" spans="1:3" ht="25.5" x14ac:dyDescent="0.15">
      <c r="A115" s="1">
        <v>1.97</v>
      </c>
      <c r="B115" s="1">
        <f t="shared" si="2"/>
        <v>33.693884967976643</v>
      </c>
      <c r="C115" s="1">
        <f t="shared" si="3"/>
        <v>34.157052712499059</v>
      </c>
    </row>
    <row r="116" spans="1:3" ht="25.5" x14ac:dyDescent="0.15">
      <c r="A116" s="1">
        <v>1.99</v>
      </c>
      <c r="B116" s="1">
        <f t="shared" si="2"/>
        <v>33.93940196410189</v>
      </c>
      <c r="C116" s="1">
        <f t="shared" si="3"/>
        <v>34.402569708624313</v>
      </c>
    </row>
  </sheetData>
  <mergeCells count="1">
    <mergeCell ref="E1:J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85917-5DA9-41C1-AF7B-F7B34AA65697}">
  <dimension ref="A1:L116"/>
  <sheetViews>
    <sheetView workbookViewId="0">
      <selection activeCell="A17" sqref="A17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  <c r="G13" s="3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2" t="s">
        <v>6</v>
      </c>
      <c r="B16" s="1" t="s">
        <v>0</v>
      </c>
      <c r="C16" s="1" t="s">
        <v>1</v>
      </c>
    </row>
    <row r="17" spans="1:3" ht="25.5" x14ac:dyDescent="0.15">
      <c r="A17" s="1">
        <v>0.01</v>
      </c>
      <c r="B17" s="1">
        <f>BS_call($B$1,$B$2,A17,$B$4,$B$5,$B$6)</f>
        <v>7.0301409602786755</v>
      </c>
      <c r="C17" s="1">
        <f>BS_put($B$1,$B$2,A17,$B$4,$B$5,$B$6)</f>
        <v>8.5127323152354144</v>
      </c>
    </row>
    <row r="18" spans="1:3" ht="25.5" x14ac:dyDescent="0.15">
      <c r="A18" s="1">
        <v>0.02</v>
      </c>
      <c r="B18" s="1">
        <f t="shared" ref="B18:B81" si="0">BS_call($B$1,$B$2,A18,$B$4,$B$5,$B$6)</f>
        <v>7.2346211743056195</v>
      </c>
      <c r="C18" s="1">
        <f t="shared" ref="C18:C81" si="1">BS_put($B$1,$B$2,A18,$B$4,$B$5,$B$6)</f>
        <v>8.204952186256893</v>
      </c>
    </row>
    <row r="19" spans="1:3" ht="25.5" x14ac:dyDescent="0.15">
      <c r="A19" s="1">
        <v>0.03</v>
      </c>
      <c r="B19" s="1">
        <f t="shared" si="0"/>
        <v>7.4421669789018239</v>
      </c>
      <c r="C19" s="1">
        <f t="shared" si="1"/>
        <v>7.9053347234242466</v>
      </c>
    </row>
    <row r="20" spans="1:3" ht="25.5" x14ac:dyDescent="0.15">
      <c r="A20" s="1">
        <v>0.04</v>
      </c>
      <c r="B20" s="1">
        <f t="shared" si="0"/>
        <v>7.6527272992541278</v>
      </c>
      <c r="C20" s="1">
        <f t="shared" si="1"/>
        <v>7.6137781351749361</v>
      </c>
    </row>
    <row r="21" spans="1:3" ht="25.5" x14ac:dyDescent="0.15">
      <c r="A21" s="1">
        <v>0.05</v>
      </c>
      <c r="B21" s="1">
        <f t="shared" si="0"/>
        <v>7.866248243493267</v>
      </c>
      <c r="C21" s="1">
        <f t="shared" si="1"/>
        <v>7.3301783175304003</v>
      </c>
    </row>
    <row r="22" spans="1:3" ht="25.5" x14ac:dyDescent="0.15">
      <c r="A22" s="1">
        <v>6.0000000000000005E-2</v>
      </c>
      <c r="B22" s="1">
        <f t="shared" si="0"/>
        <v>8.0826731784895109</v>
      </c>
      <c r="C22" s="1">
        <f t="shared" si="1"/>
        <v>7.054428924870443</v>
      </c>
    </row>
    <row r="23" spans="1:3" ht="25.5" x14ac:dyDescent="0.15">
      <c r="A23" s="1">
        <v>6.9999999999999993E-2</v>
      </c>
      <c r="B23" s="1">
        <f t="shared" si="0"/>
        <v>8.3019428112603713</v>
      </c>
      <c r="C23" s="1">
        <f t="shared" si="1"/>
        <v>6.7864214463696833</v>
      </c>
    </row>
    <row r="24" spans="1:3" ht="25.5" x14ac:dyDescent="0.15">
      <c r="A24" s="1">
        <v>0.08</v>
      </c>
      <c r="B24" s="1">
        <f t="shared" si="0"/>
        <v>8.5239952757547961</v>
      </c>
      <c r="C24" s="1">
        <f t="shared" si="1"/>
        <v>6.5260452878598514</v>
      </c>
    </row>
    <row r="25" spans="1:3" ht="25.5" x14ac:dyDescent="0.15">
      <c r="A25" s="1">
        <v>0.09</v>
      </c>
      <c r="B25" s="1">
        <f t="shared" si="0"/>
        <v>8.7487662247608888</v>
      </c>
      <c r="C25" s="1">
        <f t="shared" si="1"/>
        <v>6.2731878588647518</v>
      </c>
    </row>
    <row r="26" spans="1:3" ht="25.5" x14ac:dyDescent="0.15">
      <c r="A26" s="1">
        <v>9.9999999999999992E-2</v>
      </c>
      <c r="B26" s="1">
        <f t="shared" si="0"/>
        <v>8.9761889266680441</v>
      </c>
      <c r="C26" s="1">
        <f t="shared" si="1"/>
        <v>6.0277346645379453</v>
      </c>
    </row>
    <row r="27" spans="1:3" ht="25.5" x14ac:dyDescent="0.15">
      <c r="A27" s="1">
        <v>0.11</v>
      </c>
      <c r="B27" s="1">
        <f t="shared" si="0"/>
        <v>9.2061943667990782</v>
      </c>
      <c r="C27" s="1">
        <f t="shared" si="1"/>
        <v>5.7895694022185467</v>
      </c>
    </row>
    <row r="28" spans="1:3" ht="25.5" x14ac:dyDescent="0.15">
      <c r="A28" s="1">
        <v>0.12</v>
      </c>
      <c r="B28" s="1">
        <f t="shared" si="0"/>
        <v>9.4387113530140567</v>
      </c>
      <c r="C28" s="1">
        <f t="shared" si="1"/>
        <v>5.5585740623062527</v>
      </c>
    </row>
    <row r="29" spans="1:3" ht="25.5" x14ac:dyDescent="0.15">
      <c r="A29" s="1">
        <v>0.13</v>
      </c>
      <c r="B29" s="1">
        <f t="shared" si="0"/>
        <v>9.6736666252750503</v>
      </c>
      <c r="C29" s="1">
        <f t="shared" si="1"/>
        <v>5.3346290331442319</v>
      </c>
    </row>
    <row r="30" spans="1:3" ht="25.5" x14ac:dyDescent="0.15">
      <c r="A30" s="1">
        <v>0.14000000000000001</v>
      </c>
      <c r="B30" s="1">
        <f t="shared" si="0"/>
        <v>9.9109849688494798</v>
      </c>
      <c r="C30" s="1">
        <f t="shared" si="1"/>
        <v>5.1176132095873861</v>
      </c>
    </row>
    <row r="31" spans="1:3" ht="25.5" x14ac:dyDescent="0.15">
      <c r="A31" s="1">
        <v>0.15000000000000002</v>
      </c>
      <c r="B31" s="1">
        <f t="shared" si="0"/>
        <v>10.150589330820274</v>
      </c>
      <c r="C31" s="1">
        <f t="shared" si="1"/>
        <v>4.9074041049232839</v>
      </c>
    </row>
    <row r="32" spans="1:3" ht="25.5" x14ac:dyDescent="0.15">
      <c r="A32" s="1">
        <v>0.16</v>
      </c>
      <c r="B32" s="1">
        <f t="shared" si="0"/>
        <v>10.392400939561945</v>
      </c>
      <c r="C32" s="1">
        <f t="shared" si="1"/>
        <v>4.7038779658049332</v>
      </c>
    </row>
    <row r="33" spans="1:3" ht="25.5" x14ac:dyDescent="0.15">
      <c r="A33" s="1">
        <v>0.17</v>
      </c>
      <c r="B33" s="1">
        <f t="shared" si="0"/>
        <v>10.636339426835317</v>
      </c>
      <c r="C33" s="1">
        <f t="shared" si="1"/>
        <v>4.5069098898472735</v>
      </c>
    </row>
    <row r="34" spans="1:3" ht="25.5" x14ac:dyDescent="0.15">
      <c r="A34" s="1">
        <v>0.18000000000000002</v>
      </c>
      <c r="B34" s="1">
        <f t="shared" si="0"/>
        <v>10.882322952147778</v>
      </c>
      <c r="C34" s="1">
        <f t="shared" si="1"/>
        <v>4.3163739455339183</v>
      </c>
    </row>
    <row r="35" spans="1:3" ht="25.5" x14ac:dyDescent="0.15">
      <c r="A35" s="1">
        <v>0.19</v>
      </c>
      <c r="B35" s="1">
        <f t="shared" si="0"/>
        <v>11.130268329021565</v>
      </c>
      <c r="C35" s="1">
        <f t="shared" si="1"/>
        <v>4.1321432940764051</v>
      </c>
    </row>
    <row r="36" spans="1:3" ht="25.5" x14ac:dyDescent="0.15">
      <c r="A36" s="1">
        <v>0.2</v>
      </c>
      <c r="B36" s="1">
        <f t="shared" si="0"/>
        <v>11.380091152810742</v>
      </c>
      <c r="C36" s="1">
        <f t="shared" si="1"/>
        <v>3.9540903128657945</v>
      </c>
    </row>
    <row r="37" spans="1:3" ht="25.5" x14ac:dyDescent="0.15">
      <c r="A37" s="1">
        <v>0.21000000000000002</v>
      </c>
      <c r="B37" s="1">
        <f t="shared" si="0"/>
        <v>11.631705929705518</v>
      </c>
      <c r="C37" s="1">
        <f t="shared" si="1"/>
        <v>3.7820867201552488</v>
      </c>
    </row>
    <row r="38" spans="1:3" ht="25.5" x14ac:dyDescent="0.15">
      <c r="A38" s="1">
        <v>0.22</v>
      </c>
      <c r="B38" s="1">
        <f t="shared" si="0"/>
        <v>11.885026206563595</v>
      </c>
      <c r="C38" s="1">
        <f t="shared" si="1"/>
        <v>3.6160037006124721</v>
      </c>
    </row>
    <row r="39" spans="1:3" ht="25.5" x14ac:dyDescent="0.15">
      <c r="A39" s="1">
        <v>0.23</v>
      </c>
      <c r="B39" s="1">
        <f t="shared" si="0"/>
        <v>12.139964701209543</v>
      </c>
      <c r="C39" s="1">
        <f t="shared" si="1"/>
        <v>3.4557120313829248</v>
      </c>
    </row>
    <row r="40" spans="1:3" ht="25.5" x14ac:dyDescent="0.15">
      <c r="A40" s="1">
        <v>0.24000000000000002</v>
      </c>
      <c r="B40" s="1">
        <f t="shared" si="0"/>
        <v>12.39643343284688</v>
      </c>
      <c r="C40" s="1">
        <f t="shared" si="1"/>
        <v>3.3010822083076548</v>
      </c>
    </row>
    <row r="41" spans="1:3" ht="25.5" x14ac:dyDescent="0.15">
      <c r="A41" s="1">
        <v>0.25</v>
      </c>
      <c r="B41" s="1">
        <f t="shared" si="0"/>
        <v>12.654343852231332</v>
      </c>
      <c r="C41" s="1">
        <f t="shared" si="1"/>
        <v>3.1519845719443911</v>
      </c>
    </row>
    <row r="42" spans="1:3" ht="25.5" x14ac:dyDescent="0.15">
      <c r="A42" s="1">
        <v>0.26</v>
      </c>
      <c r="B42" s="1">
        <f t="shared" si="0"/>
        <v>12.91360697126078</v>
      </c>
      <c r="C42" s="1">
        <f t="shared" si="1"/>
        <v>3.0082894330462295</v>
      </c>
    </row>
    <row r="43" spans="1:3" ht="25.5" x14ac:dyDescent="0.15">
      <c r="A43" s="1">
        <v>0.27</v>
      </c>
      <c r="B43" s="1">
        <f t="shared" si="0"/>
        <v>13.174133491643417</v>
      </c>
      <c r="C43" s="1">
        <f t="shared" si="1"/>
        <v>2.8698671971597793</v>
      </c>
    </row>
    <row r="44" spans="1:3" ht="25.5" x14ac:dyDescent="0.15">
      <c r="A44" s="1">
        <v>0.28000000000000003</v>
      </c>
      <c r="B44" s="1">
        <f t="shared" si="0"/>
        <v>13.435833932314981</v>
      </c>
      <c r="C44" s="1">
        <f t="shared" si="1"/>
        <v>2.7365884880127069</v>
      </c>
    </row>
    <row r="45" spans="1:3" ht="25.5" x14ac:dyDescent="0.15">
      <c r="A45" s="1">
        <v>0.29000000000000004</v>
      </c>
      <c r="B45" s="1">
        <f t="shared" si="0"/>
        <v>13.698618755285178</v>
      </c>
      <c r="C45" s="1">
        <f t="shared" si="1"/>
        <v>2.6083242693705664</v>
      </c>
    </row>
    <row r="46" spans="1:3" ht="25.5" x14ac:dyDescent="0.15">
      <c r="A46" s="1">
        <v>0.3</v>
      </c>
      <c r="B46" s="1">
        <f t="shared" si="0"/>
        <v>13.962398489603999</v>
      </c>
      <c r="C46" s="1">
        <f t="shared" si="1"/>
        <v>2.4849459650533294</v>
      </c>
    </row>
    <row r="47" spans="1:3" ht="25.5" x14ac:dyDescent="0.15">
      <c r="A47" s="1">
        <v>0.31</v>
      </c>
      <c r="B47" s="1">
        <f t="shared" si="0"/>
        <v>14.227083853150837</v>
      </c>
      <c r="C47" s="1">
        <f t="shared" si="1"/>
        <v>2.3663255768138765</v>
      </c>
    </row>
    <row r="48" spans="1:3" ht="25.5" x14ac:dyDescent="0.15">
      <c r="A48" s="1">
        <v>0.32</v>
      </c>
      <c r="B48" s="1">
        <f t="shared" si="0"/>
        <v>14.492585871961609</v>
      </c>
      <c r="C48" s="1">
        <f t="shared" si="1"/>
        <v>2.2523357997935385</v>
      </c>
    </row>
    <row r="49" spans="1:3" ht="25.5" x14ac:dyDescent="0.15">
      <c r="A49" s="1">
        <v>0.33</v>
      </c>
      <c r="B49" s="1">
        <f t="shared" si="0"/>
        <v>14.758815996823021</v>
      </c>
      <c r="C49" s="1">
        <f t="shared" si="1"/>
        <v>2.142850135283183</v>
      </c>
    </row>
    <row r="50" spans="1:3" ht="25.5" x14ac:dyDescent="0.15">
      <c r="A50" s="1">
        <v>0.34</v>
      </c>
      <c r="B50" s="1">
        <f t="shared" si="0"/>
        <v>15.025686216877361</v>
      </c>
      <c r="C50" s="1">
        <f t="shared" si="1"/>
        <v>2.0377430005330606</v>
      </c>
    </row>
    <row r="51" spans="1:3" ht="25.5" x14ac:dyDescent="0.15">
      <c r="A51" s="1">
        <v>0.35000000000000003</v>
      </c>
      <c r="B51" s="1">
        <f t="shared" si="0"/>
        <v>15.293109169996473</v>
      </c>
      <c r="C51" s="1">
        <f t="shared" si="1"/>
        <v>1.9368898353695734</v>
      </c>
    </row>
    <row r="52" spans="1:3" ht="25.5" x14ac:dyDescent="0.15">
      <c r="A52" s="1">
        <v>0.36000000000000004</v>
      </c>
      <c r="B52" s="1">
        <f t="shared" si="0"/>
        <v>15.560998249699416</v>
      </c>
      <c r="C52" s="1">
        <f t="shared" si="1"/>
        <v>1.8401672053930289</v>
      </c>
    </row>
    <row r="53" spans="1:3" ht="25.5" x14ac:dyDescent="0.15">
      <c r="A53" s="1">
        <v>0.37</v>
      </c>
      <c r="B53" s="1">
        <f t="shared" si="0"/>
        <v>15.82926770840437</v>
      </c>
      <c r="C53" s="1">
        <f t="shared" si="1"/>
        <v>1.7474529015468185</v>
      </c>
    </row>
    <row r="54" spans="1:3" ht="25.5" x14ac:dyDescent="0.15">
      <c r="A54" s="1">
        <v>0.38</v>
      </c>
      <c r="B54" s="1">
        <f t="shared" si="0"/>
        <v>16.097832756822594</v>
      </c>
      <c r="C54" s="1">
        <f t="shared" si="1"/>
        <v>1.6586260358650939</v>
      </c>
    </row>
    <row r="55" spans="1:3" ht="25.5" x14ac:dyDescent="0.15">
      <c r="A55" s="1">
        <v>0.39</v>
      </c>
      <c r="B55" s="1">
        <f t="shared" si="0"/>
        <v>16.366609659319007</v>
      </c>
      <c r="C55" s="1">
        <f t="shared" si="1"/>
        <v>1.5735671332235679</v>
      </c>
    </row>
    <row r="56" spans="1:3" ht="25.5" x14ac:dyDescent="0.15">
      <c r="A56" s="1">
        <v>0.4</v>
      </c>
      <c r="B56" s="1">
        <f t="shared" si="0"/>
        <v>16.635515825081811</v>
      </c>
      <c r="C56" s="1">
        <f t="shared" si="1"/>
        <v>1.492158218935054</v>
      </c>
    </row>
    <row r="57" spans="1:3" ht="25.5" x14ac:dyDescent="0.15">
      <c r="A57" s="1">
        <v>0.41000000000000003</v>
      </c>
      <c r="B57" s="1">
        <f t="shared" si="0"/>
        <v>16.904469894960883</v>
      </c>
      <c r="C57" s="1">
        <f t="shared" si="1"/>
        <v>1.4142829020494938</v>
      </c>
    </row>
    <row r="58" spans="1:3" ht="25.5" x14ac:dyDescent="0.15">
      <c r="A58" s="1">
        <v>0.42000000000000004</v>
      </c>
      <c r="B58" s="1">
        <f t="shared" si="0"/>
        <v>17.173391823852743</v>
      </c>
      <c r="C58" s="1">
        <f t="shared" si="1"/>
        <v>1.3398264542356912</v>
      </c>
    </row>
    <row r="59" spans="1:3" ht="25.5" x14ac:dyDescent="0.15">
      <c r="A59" s="1">
        <v>0.43</v>
      </c>
      <c r="B59" s="1">
        <f t="shared" si="0"/>
        <v>17.442202958527428</v>
      </c>
      <c r="C59" s="1">
        <f t="shared" si="1"/>
        <v>1.2686758841398822</v>
      </c>
    </row>
    <row r="60" spans="1:3" ht="25.5" x14ac:dyDescent="0.15">
      <c r="A60" s="1">
        <v>0.44</v>
      </c>
      <c r="B60" s="1">
        <f t="shared" si="0"/>
        <v>17.710826110810736</v>
      </c>
      <c r="C60" s="1">
        <f t="shared" si="1"/>
        <v>1.2007200071340867</v>
      </c>
    </row>
    <row r="61" spans="1:3" ht="25.5" x14ac:dyDescent="0.15">
      <c r="A61" s="1">
        <v>0.45</v>
      </c>
      <c r="B61" s="1">
        <f t="shared" si="0"/>
        <v>17.979185626052388</v>
      </c>
      <c r="C61" s="1">
        <f t="shared" si="1"/>
        <v>1.1358495103846034</v>
      </c>
    </row>
    <row r="62" spans="1:3" ht="25.5" x14ac:dyDescent="0.15">
      <c r="A62" s="1">
        <v>0.46</v>
      </c>
      <c r="B62" s="1">
        <f t="shared" si="0"/>
        <v>18.247207446828526</v>
      </c>
      <c r="C62" s="1">
        <f t="shared" si="1"/>
        <v>1.0739570131886786</v>
      </c>
    </row>
    <row r="63" spans="1:3" ht="25.5" x14ac:dyDescent="0.15">
      <c r="A63" s="1">
        <v>0.47000000000000003</v>
      </c>
      <c r="B63" s="1">
        <f t="shared" si="0"/>
        <v>18.514819171843744</v>
      </c>
      <c r="C63" s="1">
        <f t="shared" si="1"/>
        <v>1.0149371225441861</v>
      </c>
    </row>
    <row r="64" spans="1:3" ht="25.5" x14ac:dyDescent="0.15">
      <c r="A64" s="1">
        <v>0.48000000000000004</v>
      </c>
      <c r="B64" s="1">
        <f t="shared" si="0"/>
        <v>18.781950110014833</v>
      </c>
      <c r="C64" s="1">
        <f t="shared" si="1"/>
        <v>0.95868648393416134</v>
      </c>
    </row>
    <row r="65" spans="1:3" ht="25.5" x14ac:dyDescent="0.15">
      <c r="A65" s="1">
        <v>0.49</v>
      </c>
      <c r="B65" s="1">
        <f t="shared" si="0"/>
        <v>19.048531329734466</v>
      </c>
      <c r="C65" s="1">
        <f t="shared" si="1"/>
        <v>0.90510382732410655</v>
      </c>
    </row>
    <row r="66" spans="1:3" ht="25.5" x14ac:dyDescent="0.15">
      <c r="A66" s="1">
        <v>0.5</v>
      </c>
      <c r="B66" s="1">
        <f t="shared" si="0"/>
        <v>19.314495703329143</v>
      </c>
      <c r="C66" s="1">
        <f t="shared" si="1"/>
        <v>0.85409000838607696</v>
      </c>
    </row>
    <row r="67" spans="1:3" ht="25.5" x14ac:dyDescent="0.15">
      <c r="A67" s="1">
        <v>0.51</v>
      </c>
      <c r="B67" s="1">
        <f t="shared" si="0"/>
        <v>19.579777946740727</v>
      </c>
      <c r="C67" s="1">
        <f t="shared" si="1"/>
        <v>0.80554804497855148</v>
      </c>
    </row>
    <row r="68" spans="1:3" ht="25.5" x14ac:dyDescent="0.15">
      <c r="A68" s="1">
        <v>0.52</v>
      </c>
      <c r="B68" s="1">
        <f t="shared" si="0"/>
        <v>19.844314654475905</v>
      </c>
      <c r="C68" s="1">
        <f t="shared" si="1"/>
        <v>0.75938314892601921</v>
      </c>
    </row>
    <row r="69" spans="1:3" ht="25.5" x14ac:dyDescent="0.15">
      <c r="A69" s="1">
        <v>0.53</v>
      </c>
      <c r="B69" s="1">
        <f t="shared" si="0"/>
        <v>20.108044329881608</v>
      </c>
      <c r="C69" s="1">
        <f t="shared" si="1"/>
        <v>0.71550275315607426</v>
      </c>
    </row>
    <row r="70" spans="1:3" ht="25.5" x14ac:dyDescent="0.15">
      <c r="A70" s="1">
        <v>0.54</v>
      </c>
      <c r="B70" s="1">
        <f t="shared" si="0"/>
        <v>20.3709074108178</v>
      </c>
      <c r="C70" s="1">
        <f t="shared" si="1"/>
        <v>0.67381653426526045</v>
      </c>
    </row>
    <row r="71" spans="1:3" ht="25.5" x14ac:dyDescent="0.15">
      <c r="A71" s="1">
        <v>0.55000000000000004</v>
      </c>
      <c r="B71" s="1">
        <f t="shared" si="0"/>
        <v>20.632846290812122</v>
      </c>
      <c r="C71" s="1">
        <f t="shared" si="1"/>
        <v>0.63423643059742663</v>
      </c>
    </row>
    <row r="72" spans="1:3" ht="25.5" x14ac:dyDescent="0.15">
      <c r="A72" s="1">
        <v>0.56000000000000005</v>
      </c>
      <c r="B72" s="1">
        <f t="shared" si="0"/>
        <v>20.893805335791956</v>
      </c>
      <c r="C72" s="1">
        <f t="shared" si="1"/>
        <v>0.5966766559303287</v>
      </c>
    </row>
    <row r="73" spans="1:3" ht="25.5" x14ac:dyDescent="0.15">
      <c r="A73" s="1">
        <v>0.57000000000000006</v>
      </c>
      <c r="B73" s="1">
        <f t="shared" si="0"/>
        <v>21.153730896501159</v>
      </c>
      <c r="C73" s="1">
        <f t="shared" si="1"/>
        <v>0.56105370887708439</v>
      </c>
    </row>
    <row r="74" spans="1:3" ht="25.5" x14ac:dyDescent="0.15">
      <c r="A74" s="1">
        <v>0.58000000000000007</v>
      </c>
      <c r="B74" s="1">
        <f t="shared" si="0"/>
        <v>21.41257131671868</v>
      </c>
      <c r="C74" s="1">
        <f t="shared" si="1"/>
        <v>0.52728637811958778</v>
      </c>
    </row>
    <row r="75" spans="1:3" ht="25.5" x14ac:dyDescent="0.15">
      <c r="A75" s="1">
        <v>0.59</v>
      </c>
      <c r="B75" s="1">
        <f t="shared" si="0"/>
        <v>21.67027693740576</v>
      </c>
      <c r="C75" s="1">
        <f t="shared" si="1"/>
        <v>0.49529574360013084</v>
      </c>
    </row>
    <row r="76" spans="1:3" ht="25.5" x14ac:dyDescent="0.15">
      <c r="A76" s="1">
        <v>0.6</v>
      </c>
      <c r="B76" s="1">
        <f t="shared" si="0"/>
        <v>21.926800096916921</v>
      </c>
      <c r="C76" s="1">
        <f t="shared" si="1"/>
        <v>0.46500517380629436</v>
      </c>
    </row>
    <row r="77" spans="1:3" ht="25.5" x14ac:dyDescent="0.15">
      <c r="A77" s="1">
        <v>0.61</v>
      </c>
      <c r="B77" s="1">
        <f t="shared" si="0"/>
        <v>22.18209512741775</v>
      </c>
      <c r="C77" s="1">
        <f t="shared" si="1"/>
        <v>0.43634031929174188</v>
      </c>
    </row>
    <row r="78" spans="1:3" ht="25.5" x14ac:dyDescent="0.15">
      <c r="A78" s="1">
        <v>0.62</v>
      </c>
      <c r="B78" s="1">
        <f t="shared" si="0"/>
        <v>22.436118347659409</v>
      </c>
      <c r="C78" s="1">
        <f t="shared" si="1"/>
        <v>0.40922910258248635</v>
      </c>
    </row>
    <row r="79" spans="1:3" ht="25.5" x14ac:dyDescent="0.15">
      <c r="A79" s="1">
        <v>0.63</v>
      </c>
      <c r="B79" s="1">
        <f t="shared" si="0"/>
        <v>22.688828052265563</v>
      </c>
      <c r="C79" s="1">
        <f t="shared" si="1"/>
        <v>0.3836017046242155</v>
      </c>
    </row>
    <row r="80" spans="1:3" ht="25.5" x14ac:dyDescent="0.15">
      <c r="A80" s="1">
        <v>0.64</v>
      </c>
      <c r="B80" s="1">
        <f t="shared" si="0"/>
        <v>22.940184497692904</v>
      </c>
      <c r="C80" s="1">
        <f t="shared" si="1"/>
        <v>0.35939054793142877</v>
      </c>
    </row>
    <row r="81" spans="1:3" ht="25.5" x14ac:dyDescent="0.15">
      <c r="A81" s="1">
        <v>0.65</v>
      </c>
      <c r="B81" s="1">
        <f t="shared" si="0"/>
        <v>23.190149885030642</v>
      </c>
      <c r="C81" s="1">
        <f t="shared" si="1"/>
        <v>0.33653027660346946</v>
      </c>
    </row>
    <row r="82" spans="1:3" ht="25.5" x14ac:dyDescent="0.15">
      <c r="A82" s="1">
        <v>0.66</v>
      </c>
      <c r="B82" s="1">
        <f t="shared" ref="B82:B116" si="2">BS_call($B$1,$B$2,A82,$B$4,$B$5,$B$6)</f>
        <v>23.438688339807737</v>
      </c>
      <c r="C82" s="1">
        <f t="shared" ref="C82:C116" si="3">BS_put($B$1,$B$2,A82,$B$4,$B$5,$B$6)</f>
        <v>0.31495773337609623</v>
      </c>
    </row>
    <row r="83" spans="1:3" ht="25.5" x14ac:dyDescent="0.15">
      <c r="A83" s="1">
        <v>0.67</v>
      </c>
      <c r="B83" s="1">
        <f t="shared" si="2"/>
        <v>23.685765888979692</v>
      </c>
      <c r="C83" s="1">
        <f t="shared" si="3"/>
        <v>0.29461193387989915</v>
      </c>
    </row>
    <row r="84" spans="1:3" ht="25.5" x14ac:dyDescent="0.15">
      <c r="A84" s="1">
        <v>0.68</v>
      </c>
      <c r="B84" s="1">
        <f t="shared" si="2"/>
        <v>23.931350435268193</v>
      </c>
      <c r="C84" s="1">
        <f t="shared" si="3"/>
        <v>0.27543403827884894</v>
      </c>
    </row>
    <row r="85" spans="1:3" ht="25.5" x14ac:dyDescent="0.15">
      <c r="A85" s="1">
        <v>0.69000000000000006</v>
      </c>
      <c r="B85" s="1">
        <f t="shared" si="2"/>
        <v>24.175411729028557</v>
      </c>
      <c r="C85" s="1">
        <f t="shared" si="3"/>
        <v>0.25736732046344235</v>
      </c>
    </row>
    <row r="86" spans="1:3" ht="25.5" x14ac:dyDescent="0.15">
      <c r="A86" s="1">
        <v>0.70000000000000007</v>
      </c>
      <c r="B86" s="1">
        <f t="shared" si="2"/>
        <v>24.417921337820019</v>
      </c>
      <c r="C86" s="1">
        <f t="shared" si="3"/>
        <v>0.24035713497330824</v>
      </c>
    </row>
    <row r="87" spans="1:3" ht="25.5" x14ac:dyDescent="0.15">
      <c r="A87" s="1">
        <v>0.71000000000000008</v>
      </c>
      <c r="B87" s="1">
        <f t="shared" si="2"/>
        <v>24.658852613853782</v>
      </c>
      <c r="C87" s="1">
        <f t="shared" si="3"/>
        <v>0.22435088182396346</v>
      </c>
    </row>
    <row r="88" spans="1:3" ht="25.5" x14ac:dyDescent="0.15">
      <c r="A88" s="1">
        <v>0.72</v>
      </c>
      <c r="B88" s="1">
        <f t="shared" si="2"/>
        <v>24.898180659492922</v>
      </c>
      <c r="C88" s="1">
        <f t="shared" si="3"/>
        <v>0.20929796941144141</v>
      </c>
    </row>
    <row r="89" spans="1:3" ht="25.5" x14ac:dyDescent="0.15">
      <c r="A89" s="1">
        <v>0.73</v>
      </c>
      <c r="B89" s="1">
        <f t="shared" si="2"/>
        <v>25.13588229097644</v>
      </c>
      <c r="C89" s="1">
        <f t="shared" si="3"/>
        <v>0.19514977566696867</v>
      </c>
    </row>
    <row r="90" spans="1:3" ht="25.5" x14ac:dyDescent="0.15">
      <c r="A90" s="1">
        <v>0.74</v>
      </c>
      <c r="B90" s="1">
        <f t="shared" si="2"/>
        <v>25.371936000537971</v>
      </c>
      <c r="C90" s="1">
        <f t="shared" si="3"/>
        <v>0.18185960763175291</v>
      </c>
    </row>
    <row r="91" spans="1:3" ht="25.5" x14ac:dyDescent="0.15">
      <c r="A91" s="1">
        <v>0.75</v>
      </c>
      <c r="B91" s="1">
        <f t="shared" si="2"/>
        <v>25.60632191708644</v>
      </c>
      <c r="C91" s="1">
        <f t="shared" si="3"/>
        <v>0.1693826596191994</v>
      </c>
    </row>
    <row r="92" spans="1:3" ht="25.5" x14ac:dyDescent="0.15">
      <c r="A92" s="1">
        <v>0.76</v>
      </c>
      <c r="B92" s="1">
        <f t="shared" si="2"/>
        <v>25.839021765613399</v>
      </c>
      <c r="C92" s="1">
        <f t="shared" si="3"/>
        <v>0.15767597012867829</v>
      </c>
    </row>
    <row r="93" spans="1:3" ht="25.5" x14ac:dyDescent="0.15">
      <c r="A93" s="1">
        <v>0.77</v>
      </c>
      <c r="B93" s="1">
        <f t="shared" si="2"/>
        <v>26.070018825487381</v>
      </c>
      <c r="C93" s="1">
        <f t="shared" si="3"/>
        <v>0.14669837767123461</v>
      </c>
    </row>
    <row r="94" spans="1:3" ht="25.5" x14ac:dyDescent="0.15">
      <c r="A94" s="1">
        <v>0.78</v>
      </c>
      <c r="B94" s="1">
        <f t="shared" si="2"/>
        <v>26.299297887791894</v>
      </c>
      <c r="C94" s="1">
        <f t="shared" si="3"/>
        <v>0.13641047566351761</v>
      </c>
    </row>
    <row r="95" spans="1:3" ht="25.5" x14ac:dyDescent="0.15">
      <c r="A95" s="1">
        <v>0.79</v>
      </c>
      <c r="B95" s="1">
        <f t="shared" si="2"/>
        <v>26.526845211859111</v>
      </c>
      <c r="C95" s="1">
        <f t="shared" si="3"/>
        <v>0.12677456654161512</v>
      </c>
    </row>
    <row r="96" spans="1:3" ht="25.5" x14ac:dyDescent="0.15">
      <c r="A96" s="1">
        <v>0.8</v>
      </c>
      <c r="B96" s="1">
        <f t="shared" si="2"/>
        <v>26.752648481146085</v>
      </c>
      <c r="C96" s="1">
        <f t="shared" si="3"/>
        <v>0.11775461524160957</v>
      </c>
    </row>
    <row r="97" spans="1:3" ht="25.5" x14ac:dyDescent="0.15">
      <c r="A97" s="1">
        <v>0.81</v>
      </c>
      <c r="B97" s="1">
        <f t="shared" si="2"/>
        <v>26.97669675859548</v>
      </c>
      <c r="C97" s="1">
        <f t="shared" si="3"/>
        <v>0.10931620218842253</v>
      </c>
    </row>
    <row r="98" spans="1:3" ht="25.5" x14ac:dyDescent="0.15">
      <c r="A98" s="1">
        <v>0.82000000000000006</v>
      </c>
      <c r="B98" s="1">
        <f t="shared" si="2"/>
        <v>27.198980441617049</v>
      </c>
      <c r="C98" s="1">
        <f t="shared" si="3"/>
        <v>0.10142647592900544</v>
      </c>
    </row>
    <row r="99" spans="1:3" ht="25.5" x14ac:dyDescent="0.15">
      <c r="A99" s="1">
        <v>0.83000000000000007</v>
      </c>
      <c r="B99" s="1">
        <f t="shared" si="2"/>
        <v>27.419491216820362</v>
      </c>
      <c r="C99" s="1">
        <f t="shared" si="3"/>
        <v>9.4054105540209765E-2</v>
      </c>
    </row>
    <row r="100" spans="1:3" ht="25.5" x14ac:dyDescent="0.15">
      <c r="A100" s="1">
        <v>0.84000000000000008</v>
      </c>
      <c r="B100" s="1">
        <f t="shared" si="2"/>
        <v>27.638222014623544</v>
      </c>
      <c r="C100" s="1">
        <f t="shared" si="3"/>
        <v>8.7169232935680907E-2</v>
      </c>
    </row>
    <row r="101" spans="1:3" ht="25.5" x14ac:dyDescent="0.15">
      <c r="A101" s="1">
        <v>0.85</v>
      </c>
      <c r="B101" s="1">
        <f t="shared" si="2"/>
        <v>27.855166963856256</v>
      </c>
      <c r="C101" s="1">
        <f t="shared" si="3"/>
        <v>8.0743425190046403E-2</v>
      </c>
    </row>
    <row r="102" spans="1:3" ht="25.5" x14ac:dyDescent="0.15">
      <c r="A102" s="1">
        <v>0.86</v>
      </c>
      <c r="B102" s="1">
        <f t="shared" si="2"/>
        <v>28.070321346469456</v>
      </c>
      <c r="C102" s="1">
        <f t="shared" si="3"/>
        <v>7.4749626992397511E-2</v>
      </c>
    </row>
    <row r="103" spans="1:3" ht="25.5" x14ac:dyDescent="0.15">
      <c r="A103" s="1">
        <v>0.87</v>
      </c>
      <c r="B103" s="1">
        <f t="shared" si="2"/>
        <v>28.283681552457498</v>
      </c>
      <c r="C103" s="1">
        <f t="shared" si="3"/>
        <v>6.9162113334726272E-2</v>
      </c>
    </row>
    <row r="104" spans="1:3" ht="25.5" x14ac:dyDescent="0.15">
      <c r="A104" s="1">
        <v>0.88</v>
      </c>
      <c r="B104" s="1">
        <f t="shared" si="2"/>
        <v>28.495245035092385</v>
      </c>
      <c r="C104" s="1">
        <f t="shared" si="3"/>
        <v>6.3956442534621072E-2</v>
      </c>
    </row>
    <row r="105" spans="1:3" ht="25.5" x14ac:dyDescent="0.15">
      <c r="A105" s="1">
        <v>0.89</v>
      </c>
      <c r="B105" s="1">
        <f t="shared" si="2"/>
        <v>28.705010266563079</v>
      </c>
      <c r="C105" s="1">
        <f t="shared" si="3"/>
        <v>5.9109409685047243E-2</v>
      </c>
    </row>
    <row r="106" spans="1:3" ht="25.5" x14ac:dyDescent="0.15">
      <c r="A106" s="1">
        <v>0.9</v>
      </c>
      <c r="B106" s="1">
        <f t="shared" si="2"/>
        <v>28.912976694106511</v>
      </c>
      <c r="C106" s="1">
        <f t="shared" si="3"/>
        <v>5.45990006176586E-2</v>
      </c>
    </row>
    <row r="107" spans="1:3" ht="25.5" x14ac:dyDescent="0.15">
      <c r="A107" s="1">
        <v>0.91</v>
      </c>
      <c r="B107" s="1">
        <f t="shared" si="2"/>
        <v>29.119144696710617</v>
      </c>
      <c r="C107" s="1">
        <f t="shared" si="3"/>
        <v>5.0404346459686722E-2</v>
      </c>
    </row>
    <row r="108" spans="1:3" ht="25.5" x14ac:dyDescent="0.15">
      <c r="A108" s="1">
        <v>0.92</v>
      </c>
      <c r="B108" s="1">
        <f t="shared" si="2"/>
        <v>29.323515542463383</v>
      </c>
      <c r="C108" s="1">
        <f t="shared" si="3"/>
        <v>4.6505678858118904E-2</v>
      </c>
    </row>
    <row r="109" spans="1:3" ht="25.5" x14ac:dyDescent="0.15">
      <c r="A109" s="1">
        <v>0.93</v>
      </c>
      <c r="B109" s="1">
        <f t="shared" si="2"/>
        <v>29.526091346615384</v>
      </c>
      <c r="C109" s="1">
        <f t="shared" si="3"/>
        <v>4.2884285938636468E-2</v>
      </c>
    </row>
    <row r="110" spans="1:3" ht="25.5" x14ac:dyDescent="0.15">
      <c r="A110" s="1">
        <v>0.94000000000000006</v>
      </c>
      <c r="B110" s="1">
        <f t="shared" si="2"/>
        <v>29.726875030417549</v>
      </c>
      <c r="C110" s="1">
        <f t="shared" si="3"/>
        <v>3.952246906064244E-2</v>
      </c>
    </row>
    <row r="111" spans="1:3" ht="25.5" x14ac:dyDescent="0.15">
      <c r="A111" s="1">
        <v>0.95000000000000007</v>
      </c>
      <c r="B111" s="1">
        <f t="shared" si="2"/>
        <v>29.925870280789642</v>
      </c>
      <c r="C111" s="1">
        <f t="shared" si="3"/>
        <v>3.6403500423699386E-2</v>
      </c>
    </row>
    <row r="112" spans="1:3" ht="25.5" x14ac:dyDescent="0.15">
      <c r="A112" s="1">
        <v>0.96000000000000008</v>
      </c>
      <c r="B112" s="1">
        <f t="shared" si="2"/>
        <v>30.123081510869003</v>
      </c>
      <c r="C112" s="1">
        <f t="shared" si="3"/>
        <v>3.3511581574827393E-2</v>
      </c>
    </row>
    <row r="113" spans="1:3" ht="25.5" x14ac:dyDescent="0.15">
      <c r="A113" s="1">
        <v>0.97</v>
      </c>
      <c r="B113" s="1">
        <f t="shared" si="2"/>
        <v>30.31851382148368</v>
      </c>
      <c r="C113" s="1">
        <f t="shared" si="3"/>
        <v>3.083180286042056E-2</v>
      </c>
    </row>
    <row r="114" spans="1:3" ht="25.5" x14ac:dyDescent="0.15">
      <c r="A114" s="1">
        <v>0.98</v>
      </c>
      <c r="B114" s="1">
        <f t="shared" si="2"/>
        <v>30.512172963588242</v>
      </c>
      <c r="C114" s="1">
        <f t="shared" si="3"/>
        <v>2.8350103861012693E-2</v>
      </c>
    </row>
    <row r="115" spans="1:3" ht="25.5" x14ac:dyDescent="0.15">
      <c r="A115" s="1">
        <v>0.99</v>
      </c>
      <c r="B115" s="1">
        <f t="shared" si="2"/>
        <v>30.704065301695419</v>
      </c>
      <c r="C115" s="1">
        <f t="shared" si="3"/>
        <v>2.6053234841802109E-2</v>
      </c>
    </row>
    <row r="116" spans="1:3" ht="25.5" x14ac:dyDescent="0.15">
      <c r="A116" s="1">
        <v>1</v>
      </c>
      <c r="B116" s="1">
        <f t="shared" si="2"/>
        <v>30.894197778331716</v>
      </c>
      <c r="C116" s="1">
        <f t="shared" si="3"/>
        <v>2.3928719246719243E-2</v>
      </c>
    </row>
  </sheetData>
  <mergeCells count="1">
    <mergeCell ref="E1:J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94B15-C7CA-436B-8A03-37151E167226}">
  <dimension ref="A1:L116"/>
  <sheetViews>
    <sheetView workbookViewId="0">
      <selection activeCell="B10" sqref="A1:XFD1048576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  <c r="G13" s="3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2" t="s">
        <v>4</v>
      </c>
      <c r="B16" s="1" t="s">
        <v>0</v>
      </c>
      <c r="C16" s="1" t="s">
        <v>1</v>
      </c>
    </row>
    <row r="17" spans="1:3" ht="25.5" x14ac:dyDescent="0.15">
      <c r="A17" s="1">
        <v>0.01</v>
      </c>
      <c r="B17" s="1">
        <f>BS_call($B$1,$B$2,$B$3,A17,$B$5,$B$6)</f>
        <v>7.1626354908594898</v>
      </c>
      <c r="C17" s="1">
        <f>BS_put($B$1,$B$2,$B$3,A17,$B$5,$B$6)</f>
        <v>8.1233115479235103</v>
      </c>
    </row>
    <row r="18" spans="1:3" ht="25.5" x14ac:dyDescent="0.15">
      <c r="A18" s="1">
        <v>0.02</v>
      </c>
      <c r="B18" s="1">
        <f t="shared" ref="B18:B81" si="0">BS_call($B$1,$B$2,$B$3,A18,$B$5,$B$6)</f>
        <v>6.8909348424246346</v>
      </c>
      <c r="C18" s="1">
        <f t="shared" ref="C18:C81" si="1">BS_put($B$1,$B$2,$B$3,A18,$B$5,$B$6)</f>
        <v>8.3441689216092954</v>
      </c>
    </row>
    <row r="19" spans="1:3" ht="25.5" x14ac:dyDescent="0.15">
      <c r="A19" s="1">
        <v>0.03</v>
      </c>
      <c r="B19" s="1">
        <f t="shared" si="0"/>
        <v>6.6269537370189298</v>
      </c>
      <c r="C19" s="1">
        <f t="shared" si="1"/>
        <v>8.5678448041159427</v>
      </c>
    </row>
    <row r="20" spans="1:3" ht="25.5" x14ac:dyDescent="0.15">
      <c r="A20" s="1">
        <v>0.04</v>
      </c>
      <c r="B20" s="1">
        <f t="shared" si="0"/>
        <v>6.3705788492402888</v>
      </c>
      <c r="C20" s="1">
        <f t="shared" si="1"/>
        <v>8.7942746361465574</v>
      </c>
    </row>
    <row r="21" spans="1:3" ht="25.5" x14ac:dyDescent="0.15">
      <c r="A21" s="1">
        <v>0.05</v>
      </c>
      <c r="B21" s="1">
        <f t="shared" si="0"/>
        <v>6.1216949168995995</v>
      </c>
      <c r="C21" s="1">
        <f t="shared" si="1"/>
        <v>9.0233914363863228</v>
      </c>
    </row>
    <row r="22" spans="1:3" ht="25.5" x14ac:dyDescent="0.15">
      <c r="A22" s="1">
        <v>6.0000000000000005E-2</v>
      </c>
      <c r="B22" s="1">
        <f t="shared" si="0"/>
        <v>5.8801848377639629</v>
      </c>
      <c r="C22" s="1">
        <f t="shared" si="1"/>
        <v>9.255125903073953</v>
      </c>
    </row>
    <row r="23" spans="1:3" ht="25.5" x14ac:dyDescent="0.15">
      <c r="A23" s="1">
        <v>6.9999999999999993E-2</v>
      </c>
      <c r="B23" s="1">
        <f t="shared" si="0"/>
        <v>5.645929770707113</v>
      </c>
      <c r="C23" s="1">
        <f t="shared" si="1"/>
        <v>9.4894065199321318</v>
      </c>
    </row>
    <row r="24" spans="1:3" ht="25.5" x14ac:dyDescent="0.15">
      <c r="A24" s="1">
        <v>0.08</v>
      </c>
      <c r="B24" s="1">
        <f t="shared" si="0"/>
        <v>5.4188092409546087</v>
      </c>
      <c r="C24" s="1">
        <f t="shared" si="1"/>
        <v>9.7261596661452465</v>
      </c>
    </row>
    <row r="25" spans="1:3" ht="25.5" x14ac:dyDescent="0.15">
      <c r="A25" s="1">
        <v>0.09</v>
      </c>
      <c r="B25" s="1">
        <f t="shared" si="0"/>
        <v>5.1987012490998943</v>
      </c>
      <c r="C25" s="1">
        <f t="shared" si="1"/>
        <v>9.9653097300609055</v>
      </c>
    </row>
    <row r="26" spans="1:3" ht="25.5" x14ac:dyDescent="0.15">
      <c r="A26" s="1">
        <v>9.9999999999999992E-2</v>
      </c>
      <c r="B26" s="1">
        <f t="shared" si="0"/>
        <v>4.9854823835570823</v>
      </c>
      <c r="C26" s="1">
        <f t="shared" si="1"/>
        <v>10.206779226281522</v>
      </c>
    </row>
    <row r="27" spans="1:3" ht="25.5" x14ac:dyDescent="0.15">
      <c r="A27" s="1">
        <v>0.11</v>
      </c>
      <c r="B27" s="1">
        <f t="shared" si="0"/>
        <v>4.7790279361075356</v>
      </c>
      <c r="C27" s="1">
        <f t="shared" si="1"/>
        <v>10.450488915803547</v>
      </c>
    </row>
    <row r="28" spans="1:3" ht="25.5" x14ac:dyDescent="0.15">
      <c r="A28" s="1">
        <v>0.12</v>
      </c>
      <c r="B28" s="1">
        <f t="shared" si="0"/>
        <v>4.5792120201900932</v>
      </c>
      <c r="C28" s="1">
        <f t="shared" si="1"/>
        <v>10.696357928854638</v>
      </c>
    </row>
    <row r="29" spans="1:3" ht="25.5" x14ac:dyDescent="0.15">
      <c r="A29" s="1">
        <v>0.13</v>
      </c>
      <c r="B29" s="1">
        <f t="shared" si="0"/>
        <v>4.3859076915787387</v>
      </c>
      <c r="C29" s="1">
        <f t="shared" si="1"/>
        <v>10.944303890073101</v>
      </c>
    </row>
    <row r="30" spans="1:3" ht="25.5" x14ac:dyDescent="0.15">
      <c r="A30" s="1">
        <v>0.14000000000000001</v>
      </c>
      <c r="B30" s="1">
        <f t="shared" si="0"/>
        <v>4.1989870710874762</v>
      </c>
      <c r="C30" s="1">
        <f t="shared" si="1"/>
        <v>11.194243045669602</v>
      </c>
    </row>
    <row r="31" spans="1:3" ht="25.5" x14ac:dyDescent="0.15">
      <c r="A31" s="1">
        <v>0.15000000000000002</v>
      </c>
      <c r="B31" s="1">
        <f t="shared" si="0"/>
        <v>4.0183214689389413</v>
      </c>
      <c r="C31" s="1">
        <f t="shared" si="1"/>
        <v>11.446090392208475</v>
      </c>
    </row>
    <row r="32" spans="1:3" ht="25.5" x14ac:dyDescent="0.15">
      <c r="A32" s="1">
        <v>0.16</v>
      </c>
      <c r="B32" s="1">
        <f t="shared" si="0"/>
        <v>3.8437815104323807</v>
      </c>
      <c r="C32" s="1">
        <f t="shared" si="1"/>
        <v>11.699759806644238</v>
      </c>
    </row>
    <row r="33" spans="1:3" ht="25.5" x14ac:dyDescent="0.15">
      <c r="A33" s="1">
        <v>0.17</v>
      </c>
      <c r="B33" s="1">
        <f t="shared" si="0"/>
        <v>3.6752372625461796</v>
      </c>
      <c r="C33" s="1">
        <f t="shared" si="1"/>
        <v>11.955164177249415</v>
      </c>
    </row>
    <row r="34" spans="1:3" ht="25.5" x14ac:dyDescent="0.15">
      <c r="A34" s="1">
        <v>0.18000000000000002</v>
      </c>
      <c r="B34" s="1">
        <f t="shared" si="0"/>
        <v>3.5125583611122302</v>
      </c>
      <c r="C34" s="1">
        <f t="shared" si="1"/>
        <v>12.212215535071056</v>
      </c>
    </row>
    <row r="35" spans="1:3" ht="25.5" x14ac:dyDescent="0.15">
      <c r="A35" s="1">
        <v>0.19</v>
      </c>
      <c r="B35" s="1">
        <f t="shared" si="0"/>
        <v>3.3556141382021476</v>
      </c>
      <c r="C35" s="1">
        <f t="shared" si="1"/>
        <v>12.470825185556453</v>
      </c>
    </row>
    <row r="36" spans="1:3" ht="25.5" x14ac:dyDescent="0.15">
      <c r="A36" s="1">
        <v>0.2</v>
      </c>
      <c r="B36" s="1">
        <f t="shared" si="0"/>
        <v>3.2042737493697331</v>
      </c>
      <c r="C36" s="1">
        <f t="shared" si="1"/>
        <v>12.730903839993061</v>
      </c>
    </row>
    <row r="37" spans="1:3" ht="25.5" x14ac:dyDescent="0.15">
      <c r="A37" s="1">
        <v>0.21000000000000002</v>
      </c>
      <c r="B37" s="1">
        <f t="shared" si="0"/>
        <v>3.0584063004000512</v>
      </c>
      <c r="C37" s="1">
        <f t="shared" si="1"/>
        <v>12.99236174641311</v>
      </c>
    </row>
    <row r="38" spans="1:3" ht="25.5" x14ac:dyDescent="0.15">
      <c r="A38" s="1">
        <v>0.22</v>
      </c>
      <c r="B38" s="1">
        <f t="shared" si="0"/>
        <v>2.9178809732223954</v>
      </c>
      <c r="C38" s="1">
        <f t="shared" si="1"/>
        <v>13.25510881962089</v>
      </c>
    </row>
    <row r="39" spans="1:3" ht="25.5" x14ac:dyDescent="0.15">
      <c r="A39" s="1">
        <v>0.23</v>
      </c>
      <c r="B39" s="1">
        <f t="shared" si="0"/>
        <v>2.7825671506527687</v>
      </c>
      <c r="C39" s="1">
        <f t="shared" si="1"/>
        <v>13.519054770008484</v>
      </c>
    </row>
    <row r="40" spans="1:3" ht="25.5" x14ac:dyDescent="0.15">
      <c r="A40" s="1">
        <v>0.24000000000000002</v>
      </c>
      <c r="B40" s="1">
        <f t="shared" si="0"/>
        <v>2.6523345396411155</v>
      </c>
      <c r="C40" s="1">
        <f t="shared" si="1"/>
        <v>13.784109230835874</v>
      </c>
    </row>
    <row r="41" spans="1:3" ht="25.5" x14ac:dyDescent="0.15">
      <c r="A41" s="1">
        <v>0.25</v>
      </c>
      <c r="B41" s="1">
        <f t="shared" si="0"/>
        <v>2.5270532927092013</v>
      </c>
      <c r="C41" s="1">
        <f t="shared" si="1"/>
        <v>14.050181883661374</v>
      </c>
    </row>
    <row r="42" spans="1:3" ht="25.5" x14ac:dyDescent="0.15">
      <c r="A42" s="1">
        <v>0.26</v>
      </c>
      <c r="B42" s="1">
        <f t="shared" si="0"/>
        <v>2.4065941272766143</v>
      </c>
      <c r="C42" s="1">
        <f t="shared" si="1"/>
        <v>14.317182581620717</v>
      </c>
    </row>
    <row r="43" spans="1:3" ht="25.5" x14ac:dyDescent="0.15">
      <c r="A43" s="1">
        <v>0.27</v>
      </c>
      <c r="B43" s="1">
        <f t="shared" si="0"/>
        <v>2.2908284425853047</v>
      </c>
      <c r="C43" s="1">
        <f t="shared" si="1"/>
        <v>14.585021470265072</v>
      </c>
    </row>
    <row r="44" spans="1:3" ht="25.5" x14ac:dyDescent="0.15">
      <c r="A44" s="1">
        <v>0.28000000000000003</v>
      </c>
      <c r="B44" s="1">
        <f t="shared" si="0"/>
        <v>2.1796284339465277</v>
      </c>
      <c r="C44" s="1">
        <f t="shared" si="1"/>
        <v>14.853609105682676</v>
      </c>
    </row>
    <row r="45" spans="1:3" ht="25.5" x14ac:dyDescent="0.15">
      <c r="A45" s="1">
        <v>0.29000000000000004</v>
      </c>
      <c r="B45" s="1">
        <f t="shared" si="0"/>
        <v>2.0728672040485456</v>
      </c>
      <c r="C45" s="1">
        <f t="shared" si="1"/>
        <v>15.12285656964271</v>
      </c>
    </row>
    <row r="46" spans="1:3" ht="25.5" x14ac:dyDescent="0.15">
      <c r="A46" s="1">
        <v>0.3</v>
      </c>
      <c r="B46" s="1">
        <f t="shared" si="0"/>
        <v>1.9704188710787349</v>
      </c>
      <c r="C46" s="1">
        <f t="shared" si="1"/>
        <v>15.392675581515263</v>
      </c>
    </row>
    <row r="47" spans="1:3" ht="25.5" x14ac:dyDescent="0.15">
      <c r="A47" s="1">
        <v>0.31</v>
      </c>
      <c r="B47" s="1">
        <f t="shared" si="0"/>
        <v>1.872158673429448</v>
      </c>
      <c r="C47" s="1">
        <f t="shared" si="1"/>
        <v>15.662978606737404</v>
      </c>
    </row>
    <row r="48" spans="1:3" ht="25.5" x14ac:dyDescent="0.15">
      <c r="A48" s="1">
        <v>0.32</v>
      </c>
      <c r="B48" s="1">
        <f t="shared" si="0"/>
        <v>1.7779630707735157</v>
      </c>
      <c r="C48" s="1">
        <f t="shared" si="1"/>
        <v>15.933678961611388</v>
      </c>
    </row>
    <row r="49" spans="1:3" ht="25.5" x14ac:dyDescent="0.15">
      <c r="A49" s="1">
        <v>0.33</v>
      </c>
      <c r="B49" s="1">
        <f t="shared" si="0"/>
        <v>1.6877098413121727</v>
      </c>
      <c r="C49" s="1">
        <f t="shared" si="1"/>
        <v>16.204690914238284</v>
      </c>
    </row>
    <row r="50" spans="1:3" ht="25.5" x14ac:dyDescent="0.15">
      <c r="A50" s="1">
        <v>0.34</v>
      </c>
      <c r="B50" s="1">
        <f t="shared" si="0"/>
        <v>1.601278175015354</v>
      </c>
      <c r="C50" s="1">
        <f t="shared" si="1"/>
        <v>16.475929781407292</v>
      </c>
    </row>
    <row r="51" spans="1:3" ht="25.5" x14ac:dyDescent="0.15">
      <c r="A51" s="1">
        <v>0.35000000000000003</v>
      </c>
      <c r="B51" s="1">
        <f t="shared" si="0"/>
        <v>1.5185487626921299</v>
      </c>
      <c r="C51" s="1">
        <f t="shared" si="1"/>
        <v>16.74731202127888</v>
      </c>
    </row>
    <row r="52" spans="1:3" ht="25.5" x14ac:dyDescent="0.15">
      <c r="A52" s="1">
        <v>0.36000000000000004</v>
      </c>
      <c r="B52" s="1">
        <f t="shared" si="0"/>
        <v>1.4394038807466423</v>
      </c>
      <c r="C52" s="1">
        <f t="shared" si="1"/>
        <v>17.018755321717514</v>
      </c>
    </row>
    <row r="53" spans="1:3" ht="25.5" x14ac:dyDescent="0.15">
      <c r="A53" s="1">
        <v>0.37</v>
      </c>
      <c r="B53" s="1">
        <f t="shared" si="0"/>
        <v>1.3637274714929593</v>
      </c>
      <c r="C53" s="1">
        <f t="shared" si="1"/>
        <v>17.290178684147651</v>
      </c>
    </row>
    <row r="54" spans="1:3" ht="25.5" x14ac:dyDescent="0.15">
      <c r="A54" s="1">
        <v>0.38</v>
      </c>
      <c r="B54" s="1">
        <f t="shared" si="0"/>
        <v>1.2914052189202065</v>
      </c>
      <c r="C54" s="1">
        <f t="shared" si="1"/>
        <v>17.56150250282484</v>
      </c>
    </row>
    <row r="55" spans="1:3" ht="25.5" x14ac:dyDescent="0.15">
      <c r="A55" s="1">
        <v>0.39</v>
      </c>
      <c r="B55" s="1">
        <f t="shared" si="0"/>
        <v>1.222324619817261</v>
      </c>
      <c r="C55" s="1">
        <f t="shared" si="1"/>
        <v>17.832648639431447</v>
      </c>
    </row>
    <row r="56" spans="1:3" ht="25.5" x14ac:dyDescent="0.15">
      <c r="A56" s="1">
        <v>0.4</v>
      </c>
      <c r="B56" s="1">
        <f t="shared" si="0"/>
        <v>1.1563750501840566</v>
      </c>
      <c r="C56" s="1">
        <f t="shared" si="1"/>
        <v>18.103540492924516</v>
      </c>
    </row>
    <row r="57" spans="1:3" ht="25.5" x14ac:dyDescent="0.15">
      <c r="A57" s="1">
        <v>0.41000000000000003</v>
      </c>
      <c r="B57" s="1">
        <f t="shared" si="0"/>
        <v>1.0934478268742689</v>
      </c>
      <c r="C57" s="1">
        <f t="shared" si="1"/>
        <v>18.374103064580719</v>
      </c>
    </row>
    <row r="58" spans="1:3" ht="25.5" x14ac:dyDescent="0.15">
      <c r="A58" s="1">
        <v>0.42000000000000004</v>
      </c>
      <c r="B58" s="1">
        <f t="shared" si="0"/>
        <v>1.0334362644312218</v>
      </c>
      <c r="C58" s="1">
        <f t="shared" si="1"/>
        <v>18.644263018200807</v>
      </c>
    </row>
    <row r="59" spans="1:3" ht="25.5" x14ac:dyDescent="0.15">
      <c r="A59" s="1">
        <v>0.43</v>
      </c>
      <c r="B59" s="1">
        <f t="shared" si="0"/>
        <v>0.97623572709610684</v>
      </c>
      <c r="C59" s="1">
        <f t="shared" si="1"/>
        <v>18.913948735452703</v>
      </c>
    </row>
    <row r="60" spans="1:3" ht="25.5" x14ac:dyDescent="0.15">
      <c r="A60" s="1">
        <v>0.44</v>
      </c>
      <c r="B60" s="1">
        <f t="shared" si="0"/>
        <v>0.9217436759839277</v>
      </c>
      <c r="C60" s="1">
        <f t="shared" si="1"/>
        <v>19.183090366349273</v>
      </c>
    </row>
    <row r="61" spans="1:3" ht="25.5" x14ac:dyDescent="0.15">
      <c r="A61" s="1">
        <v>0.45</v>
      </c>
      <c r="B61" s="1">
        <f t="shared" si="0"/>
        <v>0.86985971143868923</v>
      </c>
      <c r="C61" s="1">
        <f t="shared" si="1"/>
        <v>19.451619874872449</v>
      </c>
    </row>
    <row r="62" spans="1:3" ht="25.5" x14ac:dyDescent="0.15">
      <c r="A62" s="1">
        <v>0.46</v>
      </c>
      <c r="B62" s="1">
        <f t="shared" si="0"/>
        <v>0.82048561059497827</v>
      </c>
      <c r="C62" s="1">
        <f t="shared" si="1"/>
        <v>19.7194710797711</v>
      </c>
    </row>
    <row r="63" spans="1:3" ht="25.5" x14ac:dyDescent="0.15">
      <c r="A63" s="1">
        <v>0.47000000000000003</v>
      </c>
      <c r="B63" s="1">
        <f t="shared" si="0"/>
        <v>0.77352536018775142</v>
      </c>
      <c r="C63" s="1">
        <f t="shared" si="1"/>
        <v>19.986579690575137</v>
      </c>
    </row>
    <row r="64" spans="1:3" ht="25.5" x14ac:dyDescent="0.15">
      <c r="A64" s="1">
        <v>0.48000000000000004</v>
      </c>
      <c r="B64" s="1">
        <f t="shared" si="0"/>
        <v>0.72888518466672858</v>
      </c>
      <c r="C64" s="1">
        <f t="shared" si="1"/>
        <v>20.252883338882111</v>
      </c>
    </row>
    <row r="65" spans="1:3" ht="25.5" x14ac:dyDescent="0.15">
      <c r="A65" s="1">
        <v>0.49</v>
      </c>
      <c r="B65" s="1">
        <f t="shared" si="0"/>
        <v>0.68647356968506168</v>
      </c>
      <c r="C65" s="1">
        <f t="shared" si="1"/>
        <v>20.518321604986678</v>
      </c>
    </row>
    <row r="66" spans="1:3" ht="25.5" x14ac:dyDescent="0.15">
      <c r="A66" s="1">
        <v>0.5</v>
      </c>
      <c r="B66" s="1">
        <f t="shared" si="0"/>
        <v>0.64620128104500019</v>
      </c>
      <c r="C66" s="1">
        <f t="shared" si="1"/>
        <v>20.782836039935749</v>
      </c>
    </row>
    <row r="67" spans="1:3" ht="25.5" x14ac:dyDescent="0.15">
      <c r="A67" s="1">
        <v>0.51</v>
      </c>
      <c r="B67" s="1">
        <f t="shared" si="0"/>
        <v>0.6079813791952744</v>
      </c>
      <c r="C67" s="1">
        <f t="shared" si="1"/>
        <v>21.046370183104408</v>
      </c>
    </row>
    <row r="68" spans="1:3" ht="25.5" x14ac:dyDescent="0.15">
      <c r="A68" s="1">
        <v>0.52</v>
      </c>
      <c r="B68" s="1">
        <f t="shared" si="0"/>
        <v>0.57172922938620818</v>
      </c>
      <c r="C68" s="1">
        <f t="shared" si="1"/>
        <v>21.308869575398909</v>
      </c>
    </row>
    <row r="69" spans="1:3" ht="25.5" x14ac:dyDescent="0.15">
      <c r="A69" s="1">
        <v>0.53</v>
      </c>
      <c r="B69" s="1">
        <f t="shared" si="0"/>
        <v>0.53736250759906712</v>
      </c>
      <c r="C69" s="1">
        <f t="shared" si="1"/>
        <v>21.570281768203735</v>
      </c>
    </row>
    <row r="70" spans="1:3" ht="25.5" x14ac:dyDescent="0.15">
      <c r="A70" s="1">
        <v>0.54</v>
      </c>
      <c r="B70" s="1">
        <f t="shared" si="0"/>
        <v>0.50480120237576287</v>
      </c>
      <c r="C70" s="1">
        <f t="shared" si="1"/>
        <v>21.830556328198703</v>
      </c>
    </row>
    <row r="71" spans="1:3" ht="25.5" x14ac:dyDescent="0.15">
      <c r="A71" s="1">
        <v>0.55000000000000004</v>
      </c>
      <c r="B71" s="1">
        <f t="shared" si="0"/>
        <v>0.47396761268383347</v>
      </c>
      <c r="C71" s="1">
        <f t="shared" si="1"/>
        <v>22.089644838181922</v>
      </c>
    </row>
    <row r="72" spans="1:3" ht="25.5" x14ac:dyDescent="0.15">
      <c r="A72" s="1">
        <v>0.56000000000000005</v>
      </c>
      <c r="B72" s="1">
        <f t="shared" si="0"/>
        <v>0.44478634195954836</v>
      </c>
      <c r="C72" s="1">
        <f t="shared" si="1"/>
        <v>22.347500894041229</v>
      </c>
    </row>
    <row r="73" spans="1:3" ht="25.5" x14ac:dyDescent="0.15">
      <c r="A73" s="1">
        <v>0.57000000000000006</v>
      </c>
      <c r="B73" s="1">
        <f t="shared" si="0"/>
        <v>0.41718428847906353</v>
      </c>
      <c r="C73" s="1">
        <f t="shared" si="1"/>
        <v>22.604080098024632</v>
      </c>
    </row>
    <row r="74" spans="1:3" ht="25.5" x14ac:dyDescent="0.15">
      <c r="A74" s="1">
        <v>0.58000000000000007</v>
      </c>
      <c r="B74" s="1">
        <f t="shared" si="0"/>
        <v>0.39109063221374685</v>
      </c>
      <c r="C74" s="1">
        <f t="shared" si="1"/>
        <v>22.85934004846607</v>
      </c>
    </row>
    <row r="75" spans="1:3" ht="25.5" x14ac:dyDescent="0.15">
      <c r="A75" s="1">
        <v>0.59</v>
      </c>
      <c r="B75" s="1">
        <f t="shared" si="0"/>
        <v>0.36643681833116482</v>
      </c>
      <c r="C75" s="1">
        <f t="shared" si="1"/>
        <v>23.113240326128231</v>
      </c>
    </row>
    <row r="76" spans="1:3" ht="25.5" x14ac:dyDescent="0.15">
      <c r="A76" s="1">
        <v>0.6</v>
      </c>
      <c r="B76" s="1">
        <f t="shared" si="0"/>
        <v>0.34315653750772523</v>
      </c>
      <c r="C76" s="1">
        <f t="shared" si="1"/>
        <v>23.365742477328823</v>
      </c>
    </row>
    <row r="77" spans="1:3" ht="25.5" x14ac:dyDescent="0.15">
      <c r="A77" s="1">
        <v>0.61</v>
      </c>
      <c r="B77" s="1">
        <f t="shared" si="0"/>
        <v>0.32118570322266882</v>
      </c>
      <c r="C77" s="1">
        <f t="shared" si="1"/>
        <v>23.616809994020095</v>
      </c>
    </row>
    <row r="78" spans="1:3" ht="25.5" x14ac:dyDescent="0.15">
      <c r="A78" s="1">
        <v>0.62</v>
      </c>
      <c r="B78" s="1">
        <f t="shared" si="0"/>
        <v>0.30046242620593144</v>
      </c>
      <c r="C78" s="1">
        <f t="shared" si="1"/>
        <v>23.866408290994627</v>
      </c>
    </row>
    <row r="79" spans="1:3" ht="25.5" x14ac:dyDescent="0.15">
      <c r="A79" s="1">
        <v>0.63</v>
      </c>
      <c r="B79" s="1">
        <f t="shared" si="0"/>
        <v>0.28092698621452139</v>
      </c>
      <c r="C79" s="1">
        <f t="shared" si="1"/>
        <v>24.114504680392084</v>
      </c>
    </row>
    <row r="80" spans="1:3" ht="25.5" x14ac:dyDescent="0.15">
      <c r="A80" s="1">
        <v>0.64</v>
      </c>
      <c r="B80" s="1">
        <f t="shared" si="0"/>
        <v>0.26252180131334035</v>
      </c>
      <c r="C80" s="1">
        <f t="shared" si="1"/>
        <v>24.361068343683336</v>
      </c>
    </row>
    <row r="81" spans="1:3" ht="25.5" x14ac:dyDescent="0.15">
      <c r="A81" s="1">
        <v>0.65</v>
      </c>
      <c r="B81" s="1">
        <f t="shared" si="0"/>
        <v>0.24519139483694286</v>
      </c>
      <c r="C81" s="1">
        <f t="shared" si="1"/>
        <v>24.606070301308563</v>
      </c>
    </row>
    <row r="82" spans="1:3" ht="25.5" x14ac:dyDescent="0.15">
      <c r="A82" s="1">
        <v>0.66</v>
      </c>
      <c r="B82" s="1">
        <f t="shared" ref="B82:B116" si="2">BS_call($B$1,$B$2,$B$3,A82,$B$5,$B$6)</f>
        <v>0.2288823602085639</v>
      </c>
      <c r="C82" s="1">
        <f t="shared" ref="C82:C116" si="3">BS_put($B$1,$B$2,$B$3,A82,$B$5,$B$6)</f>
        <v>24.84948338014603</v>
      </c>
    </row>
    <row r="83" spans="1:3" ht="25.5" x14ac:dyDescent="0.15">
      <c r="A83" s="1">
        <v>0.67</v>
      </c>
      <c r="B83" s="1">
        <f t="shared" si="2"/>
        <v>0.21354332379201435</v>
      </c>
      <c r="C83" s="1">
        <f t="shared" si="3"/>
        <v>25.09128217898731</v>
      </c>
    </row>
    <row r="84" spans="1:3" ht="25.5" x14ac:dyDescent="0.15">
      <c r="A84" s="1">
        <v>0.68</v>
      </c>
      <c r="B84" s="1">
        <f t="shared" si="2"/>
        <v>0.19912490595042542</v>
      </c>
      <c r="C84" s="1">
        <f t="shared" si="3"/>
        <v>25.331443032193377</v>
      </c>
    </row>
    <row r="85" spans="1:3" ht="25.5" x14ac:dyDescent="0.15">
      <c r="A85" s="1">
        <v>0.69000000000000006</v>
      </c>
      <c r="B85" s="1">
        <f t="shared" si="2"/>
        <v>0.1855796804839005</v>
      </c>
      <c r="C85" s="1">
        <f t="shared" si="3"/>
        <v>25.569943971703555</v>
      </c>
    </row>
    <row r="86" spans="1:3" ht="25.5" x14ac:dyDescent="0.15">
      <c r="A86" s="1">
        <v>0.70000000000000007</v>
      </c>
      <c r="B86" s="1">
        <f t="shared" si="2"/>
        <v>0.17286213261538652</v>
      </c>
      <c r="C86" s="1">
        <f t="shared" si="3"/>
        <v>25.80676468756733</v>
      </c>
    </row>
    <row r="87" spans="1:3" ht="25.5" x14ac:dyDescent="0.15">
      <c r="A87" s="1">
        <v>0.71000000000000008</v>
      </c>
      <c r="B87" s="1">
        <f t="shared" si="2"/>
        <v>0.16092861569095207</v>
      </c>
      <c r="C87" s="1">
        <f t="shared" si="3"/>
        <v>26.041886487165122</v>
      </c>
    </row>
    <row r="88" spans="1:3" ht="25.5" x14ac:dyDescent="0.15">
      <c r="A88" s="1">
        <v>0.72</v>
      </c>
      <c r="B88" s="1">
        <f t="shared" si="2"/>
        <v>0.14973730675696073</v>
      </c>
      <c r="C88" s="1">
        <f t="shared" si="3"/>
        <v>26.275292253280803</v>
      </c>
    </row>
    <row r="89" spans="1:3" ht="25.5" x14ac:dyDescent="0.15">
      <c r="A89" s="1">
        <v>0.73</v>
      </c>
      <c r="B89" s="1">
        <f t="shared" si="2"/>
        <v>0.13924816117255157</v>
      </c>
      <c r="C89" s="1">
        <f t="shared" si="3"/>
        <v>26.506966401184854</v>
      </c>
    </row>
    <row r="90" spans="1:3" ht="25.5" x14ac:dyDescent="0.15">
      <c r="A90" s="1">
        <v>0.74</v>
      </c>
      <c r="B90" s="1">
        <f t="shared" si="2"/>
        <v>0.12942286641123557</v>
      </c>
      <c r="C90" s="1">
        <f t="shared" si="3"/>
        <v>26.736894834881937</v>
      </c>
    </row>
    <row r="91" spans="1:3" ht="25.5" x14ac:dyDescent="0.15">
      <c r="A91" s="1">
        <v>0.75</v>
      </c>
      <c r="B91" s="1">
        <f t="shared" si="2"/>
        <v>0.12022479520061558</v>
      </c>
      <c r="C91" s="1">
        <f t="shared" si="3"/>
        <v>26.965064902672307</v>
      </c>
    </row>
    <row r="92" spans="1:3" ht="25.5" x14ac:dyDescent="0.15">
      <c r="A92" s="1">
        <v>0.76</v>
      </c>
      <c r="B92" s="1">
        <f t="shared" si="2"/>
        <v>0.11161895814391054</v>
      </c>
      <c r="C92" s="1">
        <f t="shared" si="3"/>
        <v>27.191465352170869</v>
      </c>
    </row>
    <row r="93" spans="1:3" ht="25.5" x14ac:dyDescent="0.15">
      <c r="A93" s="1">
        <v>0.77</v>
      </c>
      <c r="B93" s="1">
        <f t="shared" si="2"/>
        <v>0.10357195596151891</v>
      </c>
      <c r="C93" s="1">
        <f t="shared" si="3"/>
        <v>27.416086284922539</v>
      </c>
    </row>
    <row r="94" spans="1:3" ht="25.5" x14ac:dyDescent="0.15">
      <c r="A94" s="1">
        <v>0.78</v>
      </c>
      <c r="B94" s="1">
        <f t="shared" si="2"/>
        <v>9.6051931485055086E-2</v>
      </c>
      <c r="C94" s="1">
        <f t="shared" si="3"/>
        <v>27.638919110746297</v>
      </c>
    </row>
    <row r="95" spans="1:3" ht="25.5" x14ac:dyDescent="0.15">
      <c r="A95" s="1">
        <v>0.79</v>
      </c>
      <c r="B95" s="1">
        <f t="shared" si="2"/>
        <v>8.9028521530324367E-2</v>
      </c>
      <c r="C95" s="1">
        <f t="shared" si="3"/>
        <v>27.859956501934956</v>
      </c>
    </row>
    <row r="96" spans="1:3" ht="25.5" x14ac:dyDescent="0.15">
      <c r="A96" s="1">
        <v>0.8</v>
      </c>
      <c r="B96" s="1">
        <f t="shared" si="2"/>
        <v>8.2472808769548211E-2</v>
      </c>
      <c r="C96" s="1">
        <f t="shared" si="3"/>
        <v>28.079192347430894</v>
      </c>
    </row>
    <row r="97" spans="1:3" ht="25.5" x14ac:dyDescent="0.15">
      <c r="A97" s="1">
        <v>0.81</v>
      </c>
      <c r="B97" s="1">
        <f t="shared" si="2"/>
        <v>7.6357273716892049E-2</v>
      </c>
      <c r="C97" s="1">
        <f t="shared" si="3"/>
        <v>28.296621707092253</v>
      </c>
    </row>
    <row r="98" spans="1:3" ht="25.5" x14ac:dyDescent="0.15">
      <c r="A98" s="1">
        <v>0.82000000000000006</v>
      </c>
      <c r="B98" s="1">
        <f t="shared" si="2"/>
        <v>7.0655746934929597E-2</v>
      </c>
      <c r="C98" s="1">
        <f t="shared" si="3"/>
        <v>28.51224076615739</v>
      </c>
    </row>
    <row r="99" spans="1:3" ht="25.5" x14ac:dyDescent="0.15">
      <c r="A99" s="1">
        <v>0.83000000000000007</v>
      </c>
      <c r="B99" s="1">
        <f t="shared" si="2"/>
        <v>6.5343361563255487E-2</v>
      </c>
      <c r="C99" s="1">
        <f t="shared" si="3"/>
        <v>28.726046790008901</v>
      </c>
    </row>
    <row r="100" spans="1:3" ht="25.5" x14ac:dyDescent="0.15">
      <c r="A100" s="1">
        <v>0.84000000000000008</v>
      </c>
      <c r="B100" s="1">
        <f t="shared" si="2"/>
        <v>6.0396506263971528E-2</v>
      </c>
      <c r="C100" s="1">
        <f t="shared" si="3"/>
        <v>28.938038079332411</v>
      </c>
    </row>
    <row r="101" spans="1:3" ht="25.5" x14ac:dyDescent="0.15">
      <c r="A101" s="1">
        <v>0.85</v>
      </c>
      <c r="B101" s="1">
        <f t="shared" si="2"/>
        <v>5.5792778672293375E-2</v>
      </c>
      <c r="C101" s="1">
        <f t="shared" si="3"/>
        <v>29.14821392575838</v>
      </c>
    </row>
    <row r="102" spans="1:3" ht="25.5" x14ac:dyDescent="0.15">
      <c r="A102" s="1">
        <v>0.86</v>
      </c>
      <c r="B102" s="1">
        <f t="shared" si="2"/>
        <v>5.1510939434053937E-2</v>
      </c>
      <c r="C102" s="1">
        <f t="shared" si="3"/>
        <v>29.356574568069036</v>
      </c>
    </row>
    <row r="103" spans="1:3" ht="25.5" x14ac:dyDescent="0.15">
      <c r="A103" s="1">
        <v>0.87</v>
      </c>
      <c r="B103" s="1">
        <f t="shared" si="2"/>
        <v>4.7530866905504454E-2</v>
      </c>
      <c r="C103" s="1">
        <f t="shared" si="3"/>
        <v>29.563121149045983</v>
      </c>
    </row>
    <row r="104" spans="1:3" ht="25.5" x14ac:dyDescent="0.15">
      <c r="A104" s="1">
        <v>0.88</v>
      </c>
      <c r="B104" s="1">
        <f t="shared" si="2"/>
        <v>4.3833512584479095E-2</v>
      </c>
      <c r="C104" s="1">
        <f t="shared" si="3"/>
        <v>29.767855673027828</v>
      </c>
    </row>
    <row r="105" spans="1:3" ht="25.5" x14ac:dyDescent="0.15">
      <c r="A105" s="1">
        <v>0.89</v>
      </c>
      <c r="B105" s="1">
        <f t="shared" si="2"/>
        <v>4.0400857335779361E-2</v>
      </c>
      <c r="C105" s="1">
        <f t="shared" si="3"/>
        <v>29.97078096424093</v>
      </c>
    </row>
    <row r="106" spans="1:3" ht="25.5" x14ac:dyDescent="0.15">
      <c r="A106" s="1">
        <v>0.9</v>
      </c>
      <c r="B106" s="1">
        <f t="shared" si="2"/>
        <v>3.7215868467544211E-2</v>
      </c>
      <c r="C106" s="1">
        <f t="shared" si="3"/>
        <v>30.171900625960017</v>
      </c>
    </row>
    <row r="107" spans="1:3" ht="25.5" x14ac:dyDescent="0.15">
      <c r="A107" s="1">
        <v>0.91</v>
      </c>
      <c r="B107" s="1">
        <f t="shared" si="2"/>
        <v>3.426245770943287E-2</v>
      </c>
      <c r="C107" s="1">
        <f t="shared" si="3"/>
        <v>30.371219000550056</v>
      </c>
    </row>
    <row r="108" spans="1:3" ht="25.5" x14ac:dyDescent="0.15">
      <c r="A108" s="1">
        <v>0.92</v>
      </c>
      <c r="B108" s="1">
        <f t="shared" si="2"/>
        <v>3.1525440137662231E-2</v>
      </c>
      <c r="C108" s="1">
        <f t="shared" si="3"/>
        <v>30.568741130434375</v>
      </c>
    </row>
    <row r="109" spans="1:3" ht="25.5" x14ac:dyDescent="0.15">
      <c r="A109" s="1">
        <v>0.93</v>
      </c>
      <c r="B109" s="1">
        <f t="shared" si="2"/>
        <v>2.8990494086343827E-2</v>
      </c>
      <c r="C109" s="1">
        <f t="shared" si="3"/>
        <v>30.764472720028714</v>
      </c>
    </row>
    <row r="110" spans="1:3" ht="25.5" x14ac:dyDescent="0.15">
      <c r="A110" s="1">
        <v>0.94000000000000006</v>
      </c>
      <c r="B110" s="1">
        <f t="shared" si="2"/>
        <v>2.6644122079158644E-2</v>
      </c>
      <c r="C110" s="1">
        <f t="shared" si="3"/>
        <v>30.958420098675525</v>
      </c>
    </row>
    <row r="111" spans="1:3" ht="25.5" x14ac:dyDescent="0.15">
      <c r="A111" s="1">
        <v>0.95000000000000007</v>
      </c>
      <c r="B111" s="1">
        <f t="shared" si="2"/>
        <v>2.4473612810200801E-2</v>
      </c>
      <c r="C111" s="1">
        <f t="shared" si="3"/>
        <v>31.150590184607566</v>
      </c>
    </row>
    <row r="112" spans="1:3" ht="25.5" x14ac:dyDescent="0.15">
      <c r="A112" s="1">
        <v>0.96000000000000008</v>
      </c>
      <c r="B112" s="1">
        <f t="shared" si="2"/>
        <v>2.2467004197844337E-2</v>
      </c>
      <c r="C112" s="1">
        <f t="shared" si="3"/>
        <v>31.340990449964664</v>
      </c>
    </row>
    <row r="113" spans="1:3" ht="25.5" x14ac:dyDescent="0.15">
      <c r="A113" s="1">
        <v>0.97</v>
      </c>
      <c r="B113" s="1">
        <f t="shared" si="2"/>
        <v>2.0613047530718409E-2</v>
      </c>
      <c r="C113" s="1">
        <f t="shared" si="3"/>
        <v>31.529628886883202</v>
      </c>
    </row>
    <row r="114" spans="1:3" ht="25.5" x14ac:dyDescent="0.15">
      <c r="A114" s="1">
        <v>0.98</v>
      </c>
      <c r="B114" s="1">
        <f t="shared" si="2"/>
        <v>1.8901172720347914E-2</v>
      </c>
      <c r="C114" s="1">
        <f t="shared" si="3"/>
        <v>31.716513974672793</v>
      </c>
    </row>
    <row r="115" spans="1:3" ht="25.5" x14ac:dyDescent="0.15">
      <c r="A115" s="1">
        <v>0.99</v>
      </c>
      <c r="B115" s="1">
        <f t="shared" si="2"/>
        <v>1.7321454670724046E-2</v>
      </c>
      <c r="C115" s="1">
        <f t="shared" si="3"/>
        <v>31.901654648090862</v>
      </c>
    </row>
    <row r="116" spans="1:3" ht="25.5" x14ac:dyDescent="0.15">
      <c r="A116" s="1">
        <v>1</v>
      </c>
      <c r="B116" s="1">
        <f t="shared" si="2"/>
        <v>1.5864580771011272E-2</v>
      </c>
      <c r="C116" s="1">
        <f t="shared" si="3"/>
        <v>32.085060266721314</v>
      </c>
    </row>
  </sheetData>
  <mergeCells count="1">
    <mergeCell ref="E1:J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02E53-1A52-4598-8E3E-385AD9333F49}">
  <dimension ref="A1:L115"/>
  <sheetViews>
    <sheetView workbookViewId="0">
      <selection activeCell="B21" sqref="A1:XFD1048576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  <c r="G13" s="3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2" t="s">
        <v>5</v>
      </c>
      <c r="B16" s="1" t="s">
        <v>0</v>
      </c>
      <c r="C16" s="1" t="s">
        <v>1</v>
      </c>
    </row>
    <row r="17" spans="1:3" ht="25.5" x14ac:dyDescent="0.15">
      <c r="A17" s="1">
        <f>1/12</f>
        <v>8.3333333333333329E-2</v>
      </c>
      <c r="B17" s="1">
        <f>BS_call($B$1,$B$2,$B$3,$B$4,A17,$B$6)</f>
        <v>1.4451497744343875</v>
      </c>
      <c r="C17" s="1">
        <f>BS_put($B$1,$B$2,$B$3,$B$4,A17,$B$6)</f>
        <v>3.3153121391023106</v>
      </c>
    </row>
    <row r="18" spans="1:3" ht="25.5" x14ac:dyDescent="0.15">
      <c r="A18" s="1">
        <v>0.16666666633333332</v>
      </c>
      <c r="B18" s="1">
        <f t="shared" ref="B18:B81" si="0">BS_call($B$1,$B$2,$B$3,$B$4,A18,$B$6)</f>
        <v>2.3927720693592001</v>
      </c>
      <c r="C18" s="1">
        <f t="shared" ref="C18:C81" si="1">BS_put($B$1,$B$2,$B$3,$B$4,A18,$B$6)</f>
        <v>4.1334209878960912</v>
      </c>
    </row>
    <row r="19" spans="1:3" ht="25.5" x14ac:dyDescent="0.15">
      <c r="A19" s="1">
        <v>0.24999999933333333</v>
      </c>
      <c r="B19" s="1">
        <f t="shared" si="0"/>
        <v>3.1444546071174813</v>
      </c>
      <c r="C19" s="1">
        <f t="shared" si="1"/>
        <v>4.755913458744903</v>
      </c>
    </row>
    <row r="20" spans="1:3" ht="25.5" x14ac:dyDescent="0.15">
      <c r="A20" s="1">
        <v>0.33333333233333329</v>
      </c>
      <c r="B20" s="1">
        <f t="shared" si="0"/>
        <v>3.7898161488926974</v>
      </c>
      <c r="C20" s="1">
        <f t="shared" si="1"/>
        <v>5.272407505393911</v>
      </c>
    </row>
    <row r="21" spans="1:3" ht="25.5" x14ac:dyDescent="0.15">
      <c r="A21" s="1">
        <v>0.4166666653333333</v>
      </c>
      <c r="B21" s="1">
        <f t="shared" si="0"/>
        <v>4.3656339982245882</v>
      </c>
      <c r="C21" s="1">
        <f t="shared" si="1"/>
        <v>5.719679625960584</v>
      </c>
    </row>
    <row r="22" spans="1:3" ht="25.5" x14ac:dyDescent="0.15">
      <c r="A22" s="1">
        <v>0.49999999833333331</v>
      </c>
      <c r="B22" s="1">
        <f t="shared" si="0"/>
        <v>4.8912833041912016</v>
      </c>
      <c r="C22" s="1">
        <f t="shared" si="1"/>
        <v>6.1171041661117513</v>
      </c>
    </row>
    <row r="23" spans="1:3" ht="25.5" x14ac:dyDescent="0.15">
      <c r="A23" s="1">
        <v>0.58333333133333332</v>
      </c>
      <c r="B23" s="1">
        <f t="shared" si="0"/>
        <v>5.3784641236138491</v>
      </c>
      <c r="C23" s="1">
        <f t="shared" si="1"/>
        <v>6.4763803812635281</v>
      </c>
    </row>
    <row r="24" spans="1:3" ht="25.5" x14ac:dyDescent="0.15">
      <c r="A24" s="1">
        <v>0.66666666433333333</v>
      </c>
      <c r="B24" s="1">
        <f t="shared" si="0"/>
        <v>5.8348873631920526</v>
      </c>
      <c r="C24" s="1">
        <f t="shared" si="1"/>
        <v>6.805218378711249</v>
      </c>
    </row>
    <row r="25" spans="1:3" ht="25.5" x14ac:dyDescent="0.15">
      <c r="A25" s="1">
        <v>0.74999999733333333</v>
      </c>
      <c r="B25" s="1">
        <f t="shared" si="0"/>
        <v>6.2659555946874335</v>
      </c>
      <c r="C25" s="1">
        <f t="shared" si="1"/>
        <v>7.1090199328083621</v>
      </c>
    </row>
    <row r="26" spans="1:3" ht="25.5" x14ac:dyDescent="0.15">
      <c r="A26" s="1">
        <v>0.83333333033333334</v>
      </c>
      <c r="B26" s="1">
        <f t="shared" si="0"/>
        <v>6.6756297691789115</v>
      </c>
      <c r="C26" s="1">
        <f t="shared" si="1"/>
        <v>7.3917451992166576</v>
      </c>
    </row>
    <row r="27" spans="1:3" ht="25.5" x14ac:dyDescent="0.15">
      <c r="A27" s="1">
        <v>0.91666666333333335</v>
      </c>
      <c r="B27" s="1">
        <f t="shared" si="0"/>
        <v>7.0669174598432178</v>
      </c>
      <c r="C27" s="1">
        <f t="shared" si="1"/>
        <v>7.6564009576817718</v>
      </c>
    </row>
    <row r="28" spans="1:3" ht="25.5" x14ac:dyDescent="0.15">
      <c r="A28" s="1">
        <v>0.99999999633333336</v>
      </c>
      <c r="B28" s="1">
        <f t="shared" si="0"/>
        <v>7.4421669627147402</v>
      </c>
      <c r="C28" s="1">
        <f t="shared" si="1"/>
        <v>7.9053347127881111</v>
      </c>
    </row>
    <row r="29" spans="1:3" ht="25.5" x14ac:dyDescent="0.15">
      <c r="A29" s="1">
        <v>1.0833333293333332</v>
      </c>
      <c r="B29" s="1">
        <f t="shared" si="0"/>
        <v>7.8032540357594549</v>
      </c>
      <c r="C29" s="1">
        <f t="shared" si="1"/>
        <v>8.1404214330278357</v>
      </c>
    </row>
    <row r="30" spans="1:3" ht="25.5" x14ac:dyDescent="0.15">
      <c r="A30" s="1">
        <v>1.1666666623333333</v>
      </c>
      <c r="B30" s="1">
        <f t="shared" si="0"/>
        <v>8.1517056266127739</v>
      </c>
      <c r="C30" s="1">
        <f t="shared" si="1"/>
        <v>8.3631872785337258</v>
      </c>
    </row>
    <row r="31" spans="1:3" ht="25.5" x14ac:dyDescent="0.15">
      <c r="A31" s="1">
        <v>1.2499999953333332</v>
      </c>
      <c r="B31" s="1">
        <f t="shared" si="0"/>
        <v>8.4887847856712497</v>
      </c>
      <c r="C31" s="1">
        <f t="shared" si="1"/>
        <v>8.5748945141660364</v>
      </c>
    </row>
    <row r="32" spans="1:3" ht="25.5" x14ac:dyDescent="0.15">
      <c r="A32" s="1">
        <v>1.3333333283333333</v>
      </c>
      <c r="B32" s="1">
        <f t="shared" si="0"/>
        <v>8.8155506898899638</v>
      </c>
      <c r="C32" s="1">
        <f t="shared" si="1"/>
        <v>8.7766015333049268</v>
      </c>
    </row>
    <row r="33" spans="1:3" ht="25.5" x14ac:dyDescent="0.15">
      <c r="A33" s="1">
        <v>1.4166666613333332</v>
      </c>
      <c r="B33" s="1">
        <f t="shared" si="0"/>
        <v>9.1329021563098998</v>
      </c>
      <c r="C33" s="1">
        <f t="shared" si="1"/>
        <v>8.9692063713729482</v>
      </c>
    </row>
    <row r="34" spans="1:3" ht="25.5" x14ac:dyDescent="0.15">
      <c r="A34" s="1">
        <v>1.4999999943333331</v>
      </c>
      <c r="B34" s="1">
        <f t="shared" si="0"/>
        <v>9.4416098809552231</v>
      </c>
      <c r="C34" s="1">
        <f t="shared" si="1"/>
        <v>9.1534789447274427</v>
      </c>
    </row>
    <row r="35" spans="1:3" ht="25.5" x14ac:dyDescent="0.15">
      <c r="A35" s="1">
        <v>1.5833333273333332</v>
      </c>
      <c r="B35" s="1">
        <f t="shared" si="0"/>
        <v>9.7423407823897072</v>
      </c>
      <c r="C35" s="1">
        <f t="shared" si="1"/>
        <v>9.3300853942120696</v>
      </c>
    </row>
    <row r="36" spans="1:3" ht="25.5" x14ac:dyDescent="0.15">
      <c r="A36" s="1">
        <v>1.6666666603333331</v>
      </c>
      <c r="B36" s="1">
        <f t="shared" si="0"/>
        <v>10.035676693371109</v>
      </c>
      <c r="C36" s="1">
        <f t="shared" si="1"/>
        <v>9.4996067768063774</v>
      </c>
    </row>
    <row r="37" spans="1:3" ht="25.5" x14ac:dyDescent="0.15">
      <c r="A37" s="1">
        <v>1.7499999933333332</v>
      </c>
      <c r="B37" s="1">
        <f t="shared" si="0"/>
        <v>10.322128927241703</v>
      </c>
      <c r="C37" s="1">
        <f t="shared" si="1"/>
        <v>9.6625536320114556</v>
      </c>
    </row>
    <row r="38" spans="1:3" ht="25.5" x14ac:dyDescent="0.15">
      <c r="A38" s="1">
        <v>1.8333333263333331</v>
      </c>
      <c r="B38" s="1">
        <f t="shared" si="0"/>
        <v>10.602149780883138</v>
      </c>
      <c r="C38" s="1">
        <f t="shared" si="1"/>
        <v>9.8193774847999151</v>
      </c>
    </row>
    <row r="39" spans="1:3" ht="25.5" x14ac:dyDescent="0.15">
      <c r="A39" s="1">
        <v>1.9166666593333332</v>
      </c>
      <c r="B39" s="1">
        <f t="shared" si="0"/>
        <v>10.876141727307495</v>
      </c>
      <c r="C39" s="1">
        <f t="shared" si="1"/>
        <v>9.9704800382021972</v>
      </c>
    </row>
    <row r="40" spans="1:3" ht="25.5" x14ac:dyDescent="0.15">
      <c r="A40" s="1">
        <v>1.9999999923333331</v>
      </c>
      <c r="B40" s="1">
        <f t="shared" si="0"/>
        <v>11.144464841399792</v>
      </c>
      <c r="C40" s="1">
        <f t="shared" si="1"/>
        <v>10.11622059904423</v>
      </c>
    </row>
    <row r="41" spans="1:3" ht="25.5" x14ac:dyDescent="0.15">
      <c r="A41" s="1">
        <v>2.0833333253333333</v>
      </c>
      <c r="B41" s="1">
        <f t="shared" si="0"/>
        <v>11.407442857321247</v>
      </c>
      <c r="C41" s="1">
        <f t="shared" si="1"/>
        <v>10.256922135345867</v>
      </c>
    </row>
    <row r="42" spans="1:3" ht="25.5" x14ac:dyDescent="0.15">
      <c r="A42" s="1">
        <v>2.1666666583333334</v>
      </c>
      <c r="B42" s="1">
        <f t="shared" si="0"/>
        <v>11.665368153973795</v>
      </c>
      <c r="C42" s="1">
        <f t="shared" si="1"/>
        <v>10.39287626178065</v>
      </c>
    </row>
    <row r="43" spans="1:3" ht="25.5" x14ac:dyDescent="0.15">
      <c r="A43" s="1">
        <v>2.2499999913333335</v>
      </c>
      <c r="B43" s="1">
        <f t="shared" si="0"/>
        <v>11.918505891874251</v>
      </c>
      <c r="C43" s="1">
        <f t="shared" si="1"/>
        <v>10.524347376545204</v>
      </c>
    </row>
    <row r="44" spans="1:3" ht="25.5" x14ac:dyDescent="0.15">
      <c r="A44" s="1">
        <v>2.3333333243333332</v>
      </c>
      <c r="B44" s="1">
        <f t="shared" si="0"/>
        <v>12.167097471758733</v>
      </c>
      <c r="C44" s="1">
        <f t="shared" si="1"/>
        <v>10.651576119958843</v>
      </c>
    </row>
    <row r="45" spans="1:3" ht="25.5" x14ac:dyDescent="0.15">
      <c r="A45" s="1">
        <v>2.4166666573333333</v>
      </c>
      <c r="B45" s="1">
        <f t="shared" si="0"/>
        <v>12.411363446231881</v>
      </c>
      <c r="C45" s="1">
        <f t="shared" si="1"/>
        <v>10.77478228610812</v>
      </c>
    </row>
    <row r="46" spans="1:3" ht="25.5" x14ac:dyDescent="0.15">
      <c r="A46" s="1">
        <v>2.4999999903333334</v>
      </c>
      <c r="B46" s="1">
        <f t="shared" si="0"/>
        <v>12.651505986730601</v>
      </c>
      <c r="C46" s="1">
        <f t="shared" si="1"/>
        <v>10.894167289805722</v>
      </c>
    </row>
    <row r="47" spans="1:3" ht="25.5" x14ac:dyDescent="0.15">
      <c r="A47" s="1">
        <v>2.5833333233333335</v>
      </c>
      <c r="B47" s="1">
        <f t="shared" si="0"/>
        <v>12.88771098619895</v>
      </c>
      <c r="C47" s="1">
        <f t="shared" si="1"/>
        <v>11.009916269260728</v>
      </c>
    </row>
    <row r="48" spans="1:3" ht="25.5" x14ac:dyDescent="0.15">
      <c r="A48" s="1">
        <v>2.6666666563333332</v>
      </c>
      <c r="B48" s="1">
        <f t="shared" si="0"/>
        <v>13.120149861226636</v>
      </c>
      <c r="C48" s="1">
        <f t="shared" si="1"/>
        <v>11.122199888212336</v>
      </c>
    </row>
    <row r="49" spans="1:3" ht="25.5" x14ac:dyDescent="0.15">
      <c r="A49" s="1">
        <v>2.7499999893333333</v>
      </c>
      <c r="B49" s="1">
        <f t="shared" si="0"/>
        <v>13.348981104614186</v>
      </c>
      <c r="C49" s="1">
        <f t="shared" si="1"/>
        <v>11.231175888490331</v>
      </c>
    </row>
    <row r="50" spans="1:3" ht="25.5" x14ac:dyDescent="0.15">
      <c r="A50" s="1">
        <v>2.8333333223333335</v>
      </c>
      <c r="B50" s="1">
        <f t="shared" si="0"/>
        <v>13.574351629411819</v>
      </c>
      <c r="C50" s="1">
        <f t="shared" si="1"/>
        <v>11.336990434049262</v>
      </c>
    </row>
    <row r="51" spans="1:3" ht="25.5" x14ac:dyDescent="0.15">
      <c r="A51" s="1">
        <v>2.9166666553333331</v>
      </c>
      <c r="B51" s="1">
        <f t="shared" si="0"/>
        <v>13.796397937725636</v>
      </c>
      <c r="C51" s="1">
        <f t="shared" si="1"/>
        <v>11.439779279770018</v>
      </c>
    </row>
    <row r="52" spans="1:3" ht="25.5" x14ac:dyDescent="0.15">
      <c r="A52" s="1">
        <v>2.9999999883333333</v>
      </c>
      <c r="B52" s="1">
        <f t="shared" si="0"/>
        <v>14.015247141474475</v>
      </c>
      <c r="C52" s="1">
        <f t="shared" si="1"/>
        <v>11.539668792211884</v>
      </c>
    </row>
    <row r="53" spans="1:3" ht="25.5" x14ac:dyDescent="0.15">
      <c r="A53" s="1">
        <v>3.0833333213333334</v>
      </c>
      <c r="B53" s="1">
        <f t="shared" si="0"/>
        <v>14.231017857429201</v>
      </c>
      <c r="C53" s="1">
        <f t="shared" si="1"/>
        <v>11.636776844647283</v>
      </c>
    </row>
    <row r="54" spans="1:3" ht="25.5" x14ac:dyDescent="0.15">
      <c r="A54" s="1">
        <v>3.1666666543333335</v>
      </c>
      <c r="B54" s="1">
        <f t="shared" si="0"/>
        <v>14.443820994988208</v>
      </c>
      <c r="C54" s="1">
        <f t="shared" si="1"/>
        <v>11.731213604832579</v>
      </c>
    </row>
    <row r="55" spans="1:3" ht="25.5" x14ac:dyDescent="0.15">
      <c r="A55" s="1">
        <v>3.2499999873333332</v>
      </c>
      <c r="B55" s="1">
        <f t="shared" si="0"/>
        <v>14.653760452021579</v>
      </c>
      <c r="C55" s="1">
        <f t="shared" si="1"/>
        <v>11.823082230847611</v>
      </c>
    </row>
    <row r="56" spans="1:3" ht="25.5" x14ac:dyDescent="0.15">
      <c r="A56" s="1">
        <v>3.3333333203333333</v>
      </c>
      <c r="B56" s="1">
        <f t="shared" si="0"/>
        <v>14.860933731589387</v>
      </c>
      <c r="C56" s="1">
        <f t="shared" si="1"/>
        <v>11.912479487809385</v>
      </c>
    </row>
    <row r="57" spans="1:3" ht="25.5" x14ac:dyDescent="0.15">
      <c r="A57" s="1">
        <v>3.4166666533333334</v>
      </c>
      <c r="B57" s="1">
        <f t="shared" si="0"/>
        <v>15.065432490281509</v>
      </c>
      <c r="C57" s="1">
        <f t="shared" si="1"/>
        <v>11.999496296207258</v>
      </c>
    </row>
    <row r="58" spans="1:3" ht="25.5" x14ac:dyDescent="0.15">
      <c r="A58" s="1">
        <v>3.4999999863333331</v>
      </c>
      <c r="B58" s="1">
        <f t="shared" si="0"/>
        <v>15.267343027241122</v>
      </c>
      <c r="C58" s="1">
        <f t="shared" si="1"/>
        <v>12.084218220921851</v>
      </c>
    </row>
    <row r="59" spans="1:3" ht="25.5" x14ac:dyDescent="0.15">
      <c r="A59" s="1">
        <v>3.5833333193333332</v>
      </c>
      <c r="B59" s="1">
        <f t="shared" si="0"/>
        <v>15.46674672154634</v>
      </c>
      <c r="C59" s="1">
        <f t="shared" si="1"/>
        <v>12.166725908602068</v>
      </c>
    </row>
    <row r="60" spans="1:3" ht="25.5" x14ac:dyDescent="0.15">
      <c r="A60" s="1">
        <v>3.6666666523333333</v>
      </c>
      <c r="B60" s="1">
        <f t="shared" si="0"/>
        <v>15.663720424476679</v>
      </c>
      <c r="C60" s="1">
        <f t="shared" si="1"/>
        <v>12.247095479927001</v>
      </c>
    </row>
    <row r="61" spans="1:3" ht="25.5" x14ac:dyDescent="0.15">
      <c r="A61" s="1">
        <v>3.7499999853333335</v>
      </c>
      <c r="B61" s="1">
        <f t="shared" si="0"/>
        <v>15.858336812237415</v>
      </c>
      <c r="C61" s="1">
        <f t="shared" si="1"/>
        <v>12.325398882325736</v>
      </c>
    </row>
    <row r="62" spans="1:3" ht="25.5" x14ac:dyDescent="0.15">
      <c r="A62" s="1">
        <v>3.8333333183333331</v>
      </c>
      <c r="B62" s="1">
        <f t="shared" si="0"/>
        <v>16.050664703917562</v>
      </c>
      <c r="C62" s="1">
        <f t="shared" si="1"/>
        <v>12.401704207930765</v>
      </c>
    </row>
    <row r="63" spans="1:3" ht="25.5" x14ac:dyDescent="0.15">
      <c r="A63" s="1">
        <v>3.9166666513333332</v>
      </c>
      <c r="B63" s="1">
        <f t="shared" si="0"/>
        <v>16.240769348790025</v>
      </c>
      <c r="C63" s="1">
        <f t="shared" si="1"/>
        <v>12.476075980873569</v>
      </c>
    </row>
    <row r="64" spans="1:3" ht="25.5" x14ac:dyDescent="0.15">
      <c r="A64" s="1">
        <v>3.9999999843333334</v>
      </c>
      <c r="B64" s="1">
        <f t="shared" si="0"/>
        <v>16.42871268649953</v>
      </c>
      <c r="C64" s="1">
        <f t="shared" si="1"/>
        <v>12.548575417468058</v>
      </c>
    </row>
    <row r="65" spans="1:3" ht="25.5" x14ac:dyDescent="0.15">
      <c r="A65" s="1">
        <v>4.0833333173333326</v>
      </c>
      <c r="B65" s="1">
        <f t="shared" si="0"/>
        <v>16.614553583209148</v>
      </c>
      <c r="C65" s="1">
        <f t="shared" si="1"/>
        <v>12.619260662352552</v>
      </c>
    </row>
    <row r="66" spans="1:3" ht="25.5" x14ac:dyDescent="0.15">
      <c r="A66" s="1">
        <v>4.1666666503333332</v>
      </c>
      <c r="B66" s="1">
        <f t="shared" si="0"/>
        <v>16.798348046372567</v>
      </c>
      <c r="C66" s="1">
        <f t="shared" si="1"/>
        <v>12.688187003257546</v>
      </c>
    </row>
    <row r="67" spans="1:3" ht="25.5" x14ac:dyDescent="0.15">
      <c r="A67" s="1">
        <v>4.2499999833333328</v>
      </c>
      <c r="B67" s="1">
        <f t="shared" si="0"/>
        <v>16.980149420456343</v>
      </c>
      <c r="C67" s="1">
        <f t="shared" si="1"/>
        <v>12.755407066723473</v>
      </c>
    </row>
    <row r="68" spans="1:3" ht="25.5" x14ac:dyDescent="0.15">
      <c r="A68" s="1">
        <v>4.3333333163333325</v>
      </c>
      <c r="B68" s="1">
        <f t="shared" si="0"/>
        <v>17.160008565642819</v>
      </c>
      <c r="C68" s="1">
        <f t="shared" si="1"/>
        <v>12.820970996799108</v>
      </c>
    </row>
    <row r="69" spans="1:3" ht="25.5" x14ac:dyDescent="0.15">
      <c r="A69" s="1">
        <v>4.4166666493333331</v>
      </c>
      <c r="B69" s="1">
        <f t="shared" si="0"/>
        <v>17.337974021293299</v>
      </c>
      <c r="C69" s="1">
        <f t="shared" si="1"/>
        <v>12.884926618500282</v>
      </c>
    </row>
    <row r="70" spans="1:3" ht="25.5" x14ac:dyDescent="0.15">
      <c r="A70" s="1">
        <v>4.4999999823333328</v>
      </c>
      <c r="B70" s="1">
        <f t="shared" si="0"/>
        <v>17.514092155734748</v>
      </c>
      <c r="C70" s="1">
        <f t="shared" si="1"/>
        <v>12.947319587592148</v>
      </c>
    </row>
    <row r="71" spans="1:3" ht="25.5" x14ac:dyDescent="0.15">
      <c r="A71" s="1">
        <v>4.5833333153333324</v>
      </c>
      <c r="B71" s="1">
        <f t="shared" si="0"/>
        <v>17.688407303747173</v>
      </c>
      <c r="C71" s="1">
        <f t="shared" si="1"/>
        <v>13.008193528072079</v>
      </c>
    </row>
    <row r="72" spans="1:3" ht="25.5" x14ac:dyDescent="0.15">
      <c r="A72" s="1">
        <v>4.666666648333333</v>
      </c>
      <c r="B72" s="1">
        <f t="shared" si="0"/>
        <v>17.860961892967556</v>
      </c>
      <c r="C72" s="1">
        <f t="shared" si="1"/>
        <v>13.067590158569105</v>
      </c>
    </row>
    <row r="73" spans="1:3" ht="25.5" x14ac:dyDescent="0.15">
      <c r="A73" s="1">
        <v>4.7499999813333327</v>
      </c>
      <c r="B73" s="1">
        <f t="shared" si="0"/>
        <v>18.031796560286352</v>
      </c>
      <c r="C73" s="1">
        <f t="shared" si="1"/>
        <v>13.125549408736118</v>
      </c>
    </row>
    <row r="74" spans="1:3" ht="25.5" x14ac:dyDescent="0.15">
      <c r="A74" s="1">
        <v>4.8333333143333324</v>
      </c>
      <c r="B74" s="1">
        <f t="shared" si="0"/>
        <v>18.200950259191291</v>
      </c>
      <c r="C74" s="1">
        <f t="shared" si="1"/>
        <v>13.182109526589095</v>
      </c>
    </row>
    <row r="75" spans="1:3" ht="25.5" x14ac:dyDescent="0.15">
      <c r="A75" s="1">
        <v>4.9166666473333329</v>
      </c>
      <c r="B75" s="1">
        <f t="shared" si="0"/>
        <v>18.368460358907093</v>
      </c>
      <c r="C75" s="1">
        <f t="shared" si="1"/>
        <v>13.237307177642542</v>
      </c>
    </row>
    <row r="76" spans="1:3" ht="25.5" x14ac:dyDescent="0.15">
      <c r="A76" s="1">
        <v>4.9999999803333326</v>
      </c>
      <c r="B76" s="1">
        <f t="shared" si="0"/>
        <v>18.534362736087157</v>
      </c>
      <c r="C76" s="1">
        <f t="shared" si="1"/>
        <v>13.291177536596678</v>
      </c>
    </row>
    <row r="77" spans="1:3" ht="25.5" x14ac:dyDescent="0.15">
      <c r="A77" s="1">
        <v>5.0833333133333332</v>
      </c>
      <c r="B77" s="1">
        <f t="shared" si="0"/>
        <v>18.698691859732058</v>
      </c>
      <c r="C77" s="1">
        <f t="shared" si="1"/>
        <v>13.34375437225162</v>
      </c>
    </row>
    <row r="78" spans="1:3" ht="25.5" x14ac:dyDescent="0.15">
      <c r="A78" s="1">
        <v>5.1666666463333328</v>
      </c>
      <c r="B78" s="1">
        <f t="shared" si="0"/>
        <v>18.861480869938795</v>
      </c>
      <c r="C78" s="1">
        <f t="shared" si="1"/>
        <v>13.395070126252188</v>
      </c>
    </row>
    <row r="79" spans="1:3" ht="25.5" x14ac:dyDescent="0.15">
      <c r="A79" s="1">
        <v>5.2499999793333325</v>
      </c>
      <c r="B79" s="1">
        <f t="shared" si="0"/>
        <v>19.022761651021462</v>
      </c>
      <c r="C79" s="1">
        <f t="shared" si="1"/>
        <v>13.445155986204277</v>
      </c>
    </row>
    <row r="80" spans="1:3" ht="25.5" x14ac:dyDescent="0.15">
      <c r="A80" s="1">
        <v>5.3333333123333331</v>
      </c>
      <c r="B80" s="1">
        <f t="shared" si="0"/>
        <v>19.182564899489428</v>
      </c>
      <c r="C80" s="1">
        <f t="shared" si="1"/>
        <v>13.494041953648647</v>
      </c>
    </row>
    <row r="81" spans="1:3" ht="25.5" x14ac:dyDescent="0.15">
      <c r="A81" s="1">
        <v>5.4166666453333328</v>
      </c>
      <c r="B81" s="1">
        <f t="shared" si="0"/>
        <v>19.340920187319639</v>
      </c>
      <c r="C81" s="1">
        <f t="shared" si="1"/>
        <v>13.541756907328876</v>
      </c>
    </row>
    <row r="82" spans="1:3" ht="25.5" x14ac:dyDescent="0.15">
      <c r="A82" s="1">
        <v>5.4999999783333324</v>
      </c>
      <c r="B82" s="1">
        <f t="shared" ref="B82:B115" si="2">BS_call($B$1,$B$2,$B$3,$B$4,A82,$B$6)</f>
        <v>19.497856020916771</v>
      </c>
      <c r="C82" s="1">
        <f t="shared" ref="C82:C115" si="3">BS_put($B$1,$B$2,$B$3,$B$4,A82,$B$6)</f>
        <v>13.588328662147203</v>
      </c>
    </row>
    <row r="83" spans="1:3" ht="25.5" x14ac:dyDescent="0.15">
      <c r="A83" s="1">
        <v>5.583333311333333</v>
      </c>
      <c r="B83" s="1">
        <f t="shared" si="2"/>
        <v>19.653399896116316</v>
      </c>
      <c r="C83" s="1">
        <f t="shared" si="3"/>
        <v>13.633784024163266</v>
      </c>
    </row>
    <row r="84" spans="1:3" ht="25.5" x14ac:dyDescent="0.15">
      <c r="A84" s="1">
        <v>5.6666666443333327</v>
      </c>
      <c r="B84" s="1">
        <f t="shared" si="2"/>
        <v>19.807578349551829</v>
      </c>
      <c r="C84" s="1">
        <f t="shared" si="3"/>
        <v>13.678148841957068</v>
      </c>
    </row>
    <row r="85" spans="1:3" ht="25.5" x14ac:dyDescent="0.15">
      <c r="A85" s="1">
        <v>5.7499999773333323</v>
      </c>
      <c r="B85" s="1">
        <f t="shared" si="2"/>
        <v>19.960417006676849</v>
      </c>
      <c r="C85" s="1">
        <f t="shared" si="3"/>
        <v>13.72144805464656</v>
      </c>
    </row>
    <row r="86" spans="1:3" ht="25.5" x14ac:dyDescent="0.15">
      <c r="A86" s="1">
        <v>5.8333333103333329</v>
      </c>
      <c r="B86" s="1">
        <f t="shared" si="2"/>
        <v>20.111940626705163</v>
      </c>
      <c r="C86" s="1">
        <f t="shared" si="3"/>
        <v>13.76370573682367</v>
      </c>
    </row>
    <row r="87" spans="1:3" ht="25.5" x14ac:dyDescent="0.15">
      <c r="A87" s="1">
        <v>5.9166666433333326</v>
      </c>
      <c r="B87" s="1">
        <f t="shared" si="2"/>
        <v>20.262173144708619</v>
      </c>
      <c r="C87" s="1">
        <f t="shared" si="3"/>
        <v>13.804945140647757</v>
      </c>
    </row>
    <row r="88" spans="1:3" ht="25.5" x14ac:dyDescent="0.15">
      <c r="A88" s="1">
        <v>5.9999999763333332</v>
      </c>
      <c r="B88" s="1">
        <f t="shared" si="2"/>
        <v>20.411137711090124</v>
      </c>
      <c r="C88" s="1">
        <f t="shared" si="3"/>
        <v>13.845188735314441</v>
      </c>
    </row>
    <row r="89" spans="1:3" ht="25.5" x14ac:dyDescent="0.15">
      <c r="A89" s="1">
        <v>6.0833333093333328</v>
      </c>
      <c r="B89" s="1">
        <f t="shared" si="2"/>
        <v>20.558856728630076</v>
      </c>
      <c r="C89" s="1">
        <f t="shared" si="3"/>
        <v>13.884458244097688</v>
      </c>
    </row>
    <row r="90" spans="1:3" ht="25.5" x14ac:dyDescent="0.15">
      <c r="A90" s="1">
        <v>6.1666666423333325</v>
      </c>
      <c r="B90" s="1">
        <f t="shared" si="2"/>
        <v>20.705351887286685</v>
      </c>
      <c r="C90" s="1">
        <f t="shared" si="3"/>
        <v>13.922774679145938</v>
      </c>
    </row>
    <row r="91" spans="1:3" ht="25.5" x14ac:dyDescent="0.15">
      <c r="A91" s="1">
        <v>6.2499999753333331</v>
      </c>
      <c r="B91" s="1">
        <f t="shared" si="2"/>
        <v>20.850644196915461</v>
      </c>
      <c r="C91" s="1">
        <f t="shared" si="3"/>
        <v>13.96015837419732</v>
      </c>
    </row>
    <row r="92" spans="1:3" ht="25.5" x14ac:dyDescent="0.15">
      <c r="A92" s="1">
        <v>6.3333333083333327</v>
      </c>
      <c r="B92" s="1">
        <f t="shared" si="2"/>
        <v>20.994754018058174</v>
      </c>
      <c r="C92" s="1">
        <f t="shared" si="3"/>
        <v>13.996629015364434</v>
      </c>
    </row>
    <row r="93" spans="1:3" ht="25.5" x14ac:dyDescent="0.15">
      <c r="A93" s="1">
        <v>6.4166666413333324</v>
      </c>
      <c r="B93" s="1">
        <f t="shared" si="2"/>
        <v>21.137701090939913</v>
      </c>
      <c r="C93" s="1">
        <f t="shared" si="3"/>
        <v>14.032205670127112</v>
      </c>
    </row>
    <row r="94" spans="1:3" ht="25.5" x14ac:dyDescent="0.15">
      <c r="A94" s="1">
        <v>6.499999974333333</v>
      </c>
      <c r="B94" s="1">
        <f t="shared" si="2"/>
        <v>21.279504562800163</v>
      </c>
      <c r="C94" s="1">
        <f t="shared" si="3"/>
        <v>14.066906814659427</v>
      </c>
    </row>
    <row r="95" spans="1:3" ht="25.5" x14ac:dyDescent="0.15">
      <c r="A95" s="1">
        <v>6.5833333073333327</v>
      </c>
      <c r="B95" s="1">
        <f t="shared" si="2"/>
        <v>21.420183013674357</v>
      </c>
      <c r="C95" s="1">
        <f t="shared" si="3"/>
        <v>14.100750359606888</v>
      </c>
    </row>
    <row r="96" spans="1:3" ht="25.5" x14ac:dyDescent="0.15">
      <c r="A96" s="1">
        <v>6.6666666403333323</v>
      </c>
      <c r="B96" s="1">
        <f t="shared" si="2"/>
        <v>21.559754480732177</v>
      </c>
      <c r="C96" s="1">
        <f t="shared" si="3"/>
        <v>14.133753674420701</v>
      </c>
    </row>
    <row r="97" spans="1:3" ht="25.5" x14ac:dyDescent="0.15">
      <c r="A97" s="1">
        <v>6.7499999733333329</v>
      </c>
      <c r="B97" s="1">
        <f t="shared" si="2"/>
        <v>21.698236481270882</v>
      </c>
      <c r="C97" s="1">
        <f t="shared" si="3"/>
        <v>14.165933610346807</v>
      </c>
    </row>
    <row r="98" spans="1:3" ht="25.5" x14ac:dyDescent="0.15">
      <c r="A98" s="1">
        <v>6.8333333063333326</v>
      </c>
      <c r="B98" s="1">
        <f t="shared" si="2"/>
        <v>21.8356460344536</v>
      </c>
      <c r="C98" s="1">
        <f t="shared" si="3"/>
        <v>14.197306522160101</v>
      </c>
    </row>
    <row r="99" spans="1:3" ht="25.5" x14ac:dyDescent="0.15">
      <c r="A99" s="1">
        <v>6.9166666393333323</v>
      </c>
      <c r="B99" s="1">
        <f t="shared" si="2"/>
        <v>21.971999681876028</v>
      </c>
      <c r="C99" s="1">
        <f t="shared" si="3"/>
        <v>14.227888288726941</v>
      </c>
    </row>
    <row r="100" spans="1:3" ht="25.5" x14ac:dyDescent="0.15">
      <c r="A100" s="1">
        <v>6.9999999723333328</v>
      </c>
      <c r="B100" s="1">
        <f t="shared" si="2"/>
        <v>22.107313507037922</v>
      </c>
      <c r="C100" s="1">
        <f t="shared" si="3"/>
        <v>14.257694332472466</v>
      </c>
    </row>
    <row r="101" spans="1:3" ht="25.5" x14ac:dyDescent="0.15">
      <c r="A101" s="1">
        <v>7.0833333053333325</v>
      </c>
      <c r="B101" s="1">
        <f t="shared" si="2"/>
        <v>22.241603153790429</v>
      </c>
      <c r="C101" s="1">
        <f t="shared" si="3"/>
        <v>14.286739637823871</v>
      </c>
    </row>
    <row r="102" spans="1:3" ht="25.5" x14ac:dyDescent="0.15">
      <c r="A102" s="1">
        <v>7.1666666383333331</v>
      </c>
      <c r="B102" s="1">
        <f t="shared" si="2"/>
        <v>22.374883843824563</v>
      </c>
      <c r="C102" s="1">
        <f t="shared" si="3"/>
        <v>14.315038768694691</v>
      </c>
    </row>
    <row r="103" spans="1:3" ht="25.5" x14ac:dyDescent="0.15">
      <c r="A103" s="1">
        <v>7.2499999713333327</v>
      </c>
      <c r="B103" s="1">
        <f t="shared" si="2"/>
        <v>22.507170393261475</v>
      </c>
      <c r="C103" s="1">
        <f t="shared" si="3"/>
        <v>14.342605885070999</v>
      </c>
    </row>
    <row r="104" spans="1:3" ht="25.5" x14ac:dyDescent="0.15">
      <c r="A104" s="1">
        <v>7.3333333043333324</v>
      </c>
      <c r="B104" s="1">
        <f t="shared" si="2"/>
        <v>22.638477228400475</v>
      </c>
      <c r="C104" s="1">
        <f t="shared" si="3"/>
        <v>14.369454758755309</v>
      </c>
    </row>
    <row r="105" spans="1:3" ht="25.5" x14ac:dyDescent="0.15">
      <c r="A105" s="1">
        <v>7.416666637333333</v>
      </c>
      <c r="B105" s="1">
        <f t="shared" si="2"/>
        <v>22.768818400676885</v>
      </c>
      <c r="C105" s="1">
        <f t="shared" si="3"/>
        <v>14.395598788320347</v>
      </c>
    </row>
    <row r="106" spans="1:3" ht="25.5" x14ac:dyDescent="0.15">
      <c r="A106" s="1">
        <v>7.4999999703333327</v>
      </c>
      <c r="B106" s="1">
        <f t="shared" si="2"/>
        <v>22.898207600877853</v>
      </c>
      <c r="C106" s="1">
        <f t="shared" si="3"/>
        <v>14.421051013320792</v>
      </c>
    </row>
    <row r="107" spans="1:3" ht="25.5" x14ac:dyDescent="0.15">
      <c r="A107" s="1">
        <v>7.5833333033333323</v>
      </c>
      <c r="B107" s="1">
        <f t="shared" si="2"/>
        <v>23.026658172660984</v>
      </c>
      <c r="C107" s="1">
        <f t="shared" si="3"/>
        <v>14.445824127807811</v>
      </c>
    </row>
    <row r="108" spans="1:3" ht="25.5" x14ac:dyDescent="0.15">
      <c r="A108" s="1">
        <v>7.6666666363333329</v>
      </c>
      <c r="B108" s="1">
        <f t="shared" si="2"/>
        <v>23.154183125417241</v>
      </c>
      <c r="C108" s="1">
        <f t="shared" si="3"/>
        <v>14.469930493187938</v>
      </c>
    </row>
    <row r="109" spans="1:3" ht="25.5" x14ac:dyDescent="0.15">
      <c r="A109" s="1">
        <v>7.7499999693333326</v>
      </c>
      <c r="B109" s="1">
        <f t="shared" si="2"/>
        <v>23.280795146516972</v>
      </c>
      <c r="C109" s="1">
        <f t="shared" si="3"/>
        <v>14.493382150465013</v>
      </c>
    </row>
    <row r="110" spans="1:3" ht="25.5" x14ac:dyDescent="0.15">
      <c r="A110" s="1">
        <v>7.8333333023333322</v>
      </c>
      <c r="B110" s="1">
        <f t="shared" si="2"/>
        <v>23.406506612974926</v>
      </c>
      <c r="C110" s="1">
        <f t="shared" si="3"/>
        <v>14.516190831901184</v>
      </c>
    </row>
    <row r="111" spans="1:3" ht="25.5" x14ac:dyDescent="0.15">
      <c r="A111" s="1">
        <v>7.9166666353333328</v>
      </c>
      <c r="B111" s="1">
        <f t="shared" si="2"/>
        <v>23.531329602567936</v>
      </c>
      <c r="C111" s="1">
        <f t="shared" si="3"/>
        <v>14.538367972130541</v>
      </c>
    </row>
    <row r="112" spans="1:3" ht="25.5" x14ac:dyDescent="0.15">
      <c r="A112" s="1">
        <v>7.9999999683333325</v>
      </c>
      <c r="B112" s="1">
        <f t="shared" si="2"/>
        <v>23.655275904436415</v>
      </c>
      <c r="C112" s="1">
        <f t="shared" si="3"/>
        <v>14.559924718756612</v>
      </c>
    </row>
    <row r="113" spans="1:3" ht="25.5" x14ac:dyDescent="0.15">
      <c r="A113" s="1">
        <v>8.0833333013333331</v>
      </c>
      <c r="B113" s="1">
        <f t="shared" si="2"/>
        <v>23.778357029198911</v>
      </c>
      <c r="C113" s="1">
        <f t="shared" si="3"/>
        <v>14.580871942462897</v>
      </c>
    </row>
    <row r="114" spans="1:3" ht="25.5" x14ac:dyDescent="0.15">
      <c r="A114" s="1">
        <v>8.1666666343333336</v>
      </c>
      <c r="B114" s="1">
        <f t="shared" si="2"/>
        <v>23.900584218607015</v>
      </c>
      <c r="C114" s="1">
        <f t="shared" si="3"/>
        <v>14.601220246663779</v>
      </c>
    </row>
    <row r="115" spans="1:3" ht="25.5" x14ac:dyDescent="0.15">
      <c r="A115" s="1">
        <v>8.2499999673333342</v>
      </c>
      <c r="B115" s="1">
        <f t="shared" si="2"/>
        <v>24.021968454765922</v>
      </c>
      <c r="C115" s="1">
        <f t="shared" si="3"/>
        <v>14.620979976721085</v>
      </c>
    </row>
  </sheetData>
  <mergeCells count="1">
    <mergeCell ref="E1:J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4AAA4-1F1B-45A2-B135-1B7F55C2689E}">
  <dimension ref="A1:L116"/>
  <sheetViews>
    <sheetView tabSelected="1" workbookViewId="0">
      <selection activeCell="A17" sqref="A17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21.75" customWidth="1"/>
  </cols>
  <sheetData>
    <row r="1" spans="1:12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5" x14ac:dyDescent="0.1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1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5" x14ac:dyDescent="0.1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5" x14ac:dyDescent="0.15">
      <c r="A9" s="1" t="s">
        <v>1</v>
      </c>
      <c r="B9" s="1">
        <f>BS_put(S,σ,rf,q,T,X)</f>
        <v>7.9053347234242466</v>
      </c>
      <c r="C9" s="1"/>
      <c r="K9" s="5"/>
    </row>
    <row r="10" spans="1:12" ht="25.5" x14ac:dyDescent="0.15">
      <c r="A10" s="1" t="s">
        <v>23</v>
      </c>
      <c r="B10" s="1">
        <f>in_val_call(S,σ,rf,q,T,X)</f>
        <v>0</v>
      </c>
      <c r="C10" s="1"/>
      <c r="K10" s="5"/>
    </row>
    <row r="11" spans="1:12" ht="25.5" x14ac:dyDescent="0.15">
      <c r="A11" s="1" t="s">
        <v>24</v>
      </c>
      <c r="B11" s="1">
        <f>in_val_put(S,σ,rf,q,T,X)</f>
        <v>2</v>
      </c>
      <c r="G11" s="3"/>
      <c r="J11" s="3"/>
      <c r="K11" s="5"/>
    </row>
    <row r="12" spans="1:12" ht="25.5" x14ac:dyDescent="0.15">
      <c r="A12" s="1" t="s">
        <v>25</v>
      </c>
      <c r="B12" s="1">
        <f>floor_call(S,σ,rf,q,T,X)</f>
        <v>0</v>
      </c>
      <c r="C12" s="1"/>
    </row>
    <row r="13" spans="1:12" ht="25.5" x14ac:dyDescent="0.15">
      <c r="A13" s="1" t="s">
        <v>26</v>
      </c>
      <c r="B13" s="1">
        <f>floor_put(S,σ,rf,q,T,X)</f>
        <v>0.46316774452242271</v>
      </c>
      <c r="C13" s="1"/>
      <c r="G13" s="3"/>
    </row>
    <row r="14" spans="1:12" ht="25.5" x14ac:dyDescent="0.15">
      <c r="A14" s="1"/>
      <c r="B14" s="1"/>
    </row>
    <row r="15" spans="1:12" ht="25.5" x14ac:dyDescent="0.15">
      <c r="A15" s="1"/>
      <c r="B15" s="1"/>
    </row>
    <row r="16" spans="1:12" ht="25.5" x14ac:dyDescent="0.15">
      <c r="A16" s="2" t="s">
        <v>7</v>
      </c>
      <c r="B16" s="1" t="s">
        <v>0</v>
      </c>
      <c r="C16" s="1" t="s">
        <v>1</v>
      </c>
    </row>
    <row r="17" spans="1:3" ht="25.5" x14ac:dyDescent="0.15">
      <c r="A17" s="1">
        <v>1</v>
      </c>
      <c r="B17" s="1">
        <f>BS_call($B$1,$B$2,$B$3,$B$4,$B$5,A17)</f>
        <v>49.029554466451494</v>
      </c>
      <c r="C17" s="1">
        <f>BS_put($B$1,$B$2,$B$3,$B$4,$B$5,A17)</f>
        <v>1.7656279271919731E-25</v>
      </c>
    </row>
    <row r="18" spans="1:3" ht="25.5" x14ac:dyDescent="0.15">
      <c r="A18" s="1">
        <v>2</v>
      </c>
      <c r="B18" s="1">
        <f t="shared" ref="B18:B81" si="0">BS_call($B$1,$B$2,$B$3,$B$4,$B$5,A18)</f>
        <v>48.059108932902987</v>
      </c>
      <c r="C18" s="1">
        <f t="shared" ref="C18:C81" si="1">BS_put($B$1,$B$2,$B$3,$B$4,$B$5,A18)</f>
        <v>7.1575502627802411E-18</v>
      </c>
    </row>
    <row r="19" spans="1:3" ht="25.5" x14ac:dyDescent="0.15">
      <c r="A19" s="1">
        <v>3</v>
      </c>
      <c r="B19" s="1">
        <f t="shared" si="0"/>
        <v>47.088663399354523</v>
      </c>
      <c r="C19" s="1">
        <f t="shared" si="1"/>
        <v>4.664839883483724E-14</v>
      </c>
    </row>
    <row r="20" spans="1:3" ht="25.5" x14ac:dyDescent="0.15">
      <c r="A20" s="1">
        <v>4</v>
      </c>
      <c r="B20" s="1">
        <f t="shared" si="0"/>
        <v>46.11821786581833</v>
      </c>
      <c r="C20" s="1">
        <f t="shared" si="1"/>
        <v>1.2365672547609942E-11</v>
      </c>
    </row>
    <row r="21" spans="1:3" ht="25.5" x14ac:dyDescent="0.15">
      <c r="A21" s="1">
        <v>5</v>
      </c>
      <c r="B21" s="1">
        <f t="shared" si="0"/>
        <v>45.147772332905205</v>
      </c>
      <c r="C21" s="1">
        <f t="shared" si="1"/>
        <v>6.477422455313238E-10</v>
      </c>
    </row>
    <row r="22" spans="1:3" ht="25.5" x14ac:dyDescent="0.15">
      <c r="A22" s="1">
        <v>6</v>
      </c>
      <c r="B22" s="1">
        <f t="shared" si="0"/>
        <v>44.177326811670397</v>
      </c>
      <c r="C22" s="1">
        <f t="shared" si="1"/>
        <v>1.2961447182811137E-8</v>
      </c>
    </row>
    <row r="23" spans="1:3" ht="25.5" x14ac:dyDescent="0.15">
      <c r="A23" s="1">
        <v>7</v>
      </c>
      <c r="B23" s="1">
        <f t="shared" si="0"/>
        <v>43.206881403440818</v>
      </c>
      <c r="C23" s="1">
        <f t="shared" si="1"/>
        <v>1.3828037238802406E-7</v>
      </c>
    </row>
    <row r="24" spans="1:3" ht="25.5" x14ac:dyDescent="0.15">
      <c r="A24" s="1">
        <v>8</v>
      </c>
      <c r="B24" s="1">
        <f t="shared" si="0"/>
        <v>42.236436682907758</v>
      </c>
      <c r="C24" s="1">
        <f t="shared" si="1"/>
        <v>9.5129582387458554E-7</v>
      </c>
    </row>
    <row r="25" spans="1:3" ht="25.5" x14ac:dyDescent="0.15">
      <c r="A25" s="1">
        <v>9</v>
      </c>
      <c r="B25" s="1">
        <f t="shared" si="0"/>
        <v>41.265994946003019</v>
      </c>
      <c r="C25" s="1">
        <f t="shared" si="1"/>
        <v>4.7479395866365767E-6</v>
      </c>
    </row>
    <row r="26" spans="1:3" ht="25.5" x14ac:dyDescent="0.15">
      <c r="A26" s="1">
        <v>10</v>
      </c>
      <c r="B26" s="1">
        <f t="shared" si="0"/>
        <v>40.295563244465399</v>
      </c>
      <c r="C26" s="1">
        <f t="shared" si="1"/>
        <v>1.8579950476329871E-5</v>
      </c>
    </row>
    <row r="27" spans="1:3" ht="25.5" x14ac:dyDescent="0.15">
      <c r="A27" s="1">
        <v>11</v>
      </c>
      <c r="B27" s="1">
        <f t="shared" si="0"/>
        <v>39.325159276586106</v>
      </c>
      <c r="C27" s="1">
        <f t="shared" si="1"/>
        <v>6.0145619696300406E-5</v>
      </c>
    </row>
    <row r="28" spans="1:3" ht="25.5" x14ac:dyDescent="0.15">
      <c r="A28" s="1">
        <v>12</v>
      </c>
      <c r="B28" s="1">
        <f t="shared" si="0"/>
        <v>38.354820957322865</v>
      </c>
      <c r="C28" s="1">
        <f t="shared" si="1"/>
        <v>1.6735990496360791E-4</v>
      </c>
    </row>
    <row r="29" spans="1:3" ht="25.5" x14ac:dyDescent="0.15">
      <c r="A29" s="1">
        <v>13</v>
      </c>
      <c r="B29" s="1">
        <f t="shared" si="0"/>
        <v>37.384619868270782</v>
      </c>
      <c r="C29" s="1">
        <f t="shared" si="1"/>
        <v>4.1180440138128844E-4</v>
      </c>
    </row>
    <row r="30" spans="1:3" ht="25.5" x14ac:dyDescent="0.15">
      <c r="A30" s="1">
        <v>14</v>
      </c>
      <c r="B30" s="1">
        <f t="shared" si="0"/>
        <v>36.414677982547786</v>
      </c>
      <c r="C30" s="1">
        <f t="shared" si="1"/>
        <v>9.1545222690040361E-4</v>
      </c>
    </row>
    <row r="31" spans="1:3" ht="25.5" x14ac:dyDescent="0.15">
      <c r="A31" s="1">
        <v>15</v>
      </c>
      <c r="B31" s="1">
        <f t="shared" si="0"/>
        <v>35.445186321710104</v>
      </c>
      <c r="C31" s="1">
        <f t="shared" si="1"/>
        <v>1.8693249377227904E-3</v>
      </c>
    </row>
    <row r="32" spans="1:3" ht="25.5" x14ac:dyDescent="0.15">
      <c r="A32" s="1">
        <v>16</v>
      </c>
      <c r="B32" s="1">
        <f t="shared" si="0"/>
        <v>34.476423724800568</v>
      </c>
      <c r="C32" s="1">
        <f t="shared" si="1"/>
        <v>3.5522615766949914E-3</v>
      </c>
    </row>
    <row r="33" spans="1:3" ht="25.5" x14ac:dyDescent="0.15">
      <c r="A33" s="1">
        <v>17</v>
      </c>
      <c r="B33" s="1">
        <f t="shared" si="0"/>
        <v>33.508773777311902</v>
      </c>
      <c r="C33" s="1">
        <f t="shared" si="1"/>
        <v>6.3478476365424821E-3</v>
      </c>
    </row>
    <row r="34" spans="1:3" ht="25.5" x14ac:dyDescent="0.15">
      <c r="A34" s="1">
        <v>18</v>
      </c>
      <c r="B34" s="1">
        <f t="shared" si="0"/>
        <v>32.542738139795034</v>
      </c>
      <c r="C34" s="1">
        <f t="shared" si="1"/>
        <v>1.0757743668185757E-2</v>
      </c>
    </row>
    <row r="35" spans="1:3" ht="25.5" x14ac:dyDescent="0.15">
      <c r="A35" s="1">
        <v>19</v>
      </c>
      <c r="B35" s="1">
        <f t="shared" si="0"/>
        <v>31.578944944354202</v>
      </c>
      <c r="C35" s="1">
        <f t="shared" si="1"/>
        <v>1.7410081775855263E-2</v>
      </c>
    </row>
    <row r="36" spans="1:3" ht="25.5" x14ac:dyDescent="0.15">
      <c r="A36" s="1">
        <v>20</v>
      </c>
      <c r="B36" s="1">
        <f t="shared" si="0"/>
        <v>30.618151479555795</v>
      </c>
      <c r="C36" s="1">
        <f t="shared" si="1"/>
        <v>2.7062150525955536E-2</v>
      </c>
    </row>
    <row r="37" spans="1:3" ht="25.5" x14ac:dyDescent="0.15">
      <c r="A37" s="1">
        <v>21</v>
      </c>
      <c r="B37" s="1">
        <f t="shared" si="0"/>
        <v>29.661240954916746</v>
      </c>
      <c r="C37" s="1">
        <f t="shared" si="1"/>
        <v>4.0597159435419083E-2</v>
      </c>
    </row>
    <row r="38" spans="1:3" ht="25.5" x14ac:dyDescent="0.15">
      <c r="A38" s="1">
        <v>22</v>
      </c>
      <c r="B38" s="1">
        <f t="shared" si="0"/>
        <v>28.709213645260526</v>
      </c>
      <c r="C38" s="1">
        <f t="shared" si="1"/>
        <v>5.9015383327707893E-2</v>
      </c>
    </row>
    <row r="39" spans="1:3" ht="25.5" x14ac:dyDescent="0.15">
      <c r="A39" s="1">
        <v>23</v>
      </c>
      <c r="B39" s="1">
        <f t="shared" si="0"/>
        <v>27.763173114232515</v>
      </c>
      <c r="C39" s="1">
        <f t="shared" si="1"/>
        <v>8.3420385848196221E-2</v>
      </c>
    </row>
    <row r="40" spans="1:3" ht="25.5" x14ac:dyDescent="0.15">
      <c r="A40" s="1">
        <v>24</v>
      </c>
      <c r="B40" s="1">
        <f t="shared" si="0"/>
        <v>26.824308485261938</v>
      </c>
      <c r="C40" s="1">
        <f t="shared" si="1"/>
        <v>0.11500129042612828</v>
      </c>
    </row>
    <row r="41" spans="1:3" ht="25.5" x14ac:dyDescent="0.15">
      <c r="A41" s="1">
        <v>25</v>
      </c>
      <c r="B41" s="1">
        <f t="shared" si="0"/>
        <v>25.893873869392802</v>
      </c>
      <c r="C41" s="1">
        <f t="shared" si="1"/>
        <v>0.15501220810551009</v>
      </c>
    </row>
    <row r="42" spans="1:3" ht="25.5" x14ac:dyDescent="0.15">
      <c r="A42" s="1">
        <v>26</v>
      </c>
      <c r="B42" s="1">
        <f t="shared" si="0"/>
        <v>24.973166089139788</v>
      </c>
      <c r="C42" s="1">
        <f t="shared" si="1"/>
        <v>0.20474996140100132</v>
      </c>
    </row>
    <row r="43" spans="1:3" ht="25.5" x14ac:dyDescent="0.15">
      <c r="A43" s="1">
        <v>27</v>
      </c>
      <c r="B43" s="1">
        <f t="shared" si="0"/>
        <v>24.063501779679804</v>
      </c>
      <c r="C43" s="1">
        <f t="shared" si="1"/>
        <v>0.2655311854895237</v>
      </c>
    </row>
    <row r="44" spans="1:3" ht="25.5" x14ac:dyDescent="0.15">
      <c r="A44" s="1">
        <v>28</v>
      </c>
      <c r="B44" s="1">
        <f t="shared" si="0"/>
        <v>23.166194829102785</v>
      </c>
      <c r="C44" s="1">
        <f t="shared" si="1"/>
        <v>0.33866976846101382</v>
      </c>
    </row>
    <row r="45" spans="1:3" ht="25.5" x14ac:dyDescent="0.15">
      <c r="A45" s="1">
        <v>29</v>
      </c>
      <c r="B45" s="1">
        <f t="shared" si="0"/>
        <v>22.282534962373092</v>
      </c>
      <c r="C45" s="1">
        <f t="shared" si="1"/>
        <v>0.42545543527982854</v>
      </c>
    </row>
    <row r="46" spans="1:3" ht="25.5" x14ac:dyDescent="0.15">
      <c r="A46" s="1">
        <v>30</v>
      </c>
      <c r="B46" s="1">
        <f t="shared" si="0"/>
        <v>21.413768099722514</v>
      </c>
      <c r="C46" s="1">
        <f t="shared" si="1"/>
        <v>0.52713410617775791</v>
      </c>
    </row>
    <row r="47" spans="1:3" ht="25.5" x14ac:dyDescent="0.15">
      <c r="A47" s="1">
        <v>31</v>
      </c>
      <c r="B47" s="1">
        <f t="shared" si="0"/>
        <v>20.56107894553843</v>
      </c>
      <c r="C47" s="1">
        <f t="shared" si="1"/>
        <v>0.64489048554218842</v>
      </c>
    </row>
    <row r="48" spans="1:3" ht="25.5" x14ac:dyDescent="0.15">
      <c r="A48" s="1">
        <v>32</v>
      </c>
      <c r="B48" s="1">
        <f t="shared" si="0"/>
        <v>19.725576100013146</v>
      </c>
      <c r="C48" s="1">
        <f t="shared" si="1"/>
        <v>0.7798331735654096</v>
      </c>
    </row>
    <row r="49" spans="1:3" ht="25.5" x14ac:dyDescent="0.15">
      <c r="A49" s="1">
        <v>33</v>
      </c>
      <c r="B49" s="1">
        <f t="shared" si="0"/>
        <v>18.908279840368916</v>
      </c>
      <c r="C49" s="1">
        <f t="shared" si="1"/>
        <v>0.93298244746968972</v>
      </c>
    </row>
    <row r="50" spans="1:3" ht="25.5" x14ac:dyDescent="0.15">
      <c r="A50" s="1">
        <v>34</v>
      </c>
      <c r="B50" s="1">
        <f t="shared" si="0"/>
        <v>18.110112595440505</v>
      </c>
      <c r="C50" s="1">
        <f t="shared" si="1"/>
        <v>1.1052607360897868</v>
      </c>
    </row>
    <row r="51" spans="1:3" ht="25.5" x14ac:dyDescent="0.15">
      <c r="A51" s="1">
        <v>35</v>
      </c>
      <c r="B51" s="1">
        <f t="shared" si="0"/>
        <v>17.33189203820524</v>
      </c>
      <c r="C51" s="1">
        <f t="shared" si="1"/>
        <v>1.2974857124030246</v>
      </c>
    </row>
    <row r="52" spans="1:3" ht="25.5" x14ac:dyDescent="0.15">
      <c r="A52" s="1">
        <v>36</v>
      </c>
      <c r="B52" s="1">
        <f t="shared" si="0"/>
        <v>16.574326645002262</v>
      </c>
      <c r="C52" s="1">
        <f t="shared" si="1"/>
        <v>1.5103658527485475</v>
      </c>
    </row>
    <row r="53" spans="1:3" ht="25.5" x14ac:dyDescent="0.15">
      <c r="A53" s="1">
        <v>37</v>
      </c>
      <c r="B53" s="1">
        <f t="shared" si="0"/>
        <v>15.838013515896119</v>
      </c>
      <c r="C53" s="1">
        <f t="shared" si="1"/>
        <v>1.7444982571909211</v>
      </c>
    </row>
    <row r="54" spans="1:3" ht="25.5" x14ac:dyDescent="0.15">
      <c r="A54" s="1">
        <v>38</v>
      </c>
      <c r="B54" s="1">
        <f t="shared" si="0"/>
        <v>15.123438215371902</v>
      </c>
      <c r="C54" s="1">
        <f t="shared" si="1"/>
        <v>2.0003684902152123</v>
      </c>
    </row>
    <row r="55" spans="1:3" ht="25.5" x14ac:dyDescent="0.15">
      <c r="A55" s="1">
        <v>39</v>
      </c>
      <c r="B55" s="1">
        <f t="shared" si="0"/>
        <v>14.430976373395822</v>
      </c>
      <c r="C55" s="1">
        <f t="shared" si="1"/>
        <v>2.2783521817876355</v>
      </c>
    </row>
    <row r="56" spans="1:3" ht="25.5" x14ac:dyDescent="0.15">
      <c r="A56" s="1">
        <v>40</v>
      </c>
      <c r="B56" s="1">
        <f t="shared" si="0"/>
        <v>13.760896780865192</v>
      </c>
      <c r="C56" s="1">
        <f t="shared" si="1"/>
        <v>2.5787181228055118</v>
      </c>
    </row>
    <row r="57" spans="1:3" ht="25.5" x14ac:dyDescent="0.15">
      <c r="A57" s="1">
        <v>41</v>
      </c>
      <c r="B57" s="1">
        <f t="shared" si="0"/>
        <v>13.113365717763738</v>
      </c>
      <c r="C57" s="1">
        <f t="shared" si="1"/>
        <v>2.9016325932525788</v>
      </c>
    </row>
    <row r="58" spans="1:3" ht="25.5" x14ac:dyDescent="0.15">
      <c r="A58" s="1">
        <v>42</v>
      </c>
      <c r="B58" s="1">
        <f t="shared" si="0"/>
        <v>12.48845226434814</v>
      </c>
      <c r="C58" s="1">
        <f t="shared" si="1"/>
        <v>3.247164673385484</v>
      </c>
    </row>
    <row r="59" spans="1:3" ht="25.5" x14ac:dyDescent="0.15">
      <c r="A59" s="1">
        <v>43</v>
      </c>
      <c r="B59" s="1">
        <f t="shared" si="0"/>
        <v>11.886134363158863</v>
      </c>
      <c r="C59" s="1">
        <f t="shared" si="1"/>
        <v>3.6152923057447168</v>
      </c>
    </row>
    <row r="60" spans="1:3" ht="25.5" x14ac:dyDescent="0.15">
      <c r="A60" s="1">
        <v>44</v>
      </c>
      <c r="B60" s="1">
        <f t="shared" si="0"/>
        <v>11.306305420659076</v>
      </c>
      <c r="C60" s="1">
        <f t="shared" si="1"/>
        <v>4.0059088967934251</v>
      </c>
    </row>
    <row r="61" spans="1:3" ht="25.5" x14ac:dyDescent="0.15">
      <c r="A61" s="1">
        <v>45</v>
      </c>
      <c r="B61" s="1">
        <f t="shared" si="0"/>
        <v>10.748781260292489</v>
      </c>
      <c r="C61" s="1">
        <f t="shared" si="1"/>
        <v>4.4188302699753539</v>
      </c>
    </row>
    <row r="62" spans="1:3" ht="25.5" x14ac:dyDescent="0.15">
      <c r="A62" s="1">
        <v>46</v>
      </c>
      <c r="B62" s="1">
        <f t="shared" si="0"/>
        <v>10.213307262470245</v>
      </c>
      <c r="C62" s="1">
        <f t="shared" si="1"/>
        <v>4.8538018057016217</v>
      </c>
    </row>
    <row r="63" spans="1:3" ht="25.5" x14ac:dyDescent="0.15">
      <c r="A63" s="1">
        <v>47</v>
      </c>
      <c r="B63" s="1">
        <f t="shared" si="0"/>
        <v>9.6995655504913998</v>
      </c>
      <c r="C63" s="1">
        <f t="shared" si="1"/>
        <v>5.3105056272712865</v>
      </c>
    </row>
    <row r="64" spans="1:3" ht="25.5" x14ac:dyDescent="0.15">
      <c r="A64" s="1">
        <v>48</v>
      </c>
      <c r="B64" s="1">
        <f t="shared" si="0"/>
        <v>9.2071821039697177</v>
      </c>
      <c r="C64" s="1">
        <f t="shared" si="1"/>
        <v>5.7885677142981073</v>
      </c>
    </row>
    <row r="65" spans="1:3" ht="25.5" x14ac:dyDescent="0.15">
      <c r="A65" s="1">
        <v>49</v>
      </c>
      <c r="B65" s="1">
        <f t="shared" si="0"/>
        <v>8.735733702487142</v>
      </c>
      <c r="C65" s="1">
        <f t="shared" si="1"/>
        <v>6.2875648463640417</v>
      </c>
    </row>
    <row r="66" spans="1:3" ht="25.5" x14ac:dyDescent="0.15">
      <c r="A66" s="1">
        <v>50</v>
      </c>
      <c r="B66" s="1">
        <f t="shared" si="0"/>
        <v>8.2847546216057815</v>
      </c>
      <c r="C66" s="1">
        <f t="shared" si="1"/>
        <v>6.8070312990311912</v>
      </c>
    </row>
    <row r="67" spans="1:3" ht="25.5" x14ac:dyDescent="0.15">
      <c r="A67" s="1">
        <v>51</v>
      </c>
      <c r="B67" s="1">
        <f t="shared" si="0"/>
        <v>7.8537430208652026</v>
      </c>
      <c r="C67" s="1">
        <f t="shared" si="1"/>
        <v>7.3464652318391117</v>
      </c>
    </row>
    <row r="68" spans="1:3" ht="25.5" x14ac:dyDescent="0.15">
      <c r="A68" s="1">
        <v>52</v>
      </c>
      <c r="B68" s="1">
        <f t="shared" si="0"/>
        <v>7.4421669789018239</v>
      </c>
      <c r="C68" s="1">
        <f t="shared" si="1"/>
        <v>7.9053347234242466</v>
      </c>
    </row>
    <row r="69" spans="1:3" ht="25.5" x14ac:dyDescent="0.15">
      <c r="A69" s="1">
        <v>53</v>
      </c>
      <c r="B69" s="1">
        <f t="shared" si="0"/>
        <v>7.0494701443627221</v>
      </c>
      <c r="C69" s="1">
        <f t="shared" si="1"/>
        <v>8.4830834224336513</v>
      </c>
    </row>
    <row r="70" spans="1:3" ht="25.5" x14ac:dyDescent="0.15">
      <c r="A70" s="1">
        <v>54</v>
      </c>
      <c r="B70" s="1">
        <f t="shared" si="0"/>
        <v>6.6750769829190553</v>
      </c>
      <c r="C70" s="1">
        <f t="shared" si="1"/>
        <v>9.079135794538491</v>
      </c>
    </row>
    <row r="71" spans="1:3" ht="25.5" x14ac:dyDescent="0.15">
      <c r="A71" s="1">
        <v>55</v>
      </c>
      <c r="B71" s="1">
        <f t="shared" si="0"/>
        <v>6.3183976105264001</v>
      </c>
      <c r="C71" s="1">
        <f t="shared" si="1"/>
        <v>9.6929019556943494</v>
      </c>
    </row>
    <row r="72" spans="1:3" ht="25.5" x14ac:dyDescent="0.15">
      <c r="A72" s="1">
        <v>56</v>
      </c>
      <c r="B72" s="1">
        <f t="shared" si="0"/>
        <v>5.9788322112700101</v>
      </c>
      <c r="C72" s="1">
        <f t="shared" si="1"/>
        <v>10.323782089986466</v>
      </c>
    </row>
    <row r="73" spans="1:3" ht="25.5" x14ac:dyDescent="0.15">
      <c r="A73" s="1">
        <v>57</v>
      </c>
      <c r="B73" s="1">
        <f t="shared" si="0"/>
        <v>5.6557750448244555</v>
      </c>
      <c r="C73" s="1">
        <f t="shared" si="1"/>
        <v>10.971170457089421</v>
      </c>
    </row>
    <row r="74" spans="1:3" ht="25.5" x14ac:dyDescent="0.15">
      <c r="A74" s="1">
        <v>58</v>
      </c>
      <c r="B74" s="1">
        <f t="shared" si="0"/>
        <v>5.3486180539101582</v>
      </c>
      <c r="C74" s="1">
        <f t="shared" si="1"/>
        <v>11.634458999723638</v>
      </c>
    </row>
    <row r="75" spans="1:3" ht="25.5" x14ac:dyDescent="0.15">
      <c r="A75" s="1">
        <v>59</v>
      </c>
      <c r="B75" s="1">
        <f t="shared" si="0"/>
        <v>5.0567540863012148</v>
      </c>
      <c r="C75" s="1">
        <f t="shared" si="1"/>
        <v>12.313040565663201</v>
      </c>
    </row>
    <row r="76" spans="1:3" ht="25.5" x14ac:dyDescent="0.15">
      <c r="A76" s="1">
        <v>60</v>
      </c>
      <c r="B76" s="1">
        <f t="shared" si="0"/>
        <v>4.7795797490835383</v>
      </c>
      <c r="C76" s="1">
        <f t="shared" si="1"/>
        <v>13.006311761994034</v>
      </c>
    </row>
    <row r="77" spans="1:3" ht="25.5" x14ac:dyDescent="0.15">
      <c r="A77" s="1">
        <v>61</v>
      </c>
      <c r="B77" s="1">
        <f t="shared" si="0"/>
        <v>4.5164979151239795</v>
      </c>
      <c r="C77" s="1">
        <f t="shared" si="1"/>
        <v>13.713675461582984</v>
      </c>
    </row>
    <row r="78" spans="1:3" ht="25.5" x14ac:dyDescent="0.15">
      <c r="A78" s="1">
        <v>62</v>
      </c>
      <c r="B78" s="1">
        <f t="shared" si="0"/>
        <v>4.266919903222858</v>
      </c>
      <c r="C78" s="1">
        <f t="shared" si="1"/>
        <v>14.434542983230369</v>
      </c>
    </row>
    <row r="79" spans="1:3" ht="25.5" x14ac:dyDescent="0.15">
      <c r="A79" s="1">
        <v>63</v>
      </c>
      <c r="B79" s="1">
        <f t="shared" si="0"/>
        <v>4.0302673543067673</v>
      </c>
      <c r="C79" s="1">
        <f t="shared" si="1"/>
        <v>15.168335967862777</v>
      </c>
    </row>
    <row r="80" spans="1:3" ht="25.5" x14ac:dyDescent="0.15">
      <c r="A80" s="1">
        <v>64</v>
      </c>
      <c r="B80" s="1">
        <f t="shared" si="0"/>
        <v>3.8059738263837719</v>
      </c>
      <c r="C80" s="1">
        <f t="shared" si="1"/>
        <v>15.914487973488299</v>
      </c>
    </row>
    <row r="81" spans="1:3" ht="25.5" x14ac:dyDescent="0.15">
      <c r="A81" s="1">
        <v>65</v>
      </c>
      <c r="B81" s="1">
        <f t="shared" si="0"/>
        <v>3.5934861309272268</v>
      </c>
      <c r="C81" s="1">
        <f t="shared" si="1"/>
        <v>16.672445811580261</v>
      </c>
    </row>
    <row r="82" spans="1:3" ht="25.5" x14ac:dyDescent="0.15">
      <c r="A82" s="1">
        <v>66</v>
      </c>
      <c r="B82" s="1">
        <f t="shared" ref="B82:B115" si="2">BS_call($B$1,$B$2,$B$3,$B$4,$B$5,A82)</f>
        <v>3.3922654329614055</v>
      </c>
      <c r="C82" s="1">
        <f t="shared" ref="C82:C115" si="3">BS_put($B$1,$B$2,$B$3,$B$4,$B$5,A82)</f>
        <v>17.441670647162951</v>
      </c>
    </row>
    <row r="83" spans="1:3" ht="25.5" x14ac:dyDescent="0.15">
      <c r="A83" s="1">
        <v>67</v>
      </c>
      <c r="B83" s="1">
        <f t="shared" si="2"/>
        <v>3.2017881364666412</v>
      </c>
      <c r="C83" s="1">
        <f t="shared" si="3"/>
        <v>18.221638884216681</v>
      </c>
    </row>
    <row r="84" spans="1:3" ht="25.5" x14ac:dyDescent="0.15">
      <c r="A84" s="1">
        <v>68</v>
      </c>
      <c r="B84" s="1">
        <f t="shared" si="2"/>
        <v>3.0215465758659263</v>
      </c>
      <c r="C84" s="1">
        <f t="shared" si="3"/>
        <v>19.011842857164481</v>
      </c>
    </row>
    <row r="85" spans="1:3" ht="25.5" x14ac:dyDescent="0.15">
      <c r="A85" s="1">
        <v>69</v>
      </c>
      <c r="B85" s="1">
        <f t="shared" si="2"/>
        <v>2.8510495333543009</v>
      </c>
      <c r="C85" s="1">
        <f t="shared" si="3"/>
        <v>19.811791348201368</v>
      </c>
    </row>
    <row r="86" spans="1:3" ht="25.5" x14ac:dyDescent="0.15">
      <c r="A86" s="1">
        <v>70</v>
      </c>
      <c r="B86" s="1">
        <f t="shared" si="2"/>
        <v>2.689822600730313</v>
      </c>
      <c r="C86" s="1">
        <f t="shared" si="3"/>
        <v>20.621009949125877</v>
      </c>
    </row>
    <row r="87" spans="1:3" ht="25.5" x14ac:dyDescent="0.15">
      <c r="A87" s="1">
        <v>71</v>
      </c>
      <c r="B87" s="1">
        <f t="shared" si="2"/>
        <v>2.53740840322439</v>
      </c>
      <c r="C87" s="1">
        <f t="shared" si="3"/>
        <v>21.439041285168464</v>
      </c>
    </row>
    <row r="88" spans="1:3" ht="25.5" x14ac:dyDescent="0.15">
      <c r="A88" s="1">
        <v>72</v>
      </c>
      <c r="B88" s="1">
        <f t="shared" si="2"/>
        <v>2.3933667016225399</v>
      </c>
      <c r="C88" s="1">
        <f t="shared" si="3"/>
        <v>22.265445117115121</v>
      </c>
    </row>
    <row r="89" spans="1:3" ht="25.5" x14ac:dyDescent="0.15">
      <c r="A89" s="1">
        <v>73</v>
      </c>
      <c r="B89" s="1">
        <f t="shared" si="2"/>
        <v>2.2572743877801216</v>
      </c>
      <c r="C89" s="1">
        <f t="shared" si="3"/>
        <v>23.099798336821216</v>
      </c>
    </row>
    <row r="90" spans="1:3" ht="25.5" x14ac:dyDescent="0.15">
      <c r="A90" s="1">
        <v>74</v>
      </c>
      <c r="B90" s="1">
        <f t="shared" si="2"/>
        <v>2.1287253874298031</v>
      </c>
      <c r="C90" s="1">
        <f t="shared" si="3"/>
        <v>23.941694870019411</v>
      </c>
    </row>
    <row r="91" spans="1:3" ht="25.5" x14ac:dyDescent="0.15">
      <c r="A91" s="1">
        <v>75</v>
      </c>
      <c r="B91" s="1">
        <f t="shared" si="2"/>
        <v>2.007330483025827</v>
      </c>
      <c r="C91" s="1">
        <f t="shared" si="3"/>
        <v>24.790745499163933</v>
      </c>
    </row>
    <row r="92" spans="1:3" ht="25.5" x14ac:dyDescent="0.15">
      <c r="A92" s="1">
        <v>76</v>
      </c>
      <c r="B92" s="1">
        <f t="shared" si="2"/>
        <v>1.8927170682451084</v>
      </c>
      <c r="C92" s="1">
        <f t="shared" si="3"/>
        <v>25.646577617931726</v>
      </c>
    </row>
    <row r="93" spans="1:3" ht="25.5" x14ac:dyDescent="0.15">
      <c r="A93" s="1">
        <v>77</v>
      </c>
      <c r="B93" s="1">
        <f t="shared" si="2"/>
        <v>1.7845288446929093</v>
      </c>
      <c r="C93" s="1">
        <f t="shared" si="3"/>
        <v>26.508834927928042</v>
      </c>
    </row>
    <row r="94" spans="1:3" ht="25.5" x14ac:dyDescent="0.15">
      <c r="A94" s="1">
        <v>78</v>
      </c>
      <c r="B94" s="1">
        <f t="shared" si="2"/>
        <v>1.6824254703439951</v>
      </c>
      <c r="C94" s="1">
        <f t="shared" si="3"/>
        <v>27.377177087127635</v>
      </c>
    </row>
    <row r="95" spans="1:3" ht="25.5" x14ac:dyDescent="0.15">
      <c r="A95" s="1">
        <v>79</v>
      </c>
      <c r="B95" s="1">
        <f t="shared" si="2"/>
        <v>1.5860821682918678</v>
      </c>
      <c r="C95" s="1">
        <f t="shared" si="3"/>
        <v>28.251279318624015</v>
      </c>
    </row>
    <row r="96" spans="1:3" ht="25.5" x14ac:dyDescent="0.15">
      <c r="A96" s="1">
        <v>80</v>
      </c>
      <c r="B96" s="1">
        <f t="shared" si="2"/>
        <v>1.4951893034826815</v>
      </c>
      <c r="C96" s="1">
        <f t="shared" si="3"/>
        <v>29.130831987363322</v>
      </c>
    </row>
    <row r="97" spans="1:3" ht="25.5" x14ac:dyDescent="0.15">
      <c r="A97" s="1">
        <v>81</v>
      </c>
      <c r="B97" s="1">
        <f t="shared" si="2"/>
        <v>1.4094519342758778</v>
      </c>
      <c r="C97" s="1">
        <f t="shared" si="3"/>
        <v>30.015540151705039</v>
      </c>
    </row>
    <row r="98" spans="1:3" ht="25.5" x14ac:dyDescent="0.15">
      <c r="A98" s="1">
        <v>82</v>
      </c>
      <c r="B98" s="1">
        <f t="shared" si="2"/>
        <v>1.3285893449020731</v>
      </c>
      <c r="C98" s="1">
        <f t="shared" si="3"/>
        <v>30.905123095879745</v>
      </c>
    </row>
    <row r="99" spans="1:3" ht="25.5" x14ac:dyDescent="0.15">
      <c r="A99" s="1">
        <v>83</v>
      </c>
      <c r="B99" s="1">
        <f t="shared" si="2"/>
        <v>1.2523345641769463</v>
      </c>
      <c r="C99" s="1">
        <f t="shared" si="3"/>
        <v>31.799313848703115</v>
      </c>
    </row>
    <row r="100" spans="1:3" ht="25.5" x14ac:dyDescent="0.15">
      <c r="A100" s="1">
        <v>84</v>
      </c>
      <c r="B100" s="1">
        <f t="shared" si="2"/>
        <v>1.1804338751778909</v>
      </c>
      <c r="C100" s="1">
        <f t="shared" si="3"/>
        <v>32.697858693252584</v>
      </c>
    </row>
    <row r="101" spans="1:3" ht="25.5" x14ac:dyDescent="0.15">
      <c r="A101" s="1">
        <v>85</v>
      </c>
      <c r="B101" s="1">
        <f t="shared" si="2"/>
        <v>1.1126463199941794</v>
      </c>
      <c r="C101" s="1">
        <f t="shared" si="3"/>
        <v>33.600516671617356</v>
      </c>
    </row>
    <row r="102" spans="1:3" ht="25.5" x14ac:dyDescent="0.15">
      <c r="A102" s="1">
        <v>86</v>
      </c>
      <c r="B102" s="1">
        <f t="shared" si="2"/>
        <v>1.0487432031194874</v>
      </c>
      <c r="C102" s="1">
        <f t="shared" si="3"/>
        <v>34.507059088291179</v>
      </c>
    </row>
    <row r="103" spans="1:3" ht="25.5" x14ac:dyDescent="0.15">
      <c r="A103" s="1">
        <v>87</v>
      </c>
      <c r="B103" s="1">
        <f t="shared" si="2"/>
        <v>0.98850759656433862</v>
      </c>
      <c r="C103" s="1">
        <f t="shared" si="3"/>
        <v>35.417269015284553</v>
      </c>
    </row>
    <row r="104" spans="1:3" ht="25.5" x14ac:dyDescent="0.15">
      <c r="A104" s="1">
        <v>88</v>
      </c>
      <c r="B104" s="1">
        <f t="shared" si="2"/>
        <v>0.93173384932261882</v>
      </c>
      <c r="C104" s="1">
        <f t="shared" si="3"/>
        <v>36.330940801591325</v>
      </c>
    </row>
    <row r="105" spans="1:3" ht="25.5" x14ac:dyDescent="0.15">
      <c r="A105" s="1">
        <v>89</v>
      </c>
      <c r="B105" s="1">
        <f t="shared" si="2"/>
        <v>0.87822710342741672</v>
      </c>
      <c r="C105" s="1">
        <f t="shared" si="3"/>
        <v>37.24787958924464</v>
      </c>
    </row>
    <row r="106" spans="1:3" ht="25.5" x14ac:dyDescent="0.15">
      <c r="A106" s="1">
        <v>90</v>
      </c>
      <c r="B106" s="1">
        <f t="shared" si="2"/>
        <v>0.82780281847363213</v>
      </c>
      <c r="C106" s="1">
        <f t="shared" si="3"/>
        <v>38.167900837839376</v>
      </c>
    </row>
    <row r="107" spans="1:3" ht="25.5" x14ac:dyDescent="0.15">
      <c r="A107" s="1">
        <v>91</v>
      </c>
      <c r="B107" s="1">
        <f t="shared" si="2"/>
        <v>0.78028630616584316</v>
      </c>
      <c r="C107" s="1">
        <f t="shared" si="3"/>
        <v>39.090829859080074</v>
      </c>
    </row>
    <row r="108" spans="1:3" ht="25.5" x14ac:dyDescent="0.15">
      <c r="A108" s="1">
        <v>92</v>
      </c>
      <c r="B108" s="1">
        <f t="shared" si="2"/>
        <v>0.73551227616538117</v>
      </c>
      <c r="C108" s="1">
        <f t="shared" si="3"/>
        <v>40.016501362628141</v>
      </c>
    </row>
    <row r="109" spans="1:3" ht="25.5" x14ac:dyDescent="0.15">
      <c r="A109" s="1">
        <v>93</v>
      </c>
      <c r="B109" s="1">
        <f t="shared" si="2"/>
        <v>0.69332439425906189</v>
      </c>
      <c r="C109" s="1">
        <f t="shared" si="3"/>
        <v>40.944759014270318</v>
      </c>
    </row>
    <row r="110" spans="1:3" ht="25.5" x14ac:dyDescent="0.15">
      <c r="A110" s="1">
        <v>94</v>
      </c>
      <c r="B110" s="1">
        <f t="shared" si="2"/>
        <v>0.65357485364941725</v>
      </c>
      <c r="C110" s="1">
        <f t="shared" si="3"/>
        <v>41.875455007209183</v>
      </c>
    </row>
    <row r="111" spans="1:3" ht="25.5" x14ac:dyDescent="0.15">
      <c r="A111" s="1">
        <v>95</v>
      </c>
      <c r="B111" s="1">
        <f t="shared" si="2"/>
        <v>0.61612395997091918</v>
      </c>
      <c r="C111" s="1">
        <f t="shared" si="3"/>
        <v>42.808449647079193</v>
      </c>
    </row>
    <row r="112" spans="1:3" ht="25.5" x14ac:dyDescent="0.15">
      <c r="A112" s="1">
        <v>96</v>
      </c>
      <c r="B112" s="1">
        <f t="shared" si="2"/>
        <v>0.58083973046555837</v>
      </c>
      <c r="C112" s="1">
        <f t="shared" si="3"/>
        <v>43.743610951122335</v>
      </c>
    </row>
    <row r="113" spans="1:3" ht="25.5" x14ac:dyDescent="0.15">
      <c r="A113" s="1">
        <v>97</v>
      </c>
      <c r="B113" s="1">
        <f t="shared" si="2"/>
        <v>0.54759750760193437</v>
      </c>
      <c r="C113" s="1">
        <f t="shared" si="3"/>
        <v>44.680814261807221</v>
      </c>
    </row>
    <row r="114" spans="1:3" ht="25.5" x14ac:dyDescent="0.15">
      <c r="A114" s="1">
        <v>98</v>
      </c>
      <c r="B114" s="1">
        <f t="shared" si="2"/>
        <v>0.51627958729308787</v>
      </c>
      <c r="C114" s="1">
        <f t="shared" si="3"/>
        <v>45.619941875046869</v>
      </c>
    </row>
    <row r="115" spans="1:3" ht="25.5" x14ac:dyDescent="0.15">
      <c r="A115" s="1">
        <v>99</v>
      </c>
      <c r="B115" s="1">
        <f t="shared" si="2"/>
        <v>0.48677486175665008</v>
      </c>
      <c r="C115" s="1">
        <f t="shared" si="3"/>
        <v>46.560882683058949</v>
      </c>
    </row>
    <row r="116" spans="1:3" ht="25.5" x14ac:dyDescent="0.15">
      <c r="A116" s="1">
        <v>100</v>
      </c>
    </row>
  </sheetData>
  <mergeCells count="1">
    <mergeCell ref="E1:J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6</vt:i4>
      </vt:variant>
    </vt:vector>
  </HeadingPairs>
  <TitlesOfParts>
    <vt:vector size="13" baseType="lpstr">
      <vt:lpstr>公式应用示例</vt:lpstr>
      <vt:lpstr>资产价格</vt:lpstr>
      <vt:lpstr>资产波动率</vt:lpstr>
      <vt:lpstr>无风险利率</vt:lpstr>
      <vt:lpstr>红利率</vt:lpstr>
      <vt:lpstr>到期期限</vt:lpstr>
      <vt:lpstr>执行价格</vt:lpstr>
      <vt:lpstr>q</vt:lpstr>
      <vt:lpstr>rf</vt:lpstr>
      <vt:lpstr>S</vt:lpstr>
      <vt:lpstr>T</vt:lpstr>
      <vt:lpstr>X</vt:lpstr>
      <vt:lpstr>σ</vt:lpstr>
    </vt:vector>
  </TitlesOfParts>
  <Company>liu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刘健辉</cp:lastModifiedBy>
  <dcterms:created xsi:type="dcterms:W3CDTF">2011-06-15T02:36:38Z</dcterms:created>
  <dcterms:modified xsi:type="dcterms:W3CDTF">2022-12-07T15:30:23Z</dcterms:modified>
</cp:coreProperties>
</file>