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1730" windowHeight="8640" activeTab="1"/>
  </bookViews>
  <sheets>
    <sheet name="公式应用示例" sheetId="1" r:id="rId1"/>
    <sheet name="Sheet1" sheetId="2" r:id="rId2"/>
  </sheets>
  <functionGroups builtInGroupCount="17"/>
  <definedNames>
    <definedName name="q">公式应用示例!$B$4</definedName>
    <definedName name="rf">公式应用示例!$B$3</definedName>
    <definedName name="S">公式应用示例!$B$1</definedName>
    <definedName name="T">公式应用示例!$B$5</definedName>
    <definedName name="X">公式应用示例!$B$6</definedName>
    <definedName name="σ">公式应用示例!$B$2</definedName>
  </definedNames>
  <calcPr calcId="144525"/>
</workbook>
</file>

<file path=xl/calcChain.xml><?xml version="1.0" encoding="utf-8"?>
<calcChain xmlns="http://schemas.openxmlformats.org/spreadsheetml/2006/main">
  <c r="B8" i="1" l="1"/>
  <c r="B9" i="1"/>
</calcChain>
</file>

<file path=xl/sharedStrings.xml><?xml version="1.0" encoding="utf-8"?>
<sst xmlns="http://schemas.openxmlformats.org/spreadsheetml/2006/main" count="12" uniqueCount="12">
  <si>
    <t>看涨期权B-S</t>
    <phoneticPr fontId="1" type="noConversion"/>
  </si>
  <si>
    <t>看跌期权B-S</t>
    <phoneticPr fontId="1" type="noConversion"/>
  </si>
  <si>
    <t>资产价格(S)</t>
    <phoneticPr fontId="1" type="noConversion"/>
  </si>
  <si>
    <r>
      <t>资产波动率(</t>
    </r>
    <r>
      <rPr>
        <sz val="20"/>
        <rFont val="Tahoma"/>
        <family val="2"/>
      </rPr>
      <t>σ</t>
    </r>
    <r>
      <rPr>
        <sz val="20"/>
        <rFont val="宋体"/>
        <family val="3"/>
        <charset val="134"/>
      </rPr>
      <t>)</t>
    </r>
    <phoneticPr fontId="1" type="noConversion"/>
  </si>
  <si>
    <t>红利率(q)</t>
    <phoneticPr fontId="1" type="noConversion"/>
  </si>
  <si>
    <t>到期期限(T,year)</t>
    <phoneticPr fontId="1" type="noConversion"/>
  </si>
  <si>
    <t>无风险利率（ r )</t>
    <phoneticPr fontId="1" type="noConversion"/>
  </si>
  <si>
    <t>执行价格（X）</t>
    <phoneticPr fontId="1" type="noConversion"/>
  </si>
  <si>
    <t>bs_call(S,σ,rf,q,T,X)</t>
    <phoneticPr fontId="1" type="noConversion"/>
  </si>
  <si>
    <t>bs_put(S,σ,rf,q,T,X)</t>
    <phoneticPr fontId="1" type="noConversion"/>
  </si>
  <si>
    <t>函数名</t>
    <phoneticPr fontId="1" type="noConversion"/>
  </si>
  <si>
    <t>操作说明：1.该工作簿中有10个自定义函数：其中bs_call()计算的是欧式看涨期权的价值；bs_put计算的是欧式看跌期权的价值;其他为希腊字母计算函数。参数依次表示：标的资产价格，标的资产的波动率，无风险利率，红利率，期权到期期限（以年为单位），执行价格。参数个数不可缺少，顺序不可倒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</si>
</sst>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20"/>
      <name val="Tahoma"/>
      <family val="2"/>
    </font>
    <font>
      <b/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4" fillId="0" borderId="0" xfId="0" applyFont="1">
      <alignment vertical="center"/>
    </xf>
    <xf numFmtId="0" fontId="6" fillId="4" borderId="1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3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1"/>
  <sheetViews>
    <sheetView workbookViewId="0">
      <selection activeCell="F12" sqref="F12"/>
    </sheetView>
  </sheetViews>
  <sheetFormatPr defaultRowHeight="14.25" x14ac:dyDescent="0.15"/>
  <cols>
    <col min="1" max="1" width="27.125" customWidth="1"/>
    <col min="2" max="2" width="23.25" customWidth="1"/>
    <col min="3" max="3" width="17" customWidth="1"/>
    <col min="11" max="11" width="31.25" customWidth="1"/>
    <col min="12" max="12" width="12.625" customWidth="1"/>
  </cols>
  <sheetData>
    <row r="1" spans="1:11" ht="25.5" customHeight="1" x14ac:dyDescent="0.15">
      <c r="A1" s="2" t="s">
        <v>2</v>
      </c>
      <c r="B1" s="1">
        <v>50</v>
      </c>
      <c r="E1" s="6" t="s">
        <v>11</v>
      </c>
      <c r="F1" s="6"/>
      <c r="G1" s="6"/>
      <c r="H1" s="6"/>
      <c r="I1" s="6"/>
      <c r="J1" s="6"/>
      <c r="K1" s="3" t="s">
        <v>10</v>
      </c>
    </row>
    <row r="2" spans="1:11" ht="25.5" x14ac:dyDescent="0.15">
      <c r="A2" s="2" t="s">
        <v>3</v>
      </c>
      <c r="B2" s="1">
        <v>0.38519100000000001</v>
      </c>
      <c r="E2" s="6"/>
      <c r="F2" s="6"/>
      <c r="G2" s="6"/>
      <c r="H2" s="6"/>
      <c r="I2" s="6"/>
      <c r="J2" s="6"/>
      <c r="K2" s="4" t="s">
        <v>8</v>
      </c>
    </row>
    <row r="3" spans="1:11" ht="25.5" x14ac:dyDescent="0.15">
      <c r="A3" s="2" t="s">
        <v>6</v>
      </c>
      <c r="B3" s="1">
        <v>0.03</v>
      </c>
      <c r="E3" s="6"/>
      <c r="F3" s="6"/>
      <c r="G3" s="6"/>
      <c r="H3" s="6"/>
      <c r="I3" s="6"/>
      <c r="J3" s="6"/>
      <c r="K3" s="4" t="s">
        <v>9</v>
      </c>
    </row>
    <row r="4" spans="1:11" ht="25.5" x14ac:dyDescent="0.15">
      <c r="A4" s="2" t="s">
        <v>4</v>
      </c>
      <c r="B4" s="1">
        <v>0</v>
      </c>
      <c r="E4" s="6"/>
      <c r="F4" s="6"/>
      <c r="G4" s="6"/>
      <c r="H4" s="6"/>
      <c r="I4" s="6"/>
      <c r="J4" s="6"/>
      <c r="K4" s="5"/>
    </row>
    <row r="5" spans="1:11" ht="25.5" x14ac:dyDescent="0.15">
      <c r="A5" s="2" t="s">
        <v>5</v>
      </c>
      <c r="B5" s="1">
        <v>1</v>
      </c>
      <c r="E5" s="6"/>
      <c r="F5" s="6"/>
      <c r="G5" s="6"/>
      <c r="H5" s="6"/>
      <c r="I5" s="6"/>
      <c r="J5" s="6"/>
      <c r="K5" s="5"/>
    </row>
    <row r="6" spans="1:11" ht="25.5" x14ac:dyDescent="0.15">
      <c r="A6" s="2" t="s">
        <v>7</v>
      </c>
      <c r="B6" s="1">
        <v>50</v>
      </c>
      <c r="E6" s="6"/>
      <c r="F6" s="6"/>
      <c r="G6" s="6"/>
      <c r="H6" s="6"/>
      <c r="I6" s="6"/>
      <c r="J6" s="6"/>
      <c r="K6" s="5"/>
    </row>
    <row r="7" spans="1:11" x14ac:dyDescent="0.15">
      <c r="E7" s="6"/>
      <c r="F7" s="6"/>
      <c r="G7" s="6"/>
      <c r="H7" s="6"/>
      <c r="I7" s="6"/>
      <c r="J7" s="6"/>
      <c r="K7" s="5"/>
    </row>
    <row r="8" spans="1:11" ht="25.5" x14ac:dyDescent="0.15">
      <c r="A8" s="1" t="s">
        <v>0</v>
      </c>
      <c r="B8" s="1">
        <f>BS_call(S,σ,rf,q,T,X)</f>
        <v>8.2847546216057815</v>
      </c>
      <c r="C8" s="1"/>
      <c r="E8" s="6"/>
      <c r="F8" s="6"/>
      <c r="G8" s="6"/>
      <c r="H8" s="6"/>
      <c r="I8" s="6"/>
      <c r="J8" s="6"/>
      <c r="K8" s="5"/>
    </row>
    <row r="9" spans="1:11" ht="25.5" x14ac:dyDescent="0.15">
      <c r="A9" s="1" t="s">
        <v>1</v>
      </c>
      <c r="B9" s="1">
        <f>BS_put(S,σ,rf,q,T,X)</f>
        <v>6.8070312990311912</v>
      </c>
      <c r="C9" s="1"/>
      <c r="K9" s="5"/>
    </row>
    <row r="10" spans="1:11" ht="25.5" x14ac:dyDescent="0.15">
      <c r="A10" s="1"/>
      <c r="B10" s="1"/>
      <c r="C10" s="1"/>
      <c r="K10" s="5"/>
    </row>
    <row r="11" spans="1:11" x14ac:dyDescent="0.15">
      <c r="G11" s="3"/>
      <c r="J11" s="3"/>
      <c r="K11" s="5"/>
    </row>
    <row r="12" spans="1:11" ht="25.5" x14ac:dyDescent="0.15">
      <c r="C12" s="1"/>
    </row>
    <row r="13" spans="1:11" ht="25.5" x14ac:dyDescent="0.15">
      <c r="A13" s="1"/>
      <c r="B13" s="1"/>
      <c r="C13" s="1"/>
    </row>
    <row r="14" spans="1:11" ht="25.5" x14ac:dyDescent="0.15">
      <c r="A14" s="1"/>
      <c r="B14" s="1"/>
    </row>
    <row r="15" spans="1:11" ht="25.5" x14ac:dyDescent="0.15">
      <c r="A15" s="1"/>
      <c r="B15" s="1"/>
    </row>
    <row r="16" spans="1:11" ht="25.5" x14ac:dyDescent="0.15">
      <c r="A16" s="1"/>
      <c r="B16" s="1"/>
    </row>
    <row r="17" spans="1:2" ht="25.5" x14ac:dyDescent="0.15">
      <c r="A17" s="1"/>
      <c r="B17" s="1"/>
    </row>
    <row r="18" spans="1:2" ht="25.5" x14ac:dyDescent="0.15">
      <c r="A18" s="1"/>
      <c r="B18" s="1"/>
    </row>
    <row r="19" spans="1:2" ht="25.5" x14ac:dyDescent="0.15">
      <c r="A19" s="1"/>
      <c r="B19" s="1"/>
    </row>
    <row r="20" spans="1:2" ht="25.5" x14ac:dyDescent="0.15">
      <c r="A20" s="1"/>
      <c r="B20" s="1"/>
    </row>
    <row r="21" spans="1:2" ht="25.5" x14ac:dyDescent="0.15">
      <c r="A21" s="1"/>
      <c r="B21" s="1"/>
    </row>
  </sheetData>
  <mergeCells count="1">
    <mergeCell ref="E1:J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25" x14ac:dyDescent="0.15"/>
  <sheetData/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公式应用示例</vt:lpstr>
      <vt:lpstr>Sheet1</vt:lpstr>
      <vt:lpstr>q</vt:lpstr>
      <vt:lpstr>rf</vt:lpstr>
      <vt:lpstr>S</vt:lpstr>
      <vt:lpstr>T</vt:lpstr>
      <vt:lpstr>X</vt:lpstr>
      <vt:lpstr>σ</vt:lpstr>
    </vt:vector>
  </TitlesOfParts>
  <Company>liu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xt256.com</cp:lastModifiedBy>
  <dcterms:created xsi:type="dcterms:W3CDTF">2011-06-15T02:36:38Z</dcterms:created>
  <dcterms:modified xsi:type="dcterms:W3CDTF">2021-11-05T07:41:16Z</dcterms:modified>
</cp:coreProperties>
</file>